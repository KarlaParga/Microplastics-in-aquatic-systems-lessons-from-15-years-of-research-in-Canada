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mcgill-my.sharepoint.com/personal/karla_pargamartinez_mail_mcgill_ca/Documents/Documents/MELCCFP/"/>
    </mc:Choice>
  </mc:AlternateContent>
  <xr:revisionPtr revIDLastSave="159" documentId="8_{0858B805-E360-4C0B-B096-A55D9A804DA9}" xr6:coauthVersionLast="47" xr6:coauthVersionMax="47" xr10:uidLastSave="{195A5863-DDD3-4E27-BB39-4173B5780E27}"/>
  <bookViews>
    <workbookView xWindow="28680" yWindow="-120" windowWidth="29040" windowHeight="15720" activeTab="1" xr2:uid="{1A07DDF1-D6DE-4EEA-90DE-381B1B6C4219}"/>
  </bookViews>
  <sheets>
    <sheet name="ReadMe" sheetId="5" r:id="rId1"/>
    <sheet name="MP sampling locations" sheetId="1" r:id="rId2"/>
    <sheet name="MP concentrations" sheetId="4" r:id="rId3"/>
  </sheets>
  <definedNames>
    <definedName name="_xlnm._FilterDatabase" localSheetId="2" hidden="1">'MP concentrations'!$A$1:$XEE$1238</definedName>
    <definedName name="_xlnm._FilterDatabase" localSheetId="1" hidden="1">'MP sampling locations'!$A$1:$XEE$1483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203" i="4" l="1"/>
  <c r="P1204" i="4"/>
  <c r="P1205" i="4"/>
  <c r="P1206" i="4"/>
  <c r="P1207" i="4"/>
  <c r="P1208" i="4"/>
  <c r="P1209" i="4"/>
  <c r="P1210" i="4"/>
  <c r="P1211" i="4"/>
  <c r="P1212" i="4"/>
  <c r="P1213" i="4"/>
  <c r="P1202" i="4"/>
  <c r="P1218" i="4"/>
  <c r="P1216" i="4"/>
  <c r="P1214" i="4"/>
  <c r="N1218" i="4"/>
  <c r="N1216" i="4"/>
  <c r="N1214" i="4"/>
  <c r="P1118" i="4"/>
  <c r="P1117" i="4"/>
  <c r="P1116" i="4"/>
  <c r="P1115" i="4"/>
  <c r="P1106" i="4"/>
  <c r="P1073" i="4"/>
  <c r="P1072" i="4"/>
  <c r="P1071" i="4"/>
  <c r="P1070" i="4"/>
  <c r="P1069" i="4"/>
  <c r="P1068" i="4"/>
  <c r="P1067" i="4"/>
  <c r="P1059" i="4"/>
  <c r="P1058" i="4"/>
  <c r="P1057" i="4"/>
  <c r="P1056" i="4"/>
  <c r="P1055" i="4"/>
  <c r="P1054" i="4"/>
  <c r="P1053" i="4"/>
  <c r="P1052" i="4"/>
  <c r="P1051" i="4"/>
  <c r="P1050" i="4"/>
  <c r="P1005" i="4" l="1"/>
  <c r="P1003" i="4"/>
  <c r="P1002" i="4"/>
  <c r="P1000" i="4"/>
  <c r="P999" i="4"/>
  <c r="P997" i="4"/>
  <c r="P994" i="4"/>
  <c r="P993" i="4"/>
  <c r="P992" i="4"/>
  <c r="P989" i="4"/>
  <c r="P988" i="4"/>
  <c r="P987" i="4"/>
  <c r="P985" i="4"/>
  <c r="P983" i="4"/>
  <c r="P982" i="4"/>
  <c r="P980" i="4"/>
  <c r="P978" i="4"/>
  <c r="P977" i="4"/>
  <c r="P975" i="4"/>
  <c r="P974" i="4"/>
  <c r="P964" i="4"/>
  <c r="P963" i="4"/>
  <c r="P962" i="4"/>
  <c r="P961" i="4"/>
  <c r="P960" i="4"/>
  <c r="P959" i="4"/>
  <c r="P958" i="4"/>
  <c r="P957" i="4"/>
  <c r="P890" i="4"/>
  <c r="P889" i="4"/>
  <c r="P888" i="4"/>
  <c r="P887" i="4"/>
  <c r="P886" i="4"/>
  <c r="P885" i="4"/>
  <c r="P884" i="4"/>
  <c r="P883" i="4"/>
  <c r="P882" i="4"/>
  <c r="P881" i="4"/>
  <c r="P880" i="4"/>
  <c r="P879" i="4"/>
  <c r="P878" i="4"/>
  <c r="P877" i="4"/>
  <c r="P876" i="4"/>
  <c r="P875" i="4"/>
  <c r="P864" i="4"/>
  <c r="P863" i="4"/>
  <c r="P862" i="4"/>
  <c r="P861" i="4"/>
  <c r="P860" i="4"/>
  <c r="N859" i="4"/>
  <c r="P859" i="4" s="1"/>
  <c r="N858" i="4"/>
  <c r="P858" i="4" s="1"/>
  <c r="N857" i="4"/>
  <c r="P857" i="4" s="1"/>
  <c r="N856" i="4"/>
  <c r="P856" i="4" s="1"/>
  <c r="N850" i="4"/>
  <c r="P812" i="4"/>
  <c r="P811" i="4"/>
  <c r="P808" i="4"/>
  <c r="P769" i="4"/>
  <c r="P768" i="4"/>
  <c r="P767" i="4"/>
  <c r="P766" i="4"/>
  <c r="P765" i="4"/>
  <c r="P764" i="4"/>
  <c r="P763" i="4"/>
  <c r="P762" i="4"/>
  <c r="P761" i="4"/>
  <c r="P760" i="4"/>
  <c r="P759" i="4"/>
  <c r="P758" i="4"/>
  <c r="P754" i="4"/>
  <c r="P753" i="4"/>
  <c r="P752" i="4"/>
  <c r="P751" i="4"/>
  <c r="P750" i="4"/>
  <c r="P749" i="4"/>
  <c r="P748" i="4"/>
  <c r="P747" i="4"/>
  <c r="P746" i="4"/>
  <c r="P745" i="4"/>
  <c r="P744" i="4"/>
  <c r="P743" i="4"/>
  <c r="P742" i="4"/>
  <c r="P741" i="4"/>
  <c r="P740" i="4"/>
  <c r="P739" i="4"/>
  <c r="P738" i="4"/>
  <c r="P737" i="4"/>
  <c r="P736" i="4"/>
  <c r="P735" i="4"/>
  <c r="P734" i="4"/>
  <c r="P733" i="4"/>
  <c r="P732" i="4"/>
  <c r="P731" i="4"/>
  <c r="P730" i="4"/>
  <c r="P729" i="4"/>
  <c r="P728" i="4"/>
  <c r="P727" i="4"/>
  <c r="P726" i="4"/>
  <c r="P725" i="4"/>
  <c r="P716" i="4"/>
  <c r="P715" i="4"/>
  <c r="P714" i="4"/>
  <c r="P713" i="4"/>
  <c r="P712" i="4"/>
  <c r="P711" i="4"/>
  <c r="P710" i="4"/>
  <c r="P709" i="4"/>
  <c r="P708" i="4"/>
  <c r="P707" i="4"/>
  <c r="P706" i="4"/>
  <c r="P705" i="4"/>
  <c r="P704" i="4"/>
  <c r="P703" i="4"/>
  <c r="P702" i="4"/>
  <c r="P701" i="4"/>
  <c r="P700" i="4"/>
  <c r="P699" i="4"/>
  <c r="P698" i="4"/>
  <c r="P697" i="4"/>
  <c r="P696" i="4"/>
  <c r="P695" i="4"/>
  <c r="P694" i="4"/>
  <c r="P693" i="4"/>
  <c r="P692" i="4"/>
  <c r="P691" i="4"/>
  <c r="P690" i="4"/>
  <c r="P689" i="4"/>
  <c r="P688" i="4"/>
  <c r="P687" i="4"/>
  <c r="P686" i="4"/>
  <c r="P685" i="4"/>
  <c r="P684" i="4"/>
  <c r="P683" i="4"/>
  <c r="P682" i="4"/>
  <c r="P681" i="4"/>
  <c r="P680" i="4"/>
  <c r="P679" i="4"/>
  <c r="P678" i="4"/>
  <c r="P677" i="4"/>
  <c r="P676" i="4"/>
  <c r="P675" i="4"/>
  <c r="P674" i="4"/>
  <c r="P673" i="4"/>
  <c r="P672" i="4"/>
  <c r="P671" i="4"/>
  <c r="P670" i="4"/>
  <c r="P669" i="4"/>
  <c r="P668" i="4"/>
  <c r="P667" i="4"/>
  <c r="P666" i="4"/>
  <c r="P665" i="4"/>
  <c r="P664" i="4"/>
  <c r="P663" i="4"/>
  <c r="P662" i="4"/>
  <c r="P661" i="4"/>
  <c r="P660" i="4"/>
  <c r="P659" i="4"/>
  <c r="P658" i="4"/>
  <c r="P657" i="4"/>
  <c r="P656" i="4"/>
  <c r="P655" i="4"/>
  <c r="P654" i="4"/>
  <c r="P653" i="4"/>
  <c r="P652" i="4"/>
  <c r="P651" i="4"/>
  <c r="P650" i="4"/>
  <c r="P649" i="4"/>
  <c r="P648" i="4"/>
  <c r="P647" i="4"/>
  <c r="P646" i="4"/>
  <c r="P645" i="4"/>
  <c r="P644" i="4"/>
  <c r="P643" i="4"/>
  <c r="P642" i="4"/>
  <c r="P641" i="4"/>
  <c r="P640" i="4"/>
  <c r="P639" i="4"/>
  <c r="P638" i="4"/>
  <c r="P637" i="4"/>
  <c r="P636" i="4"/>
  <c r="P635" i="4"/>
  <c r="P634" i="4"/>
  <c r="P633" i="4"/>
  <c r="P528" i="4"/>
  <c r="N527" i="4"/>
  <c r="P527" i="4" s="1"/>
  <c r="N526" i="4"/>
  <c r="P526" i="4" s="1"/>
  <c r="P525" i="4"/>
  <c r="P524" i="4"/>
  <c r="P523" i="4"/>
  <c r="P522" i="4"/>
  <c r="P521" i="4"/>
  <c r="P520" i="4"/>
  <c r="P519" i="4"/>
  <c r="P518" i="4"/>
  <c r="P517" i="4"/>
  <c r="P516" i="4"/>
  <c r="P515" i="4"/>
  <c r="P514" i="4"/>
  <c r="P513" i="4"/>
  <c r="N513" i="4"/>
  <c r="P512" i="4"/>
  <c r="N512" i="4"/>
  <c r="P511" i="4"/>
  <c r="N511" i="4"/>
  <c r="P510" i="4"/>
  <c r="N510" i="4"/>
  <c r="P509" i="4"/>
  <c r="N509" i="4"/>
  <c r="P508" i="4"/>
  <c r="N508" i="4"/>
  <c r="P507" i="4"/>
  <c r="N507" i="4"/>
  <c r="P506" i="4"/>
  <c r="N506" i="4"/>
  <c r="P505" i="4"/>
  <c r="N505" i="4"/>
  <c r="P504" i="4"/>
  <c r="N504" i="4"/>
  <c r="P503" i="4"/>
  <c r="N503" i="4"/>
  <c r="P502" i="4"/>
  <c r="N502" i="4"/>
  <c r="P501" i="4"/>
  <c r="N501" i="4"/>
  <c r="P500" i="4"/>
  <c r="N500" i="4"/>
  <c r="P499" i="4"/>
  <c r="N499" i="4"/>
  <c r="P498" i="4"/>
  <c r="N498" i="4"/>
  <c r="P497" i="4"/>
  <c r="N497" i="4"/>
  <c r="P496" i="4"/>
  <c r="N496" i="4"/>
  <c r="P495" i="4"/>
  <c r="N495" i="4"/>
  <c r="P494" i="4"/>
  <c r="N494" i="4"/>
  <c r="P493" i="4"/>
  <c r="N493" i="4"/>
  <c r="P492" i="4"/>
  <c r="N492" i="4"/>
  <c r="P491" i="4"/>
  <c r="N491" i="4"/>
  <c r="P490" i="4"/>
  <c r="N490" i="4"/>
  <c r="P489" i="4"/>
  <c r="P488" i="4"/>
  <c r="P487" i="4"/>
  <c r="P486" i="4"/>
  <c r="P485" i="4"/>
  <c r="P484" i="4"/>
  <c r="P483" i="4"/>
  <c r="P482" i="4"/>
  <c r="P481" i="4"/>
  <c r="P480" i="4"/>
  <c r="P479" i="4"/>
  <c r="P478" i="4"/>
  <c r="P477" i="4"/>
  <c r="N476" i="4"/>
  <c r="P476" i="4" s="1"/>
  <c r="N475" i="4"/>
  <c r="P475" i="4" s="1"/>
  <c r="P447" i="4"/>
  <c r="P446" i="4"/>
  <c r="P445" i="4"/>
  <c r="P444" i="4"/>
  <c r="P443" i="4"/>
  <c r="P442" i="4"/>
  <c r="P441" i="4"/>
  <c r="P440" i="4"/>
  <c r="P439" i="4"/>
  <c r="P438" i="4"/>
  <c r="P437" i="4"/>
  <c r="P436" i="4"/>
  <c r="P435" i="4"/>
  <c r="P434" i="4"/>
  <c r="X433" i="4"/>
  <c r="V433" i="4"/>
  <c r="T433" i="4"/>
  <c r="P433" i="4"/>
  <c r="P432" i="4"/>
  <c r="P431" i="4"/>
  <c r="V430" i="4"/>
  <c r="T430" i="4"/>
  <c r="P430" i="4"/>
  <c r="P429" i="4"/>
  <c r="V428" i="4"/>
  <c r="T428" i="4"/>
  <c r="P428" i="4"/>
  <c r="P427" i="4"/>
  <c r="P426" i="4"/>
  <c r="P425" i="4"/>
  <c r="P419" i="4"/>
  <c r="P418" i="4"/>
  <c r="P417" i="4"/>
  <c r="P416" i="4"/>
  <c r="P415" i="4"/>
  <c r="P414" i="4"/>
  <c r="P413" i="4"/>
  <c r="P412" i="4"/>
  <c r="P411" i="4"/>
  <c r="P410" i="4"/>
  <c r="P409" i="4"/>
  <c r="P408" i="4"/>
  <c r="P407" i="4"/>
  <c r="P406" i="4"/>
  <c r="P405" i="4"/>
  <c r="P404" i="4"/>
  <c r="P403" i="4"/>
  <c r="P402" i="4"/>
  <c r="P401" i="4"/>
  <c r="P400" i="4"/>
  <c r="P399" i="4"/>
  <c r="P398" i="4"/>
  <c r="P397" i="4"/>
  <c r="P396" i="4"/>
  <c r="P395" i="4"/>
  <c r="P394" i="4"/>
  <c r="P393" i="4"/>
  <c r="P392" i="4"/>
  <c r="P391" i="4"/>
  <c r="P390" i="4"/>
  <c r="P389" i="4"/>
  <c r="P388" i="4"/>
  <c r="P387" i="4"/>
  <c r="P386" i="4"/>
  <c r="P385" i="4"/>
  <c r="P384" i="4"/>
  <c r="P383" i="4"/>
  <c r="P382" i="4"/>
  <c r="P381" i="4"/>
  <c r="P380" i="4"/>
  <c r="P379" i="4"/>
  <c r="P378" i="4"/>
  <c r="P377" i="4"/>
  <c r="P376" i="4"/>
  <c r="P375" i="4"/>
  <c r="P374" i="4"/>
  <c r="P373" i="4"/>
  <c r="P372" i="4"/>
  <c r="P371" i="4"/>
  <c r="P370" i="4"/>
  <c r="P369" i="4"/>
  <c r="P368" i="4"/>
  <c r="P367" i="4"/>
  <c r="P366" i="4"/>
  <c r="P365" i="4"/>
  <c r="P364" i="4"/>
  <c r="P363" i="4"/>
  <c r="P362" i="4"/>
  <c r="P361" i="4"/>
  <c r="P358" i="4"/>
  <c r="P357" i="4"/>
  <c r="P356" i="4"/>
  <c r="P355" i="4"/>
  <c r="P354" i="4"/>
  <c r="P353" i="4"/>
  <c r="P352" i="4"/>
  <c r="P351" i="4"/>
  <c r="P350" i="4"/>
  <c r="P349" i="4"/>
  <c r="P348" i="4"/>
  <c r="P347" i="4"/>
  <c r="P346" i="4"/>
  <c r="P345" i="4"/>
  <c r="P343" i="4"/>
  <c r="P342" i="4"/>
  <c r="P339" i="4"/>
  <c r="P338" i="4"/>
  <c r="P328" i="4"/>
  <c r="P327" i="4"/>
  <c r="P326" i="4"/>
  <c r="P325" i="4"/>
  <c r="P324" i="4"/>
  <c r="P323" i="4"/>
  <c r="P322" i="4"/>
  <c r="P321" i="4"/>
  <c r="P320" i="4"/>
  <c r="P319" i="4"/>
  <c r="P318" i="4"/>
  <c r="P317" i="4"/>
  <c r="P316" i="4"/>
  <c r="P315" i="4"/>
  <c r="P314" i="4"/>
  <c r="P313" i="4"/>
  <c r="P304" i="4"/>
  <c r="P303" i="4"/>
  <c r="P302" i="4"/>
  <c r="P301" i="4"/>
  <c r="P300" i="4"/>
  <c r="P299" i="4"/>
  <c r="P298" i="4"/>
  <c r="P297" i="4"/>
  <c r="N295" i="4"/>
  <c r="N294" i="4"/>
  <c r="N293" i="4"/>
  <c r="P282" i="4"/>
  <c r="P281" i="4"/>
  <c r="P280" i="4"/>
  <c r="P279" i="4"/>
  <c r="P278" i="4"/>
  <c r="P277" i="4"/>
  <c r="P276" i="4"/>
  <c r="P275" i="4"/>
  <c r="P274" i="4"/>
  <c r="P273" i="4"/>
  <c r="P272" i="4"/>
  <c r="P271" i="4"/>
  <c r="P270" i="4"/>
  <c r="P269" i="4"/>
  <c r="P268" i="4"/>
  <c r="P267" i="4"/>
  <c r="P266" i="4"/>
  <c r="P265" i="4"/>
  <c r="P264" i="4"/>
  <c r="P263" i="4"/>
  <c r="P262" i="4"/>
  <c r="P261" i="4"/>
  <c r="P260" i="4"/>
  <c r="P259" i="4"/>
  <c r="P258" i="4"/>
  <c r="P257" i="4"/>
  <c r="P256" i="4"/>
  <c r="P255" i="4"/>
  <c r="P254" i="4"/>
  <c r="P253" i="4"/>
  <c r="P252" i="4"/>
  <c r="P251" i="4"/>
  <c r="P250" i="4"/>
  <c r="P249" i="4"/>
  <c r="P246" i="4"/>
  <c r="P245" i="4"/>
  <c r="P244" i="4"/>
  <c r="P243" i="4"/>
  <c r="P242" i="4"/>
  <c r="P241" i="4"/>
  <c r="P240" i="4"/>
  <c r="P239" i="4"/>
  <c r="P238" i="4"/>
  <c r="P237" i="4"/>
  <c r="P236" i="4"/>
  <c r="P235" i="4"/>
  <c r="P234" i="4"/>
  <c r="P233" i="4"/>
  <c r="P232" i="4"/>
  <c r="P231" i="4"/>
  <c r="P230" i="4"/>
  <c r="P229" i="4"/>
  <c r="P228" i="4"/>
  <c r="P227" i="4"/>
  <c r="P226" i="4"/>
  <c r="P225" i="4"/>
  <c r="P224" i="4"/>
  <c r="P223" i="4"/>
  <c r="P222" i="4"/>
  <c r="P221" i="4"/>
  <c r="P220" i="4"/>
  <c r="P219" i="4"/>
  <c r="P218" i="4"/>
  <c r="P217" i="4"/>
  <c r="P216" i="4"/>
  <c r="P215" i="4"/>
  <c r="P214" i="4"/>
  <c r="P213" i="4"/>
  <c r="P212" i="4"/>
  <c r="P211" i="4"/>
  <c r="P210" i="4"/>
  <c r="P209" i="4"/>
  <c r="P208" i="4"/>
  <c r="P207" i="4"/>
  <c r="P206" i="4"/>
  <c r="P205" i="4"/>
  <c r="P204" i="4"/>
  <c r="P203" i="4"/>
  <c r="P202" i="4"/>
  <c r="P201" i="4"/>
  <c r="P200" i="4"/>
  <c r="P199" i="4"/>
  <c r="P198" i="4"/>
  <c r="P197" i="4"/>
  <c r="P196" i="4"/>
  <c r="P195" i="4"/>
  <c r="P194" i="4"/>
  <c r="P193" i="4"/>
  <c r="P192" i="4"/>
  <c r="P191" i="4"/>
  <c r="P190" i="4"/>
  <c r="P189" i="4"/>
  <c r="P121" i="4"/>
  <c r="P120" i="4"/>
  <c r="P119" i="4"/>
  <c r="P118" i="4"/>
  <c r="P117" i="4"/>
  <c r="P116" i="4"/>
  <c r="P115" i="4"/>
  <c r="P114" i="4"/>
  <c r="P113" i="4"/>
  <c r="P112" i="4"/>
  <c r="P88" i="4"/>
  <c r="N88" i="4"/>
  <c r="P87" i="4"/>
  <c r="N87" i="4"/>
  <c r="P68" i="4"/>
  <c r="P67" i="4"/>
  <c r="P66" i="4"/>
  <c r="P65" i="4"/>
  <c r="P64" i="4"/>
  <c r="P63" i="4"/>
  <c r="P62" i="4"/>
  <c r="P61" i="4"/>
  <c r="P60" i="4"/>
  <c r="P59" i="4"/>
  <c r="P58" i="4"/>
  <c r="P34" i="4"/>
  <c r="P33" i="4"/>
  <c r="P32" i="4"/>
  <c r="P31" i="4"/>
  <c r="P30" i="4"/>
  <c r="P29" i="4"/>
  <c r="P28" i="4"/>
  <c r="N26" i="4"/>
  <c r="AA433" i="4" l="1"/>
  <c r="AA430" i="4"/>
  <c r="X428" i="4"/>
  <c r="P624" i="1" l="1"/>
  <c r="P625" i="1"/>
  <c r="P626" i="1"/>
  <c r="P627" i="1"/>
  <c r="P621" i="1"/>
  <c r="P622" i="1"/>
  <c r="P619" i="1"/>
  <c r="P618" i="1"/>
  <c r="P604" i="1"/>
  <c r="P605" i="1"/>
  <c r="P606" i="1"/>
  <c r="P607" i="1"/>
  <c r="P608" i="1"/>
  <c r="P609" i="1"/>
  <c r="P610" i="1"/>
  <c r="P611" i="1"/>
  <c r="P612" i="1"/>
  <c r="P613" i="1"/>
  <c r="P614" i="1"/>
  <c r="P615" i="1"/>
  <c r="P616" i="1"/>
  <c r="P617" i="1"/>
  <c r="P666" i="1" l="1"/>
  <c r="P665" i="1"/>
  <c r="P664" i="1"/>
  <c r="P623" i="1"/>
  <c r="P620" i="1"/>
  <c r="X551" i="1"/>
  <c r="V551" i="1"/>
  <c r="T551" i="1"/>
  <c r="V548" i="1"/>
  <c r="T548" i="1"/>
  <c r="V546" i="1"/>
  <c r="T546" i="1"/>
  <c r="AA548" i="1" l="1"/>
  <c r="AA551" i="1"/>
  <c r="X546" i="1"/>
  <c r="P77" i="1" l="1"/>
  <c r="P76" i="1"/>
  <c r="P75" i="1"/>
  <c r="N76" i="1"/>
  <c r="N77" i="1"/>
  <c r="N75" i="1"/>
  <c r="P74" i="1"/>
  <c r="P73" i="1"/>
  <c r="P72" i="1"/>
  <c r="P71" i="1"/>
  <c r="P70" i="1"/>
  <c r="P69" i="1"/>
  <c r="N70" i="1"/>
  <c r="N71" i="1"/>
  <c r="N69" i="1"/>
  <c r="N73" i="1"/>
  <c r="N74" i="1"/>
  <c r="N72" i="1"/>
  <c r="P479" i="1" l="1"/>
  <c r="P480" i="1"/>
  <c r="P481" i="1"/>
  <c r="P482" i="1"/>
  <c r="P483" i="1"/>
  <c r="P484" i="1"/>
  <c r="P854" i="1"/>
  <c r="P853" i="1"/>
  <c r="P852" i="1"/>
  <c r="P851" i="1"/>
  <c r="P850" i="1"/>
  <c r="P849" i="1"/>
  <c r="P848" i="1"/>
  <c r="P121" i="1" l="1"/>
  <c r="P120" i="1"/>
  <c r="P119" i="1"/>
  <c r="P118" i="1"/>
  <c r="P117" i="1"/>
  <c r="P116" i="1"/>
  <c r="P115" i="1"/>
  <c r="P114" i="1"/>
  <c r="P113" i="1"/>
  <c r="P112" i="1"/>
  <c r="P246" i="1"/>
  <c r="P245" i="1"/>
  <c r="P244" i="1"/>
  <c r="P243" i="1"/>
  <c r="P242" i="1"/>
  <c r="P241" i="1"/>
  <c r="P240" i="1"/>
  <c r="P239" i="1"/>
  <c r="P238" i="1"/>
  <c r="P237" i="1"/>
  <c r="P236" i="1"/>
  <c r="P235" i="1"/>
  <c r="P234" i="1"/>
  <c r="P233" i="1"/>
  <c r="P533" i="1"/>
  <c r="P532" i="1"/>
  <c r="P531" i="1"/>
  <c r="P530" i="1"/>
  <c r="P529" i="1"/>
  <c r="P528" i="1"/>
  <c r="P527" i="1"/>
  <c r="P526" i="1"/>
  <c r="P525" i="1"/>
  <c r="P524" i="1"/>
  <c r="P523" i="1"/>
  <c r="P522" i="1"/>
  <c r="P521" i="1"/>
  <c r="P520" i="1"/>
  <c r="P519" i="1"/>
  <c r="P518" i="1"/>
  <c r="P517" i="1"/>
  <c r="P516" i="1"/>
  <c r="P515" i="1"/>
  <c r="P514" i="1"/>
  <c r="P513" i="1"/>
  <c r="P512" i="1"/>
  <c r="P511" i="1"/>
  <c r="P510" i="1"/>
  <c r="P509" i="1"/>
  <c r="P508" i="1"/>
  <c r="P507" i="1"/>
  <c r="P506" i="1"/>
  <c r="P505" i="1"/>
  <c r="P504" i="1"/>
  <c r="P503" i="1"/>
  <c r="P502" i="1"/>
  <c r="P501" i="1"/>
  <c r="P500" i="1"/>
  <c r="P499" i="1"/>
  <c r="P498" i="1"/>
  <c r="P497" i="1"/>
  <c r="P496" i="1"/>
  <c r="P495" i="1"/>
  <c r="P494" i="1"/>
  <c r="P493" i="1"/>
  <c r="P492" i="1"/>
  <c r="P491" i="1"/>
  <c r="P490" i="1"/>
  <c r="P489" i="1"/>
  <c r="P488" i="1"/>
  <c r="P487" i="1"/>
  <c r="P486" i="1"/>
  <c r="P485" i="1"/>
  <c r="P594" i="1"/>
  <c r="P593" i="1"/>
  <c r="P847" i="1"/>
  <c r="P8" i="1"/>
  <c r="P7"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771"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189" i="1"/>
  <c r="P892"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63" i="1"/>
  <c r="P1176" i="1"/>
  <c r="P1177" i="1"/>
  <c r="P1178" i="1"/>
  <c r="P1179" i="1"/>
  <c r="P1180" i="1"/>
  <c r="P1181" i="1"/>
  <c r="P1182" i="1"/>
  <c r="P1175" i="1"/>
  <c r="P897" i="1"/>
  <c r="P898" i="1"/>
  <c r="P899" i="1"/>
  <c r="P900" i="1"/>
  <c r="P901" i="1"/>
  <c r="P902" i="1"/>
  <c r="P903" i="1"/>
  <c r="P904" i="1"/>
  <c r="P905" i="1"/>
  <c r="P906" i="1"/>
  <c r="P907" i="1"/>
  <c r="P896" i="1"/>
  <c r="P1082" i="1"/>
  <c r="P223" i="1"/>
  <c r="P224" i="1"/>
  <c r="P225" i="1"/>
  <c r="P226" i="1"/>
  <c r="P227" i="1"/>
  <c r="P228" i="1"/>
  <c r="P229" i="1"/>
  <c r="P230" i="1"/>
  <c r="P231" i="1"/>
  <c r="P232" i="1"/>
  <c r="P1081" i="1"/>
</calcChain>
</file>

<file path=xl/sharedStrings.xml><?xml version="1.0" encoding="utf-8"?>
<sst xmlns="http://schemas.openxmlformats.org/spreadsheetml/2006/main" count="32559" uniqueCount="2257">
  <si>
    <t>Title</t>
  </si>
  <si>
    <t>Published Year</t>
  </si>
  <si>
    <t>Journal</t>
  </si>
  <si>
    <t>DOI</t>
  </si>
  <si>
    <t>Study</t>
  </si>
  <si>
    <t>StudyProvince</t>
  </si>
  <si>
    <t>StudySite</t>
  </si>
  <si>
    <t>Lat</t>
  </si>
  <si>
    <t>Lon</t>
  </si>
  <si>
    <t>SampleSource</t>
  </si>
  <si>
    <t>Environment</t>
  </si>
  <si>
    <t>Notes to Size</t>
  </si>
  <si>
    <t>PlasticSize</t>
  </si>
  <si>
    <t>PlasticSizeUnits</t>
  </si>
  <si>
    <t>PlasticSizeConverted</t>
  </si>
  <si>
    <t>Notes to concentration</t>
  </si>
  <si>
    <t>PlasticConcentration</t>
  </si>
  <si>
    <t>PlasticConcentrationUnits</t>
  </si>
  <si>
    <t>ConcentrationConversion</t>
  </si>
  <si>
    <t>ConversionUnits</t>
  </si>
  <si>
    <t>Notes</t>
  </si>
  <si>
    <t>The utility of monitoring snow for microplastics in the Arctic: a pilot study from Iqaluktuuttiaq, Nunavut</t>
  </si>
  <si>
    <t>Arctic Science</t>
  </si>
  <si>
    <t xml:space="preserve">https://doi.org/10.1139/as-2023-0041 </t>
  </si>
  <si>
    <t>Hamilton et al., 2024</t>
  </si>
  <si>
    <t>Nunavut</t>
  </si>
  <si>
    <t>Greiner Lake, Iqaluktuuttiaq</t>
  </si>
  <si>
    <t>Snow</t>
  </si>
  <si>
    <t>Lake</t>
  </si>
  <si>
    <t>Only mass data but GFF filter used</t>
  </si>
  <si>
    <t>&gt; 1</t>
  </si>
  <si>
    <t>μm</t>
  </si>
  <si>
    <t>µg/L</t>
  </si>
  <si>
    <t>Coordinates from Maps</t>
  </si>
  <si>
    <t>Ferguson Lake, Iqaluktuuttiaq</t>
  </si>
  <si>
    <t>Floating microplastic inventories in the southern Beaufort Sea, Arctic Ocean</t>
  </si>
  <si>
    <t>Frontiers in Marine Science</t>
  </si>
  <si>
    <t>https://doi.org/10.3389/fmars.2023.1288301</t>
  </si>
  <si>
    <t>Ikenoue 2023</t>
  </si>
  <si>
    <t>Arctic</t>
  </si>
  <si>
    <t>Beaufort Sea: 69.974, -137.240</t>
  </si>
  <si>
    <t>Water</t>
  </si>
  <si>
    <t>Marine</t>
  </si>
  <si>
    <t>mean of all sampling locations</t>
  </si>
  <si>
    <t>mm</t>
  </si>
  <si>
    <t>pieces/km2</t>
  </si>
  <si>
    <t>particles/Km2</t>
  </si>
  <si>
    <t>Particle "inventory" is corrected to account for the entire water column. Surface water concentration: 7.3 pieces/m3. Microplastic mass inventory: 157 g/m2</t>
  </si>
  <si>
    <t>Beaufort Sea: 71.335, -135.583</t>
  </si>
  <si>
    <t>Particle "inventory" is corrected to account for the entire water column. Surface water concentration: 13 pieces/m3. Microplastic mass inventory: 184 g/m2</t>
  </si>
  <si>
    <t>Microplastics in subsurface water and zooplankton from eight lakes in British Columbia</t>
  </si>
  <si>
    <t>Canadian Journal of Fisheries and Aquatic Sciences</t>
  </si>
  <si>
    <t>https://doi.org/10.1139/cjfas-2022-0293</t>
  </si>
  <si>
    <t>Klasios 2023</t>
  </si>
  <si>
    <t>British Columbia</t>
  </si>
  <si>
    <t>Alta Lake</t>
  </si>
  <si>
    <t>Calculated from SI data file. Average of length in micron per sampling including all shapes, fiber, fragments etc. per lake. Table S4</t>
  </si>
  <si>
    <t>Given by auhtors as mean for each lake Table A1</t>
  </si>
  <si>
    <t>MPs/L</t>
  </si>
  <si>
    <t>particles/L</t>
  </si>
  <si>
    <t>Coordinates confirmed using google maps</t>
  </si>
  <si>
    <t>Brohm Lake</t>
  </si>
  <si>
    <t>Calculated from SI data file. Midpoint of length in micron for all sampling including all shapes, fiber, fragments etc. per lake. Table S5</t>
  </si>
  <si>
    <t>Given by auhtors as mean for each lake Table A2</t>
  </si>
  <si>
    <t>Chilliwack Lake</t>
  </si>
  <si>
    <t>Calculated from SI data file. Midpoint of length in micron for all sampling including all shapes, fiber, fragments etc. per lake. Table S6</t>
  </si>
  <si>
    <t>Given by auhtors as mean for each lake Table A3</t>
  </si>
  <si>
    <t>Cowichan Lake</t>
  </si>
  <si>
    <t>Calculated from SI data file. Midpoint of length in micron for all sampling including all shapes, fiber, fragments etc. per lake. Table S7</t>
  </si>
  <si>
    <t>Given by auhtors as mean for each lake Table A4</t>
  </si>
  <si>
    <t>Cultus Lake</t>
  </si>
  <si>
    <t>Calculated from SI data file. Midpoint of length in micron for all sampling including all shapes, fiber, fragments etc. per lake. Table S8</t>
  </si>
  <si>
    <t>Given by auhtors as mean for each lake Table A5</t>
  </si>
  <si>
    <t>Deer Lake</t>
  </si>
  <si>
    <t>Calculated from SI data file. Midpoint of length in micron for all sampling including all shapes, fiber, fragments etc. per lake. Table S9</t>
  </si>
  <si>
    <t>Given by auhtors as mean for each lake Table A6</t>
  </si>
  <si>
    <t>Lizard Lake</t>
  </si>
  <si>
    <t>Calculated from SI data file. Midpoint of length in micron for all sampling including all shapes, fiber, fragments etc. per lake. Table S10</t>
  </si>
  <si>
    <t>Given by auhtors as mean for each lake Table A7</t>
  </si>
  <si>
    <t>Pixie Lake</t>
  </si>
  <si>
    <t>Calculated from SI data file. Midpoint of length in micron for all sampling including all shapes, fiber, fragments etc. per lake. Table S11</t>
  </si>
  <si>
    <t>Given by auhtors as mean for each lake Table A8</t>
  </si>
  <si>
    <t>Spatiotemporal variability of microplastics in Muskoka-Haliburton headwater lakes, Ontario, Canada</t>
  </si>
  <si>
    <t>Environmental Earth Sciences</t>
  </si>
  <si>
    <t>https://doi.org/10.1007/s12665-022-10670-9</t>
  </si>
  <si>
    <t>Welsh 2022</t>
  </si>
  <si>
    <t>Ontario</t>
  </si>
  <si>
    <t>Blue chalk, Muskoka-Haliburton</t>
  </si>
  <si>
    <t>Filtered through 1.6um</t>
  </si>
  <si>
    <t>&gt;1.6</t>
  </si>
  <si>
    <t>µm</t>
  </si>
  <si>
    <t>From supplementary information</t>
  </si>
  <si>
    <t>microplastics/L</t>
  </si>
  <si>
    <t>Chub, Muskoka-Haliburton</t>
  </si>
  <si>
    <t>Dickie, Muskoka-Haliburton</t>
  </si>
  <si>
    <t>Fawn, Muskoka-Haliburton</t>
  </si>
  <si>
    <t>Harp, Muskoka-Haliburton</t>
  </si>
  <si>
    <t>Heney, Muskoka-Haliburton</t>
  </si>
  <si>
    <t>Mouse, Muskoka-Haliburton</t>
  </si>
  <si>
    <t>Plastic, Muskoka-Haliburton</t>
  </si>
  <si>
    <t>Ranger, Muskoka-Haliburton</t>
  </si>
  <si>
    <t>Red chalk, Muskoka-Haliburton</t>
  </si>
  <si>
    <t>Three mile, Muskoka-Haliburton</t>
  </si>
  <si>
    <t>Sediment</t>
  </si>
  <si>
    <t>Sieved through 100um</t>
  </si>
  <si>
    <t>&gt;100</t>
  </si>
  <si>
    <t>microplastics/gdw</t>
  </si>
  <si>
    <t>particles/Kg dw</t>
  </si>
  <si>
    <t>Raner, Muskoka-Haliburton</t>
  </si>
  <si>
    <t>Young, Muskoka-Haliburton</t>
  </si>
  <si>
    <t>Remote, but Not Isolatedâ€”Microplastics in the Sub-surface Waters of the Canadian Arctic Archipelago</t>
  </si>
  <si>
    <t>https://doi.org/10.3389/fmars.2021.666482</t>
  </si>
  <si>
    <t>Jones-Williams 2021</t>
  </si>
  <si>
    <t>Baffin Bay transect 8</t>
  </si>
  <si>
    <t>Pump with filters 50, 100, 300um</t>
  </si>
  <si>
    <t>&gt;50</t>
  </si>
  <si>
    <t>plastic/L</t>
  </si>
  <si>
    <t>Corrected data, particles+fibers</t>
  </si>
  <si>
    <t>Baffin Bay transect 9</t>
  </si>
  <si>
    <t>Baffin Bay transect 10</t>
  </si>
  <si>
    <t>Baffin Bay transect 11</t>
  </si>
  <si>
    <t>Baffin Bay transect 12</t>
  </si>
  <si>
    <t>Baffin Bay transect 13</t>
  </si>
  <si>
    <t>Baffin Bay transect 14</t>
  </si>
  <si>
    <t>Baffin Bay transect 15</t>
  </si>
  <si>
    <t>Baffin Bay transect 16</t>
  </si>
  <si>
    <t>High Arctic transect 1</t>
  </si>
  <si>
    <t>High Arctic transect 2</t>
  </si>
  <si>
    <t>High Arctic transect 6</t>
  </si>
  <si>
    <t>High Arctic transect 7</t>
  </si>
  <si>
    <t>Kitikmeot transect 3</t>
  </si>
  <si>
    <t>Kitikmeot transect 4</t>
  </si>
  <si>
    <t>Kitikmeot transect 5</t>
  </si>
  <si>
    <t>Distribution and Degradation of Fresh Water Plastic Particles Along the Beaches of Lake Huron, Canada</t>
  </si>
  <si>
    <t>Water, Air and Soil Pollution</t>
  </si>
  <si>
    <t>https://doi.org/10.1007/s11270-011-0760-6</t>
  </si>
  <si>
    <t>Zbyszewski &amp; Corcoran, 2011</t>
  </si>
  <si>
    <t>Lake Huron, Port Austin</t>
  </si>
  <si>
    <t>Beach</t>
  </si>
  <si>
    <t>Only MP were considered</t>
  </si>
  <si>
    <t>&lt; 5</t>
  </si>
  <si>
    <t>&lt;5000</t>
  </si>
  <si>
    <t>Overall mean concentration</t>
  </si>
  <si>
    <t>particles/ 85 m2</t>
  </si>
  <si>
    <t>items/m2</t>
  </si>
  <si>
    <t>Lake Huron, Harbour Beach</t>
  </si>
  <si>
    <t>particles/ 85 m3</t>
  </si>
  <si>
    <t>Lake Huron, Sarnia Beach</t>
  </si>
  <si>
    <t>particles/ 85 m4</t>
  </si>
  <si>
    <t>Lake Huron, South Beach</t>
  </si>
  <si>
    <t>particles/ 85 m5</t>
  </si>
  <si>
    <t>Lake Huron, Sunset Beach</t>
  </si>
  <si>
    <t>particles/ 85 m6</t>
  </si>
  <si>
    <t>Lake Huron, Beach 3</t>
  </si>
  <si>
    <t>particles/ 85 m7</t>
  </si>
  <si>
    <t>Lake Huron, Carter Bay</t>
  </si>
  <si>
    <t>particles/ 85 m8</t>
  </si>
  <si>
    <t>Surface Water Microplastics in the St. Lawrence River and Estuary in Canada</t>
  </si>
  <si>
    <t>PLoS ONE</t>
  </si>
  <si>
    <t>10.1371/journal.pone.0315739</t>
  </si>
  <si>
    <t>Langlois 2025</t>
  </si>
  <si>
    <t>Quebec</t>
  </si>
  <si>
    <t>St. Lawrence River and Estuary;Varennes</t>
  </si>
  <si>
    <t>Estuary</t>
  </si>
  <si>
    <t>Manta net of 100 and 300um</t>
  </si>
  <si>
    <t>particles per million liters (PPML).</t>
  </si>
  <si>
    <t>median concentration obtained from the box plot with webplotdigitizer</t>
  </si>
  <si>
    <t>St. Lawrence River and Estuary;Contrecoeur</t>
  </si>
  <si>
    <t>St. Lawrence River and Estuary;Sorel</t>
  </si>
  <si>
    <t>St. Lawrence River and Estuary;Trois-Rivieres</t>
  </si>
  <si>
    <t>St. Lawrence River and Estuary;Portneuf</t>
  </si>
  <si>
    <t>St. Lawrence River and Estuary;Quebec</t>
  </si>
  <si>
    <t>St. Lawrence River and Estuary;Montmagny</t>
  </si>
  <si>
    <t>St. Lawrence River and Estuary;Baie-Saint-Paul</t>
  </si>
  <si>
    <t>St. Lawrence River and Estuary;La Pocatiere</t>
  </si>
  <si>
    <t>St. Lawrence River and Estuary;Malbaie</t>
  </si>
  <si>
    <t>St. Lawrence River and Estuary;Trois-Pistoles</t>
  </si>
  <si>
    <t>The Fate of Microplastics in Rural Headwater Lake Catchments</t>
  </si>
  <si>
    <t>Environmental Science &amp; Technology</t>
  </si>
  <si>
    <t>https://doi.org/10.1021/acs.est.4c05435</t>
  </si>
  <si>
    <t>Welsh 2024</t>
  </si>
  <si>
    <t xml:space="preserve">Muskoka-Haliburton;Dickie Lake </t>
  </si>
  <si>
    <t xml:space="preserve">mean particle size of fibers and fragments for sediments </t>
  </si>
  <si>
    <t>Average concentration</t>
  </si>
  <si>
    <t xml:space="preserve">Muskoka-Haliburton;Harp Lake </t>
  </si>
  <si>
    <t xml:space="preserve">Muskoka-Haliburton;Plastic Lake </t>
  </si>
  <si>
    <t>Muskoka-Haliburton;Dickie Lake</t>
  </si>
  <si>
    <t>mean particle size of fibers and fragments for water</t>
  </si>
  <si>
    <t>mean particle size of fibers and fragments for air</t>
  </si>
  <si>
    <t>Air</t>
  </si>
  <si>
    <t>A Multicompartment Assessment of Microplastic Contamination in Semiâ€remote Boreal Lakes</t>
  </si>
  <si>
    <t>Environmental Toxicology and Chemistry</t>
  </si>
  <si>
    <t>https://doi.org/10.1002/etc.5832</t>
  </si>
  <si>
    <t>McIlwraith et al., 2024</t>
  </si>
  <si>
    <t>Highwind Lake</t>
  </si>
  <si>
    <t>Pump and filter through 500, 213, 104, 51um. Three lakes samples with manta 33um. Overall size ranged from 42-&gt;5000um</t>
  </si>
  <si>
    <t>&gt;51</t>
  </si>
  <si>
    <t>Calculated using automeris, there are 3 points, an average was taken of the 3 points for each site.</t>
  </si>
  <si>
    <t>Particles/L</t>
  </si>
  <si>
    <t>Overall near-surface concentration 0.2 particles/L</t>
  </si>
  <si>
    <t xml:space="preserve">Hilllock Lake </t>
  </si>
  <si>
    <t>Overall surface water concentration of 3 lakes 0.0002 particles/L</t>
  </si>
  <si>
    <t>L628</t>
  </si>
  <si>
    <t>L373</t>
  </si>
  <si>
    <t>L378</t>
  </si>
  <si>
    <t>L114</t>
  </si>
  <si>
    <t>L239</t>
  </si>
  <si>
    <t>L225</t>
  </si>
  <si>
    <t>Teggau lake</t>
  </si>
  <si>
    <t>L373, Lakes around IISD-ELA</t>
  </si>
  <si>
    <t>&gt;53</t>
  </si>
  <si>
    <t>Averaged of shallow and deep sediments</t>
  </si>
  <si>
    <t>L378, Lakes around IISD-ELA</t>
  </si>
  <si>
    <t xml:space="preserve"> Lakes around IISD-ELA</t>
  </si>
  <si>
    <t>Length range 139-4528 um</t>
  </si>
  <si>
    <t>&gt;139</t>
  </si>
  <si>
    <t>atomospheric deposition</t>
  </si>
  <si>
    <t>particles/m2/day</t>
  </si>
  <si>
    <t>, -93.727083</t>
  </si>
  <si>
    <t>Microparticles in Wild and Caged Biota, Sediments, and Water Relative to Large Municipal Wastewater Treatment Plant Discharges</t>
  </si>
  <si>
    <t>https://doi.org/10.1002/etc.5836</t>
  </si>
  <si>
    <t>Weir 2024</t>
  </si>
  <si>
    <t>Waterloo;Inverhaugh (Pilkington Overlook);REF1</t>
  </si>
  <si>
    <t>River</t>
  </si>
  <si>
    <t xml:space="preserve"> pump and filtered through 35.56 um</t>
  </si>
  <si>
    <t>&gt;35</t>
  </si>
  <si>
    <t>Waterloo;West montrose;REF2</t>
  </si>
  <si>
    <t>Waterloo;Kiwanis;REF3</t>
  </si>
  <si>
    <t>Waterloo;Economical insurance trail;DSWI</t>
  </si>
  <si>
    <t>Waterloo;Fairway;DSW2</t>
  </si>
  <si>
    <t>Waterloo;Horseranch;DSW3</t>
  </si>
  <si>
    <t>Kitchener;Pioneer Tower 1;DSK1</t>
  </si>
  <si>
    <t>Kitchener;Pioneer Tower 2;DSK2</t>
  </si>
  <si>
    <t>Kitchener; Blair ;DSK3</t>
  </si>
  <si>
    <t>Kitchener; Glen Morris ;DSK4</t>
  </si>
  <si>
    <t>Lower size fraction</t>
  </si>
  <si>
    <t>&gt;38</t>
  </si>
  <si>
    <t>particles/kgdw</t>
  </si>
  <si>
    <t>Levels and composition of microplastics and microfibers in the South Saskatchewan River and stormwater retention ponds in the City of Saskatoon, Canada</t>
  </si>
  <si>
    <t>Environmental Science and Pollution Research</t>
  </si>
  <si>
    <t>https://doi.org/10.1007/s11356-023-29077-5</t>
  </si>
  <si>
    <t>Kumayon 2023</t>
  </si>
  <si>
    <t>Saskatchewan</t>
  </si>
  <si>
    <t>Saskatchewan River, Aspen Ridge</t>
  </si>
  <si>
    <t>Collected with 10um plankton net</t>
  </si>
  <si>
    <t>missing</t>
  </si>
  <si>
    <t>NA</t>
  </si>
  <si>
    <t>average of the three seasons</t>
  </si>
  <si>
    <t>particles/m3</t>
  </si>
  <si>
    <t>The average particle concentration of the three sampling times (Fig 4) was computed. Particle size limited to 10um to 5 mm but no average reported.</t>
  </si>
  <si>
    <t>Saskatchewan River, Beaver Creek</t>
  </si>
  <si>
    <t>Saskatchewan River, Clarkboro</t>
  </si>
  <si>
    <t>Saskatchewan River, Evergreen</t>
  </si>
  <si>
    <t>Saskatchewan River, Fred Heal</t>
  </si>
  <si>
    <t>Saskatchewan River, Miry Creek</t>
  </si>
  <si>
    <t>Saskatchewan River, NE Swale</t>
  </si>
  <si>
    <t>Saskatchewan River, Outlook downstream</t>
  </si>
  <si>
    <t>Saskatchewan River, Outlook upstream</t>
  </si>
  <si>
    <t>Saskatchewan River, St. Louis</t>
  </si>
  <si>
    <t>Local Monitoring Should Inform Local Solutions: Morphological Assemblages of Microplastics Are Similar within a Pathway, But Relative Total Concentrations Vary Regionally</t>
  </si>
  <si>
    <t>Environmental science &amp; technology</t>
  </si>
  <si>
    <t>https://doi.org/10.1021/acs.est.2c00926</t>
  </si>
  <si>
    <t>Rochman 2022</t>
  </si>
  <si>
    <t>Lake ontario</t>
  </si>
  <si>
    <t>sievedthrough 25um</t>
  </si>
  <si>
    <t>&gt;25</t>
  </si>
  <si>
    <t>Categorization of plastic debris on sixty-six beaches of the Laurentian Great Lakes, North America</t>
  </si>
  <si>
    <t>Environmental Research Letters</t>
  </si>
  <si>
    <t>https://doi.org/10.1088/1748-9326/ac5714</t>
  </si>
  <si>
    <t>Arturo &amp; Corcoran, 2022</t>
  </si>
  <si>
    <t>Crescent Beach</t>
  </si>
  <si>
    <t>&lt;5</t>
  </si>
  <si>
    <t>From supplemental</t>
  </si>
  <si>
    <t>Particles/m2</t>
  </si>
  <si>
    <t>USA</t>
  </si>
  <si>
    <t>Fairport Harbor</t>
  </si>
  <si>
    <t>Evangola Park</t>
  </si>
  <si>
    <t>Colchester Beach</t>
  </si>
  <si>
    <t>Port Stanley</t>
  </si>
  <si>
    <t>Cedar Beach</t>
  </si>
  <si>
    <t>Holiday Harbour</t>
  </si>
  <si>
    <t>James N Allen Park</t>
  </si>
  <si>
    <t>Port Clinton</t>
  </si>
  <si>
    <t>Presque Isle</t>
  </si>
  <si>
    <t>Baxter Beach</t>
  </si>
  <si>
    <t>Sunset Beach</t>
  </si>
  <si>
    <t>South Beach</t>
  </si>
  <si>
    <t>Hilton</t>
  </si>
  <si>
    <t>Private Pfeiffer</t>
  </si>
  <si>
    <t>UNKNOWN</t>
  </si>
  <si>
    <t>Grandview</t>
  </si>
  <si>
    <t>Wasaga Beach</t>
  </si>
  <si>
    <t>Port Austin</t>
  </si>
  <si>
    <t>Huron Beach</t>
  </si>
  <si>
    <t>Harbor Beach</t>
  </si>
  <si>
    <t>Point Clark</t>
  </si>
  <si>
    <t>Pinconning</t>
  </si>
  <si>
    <t>Providence Bay</t>
  </si>
  <si>
    <t>Bay City</t>
  </si>
  <si>
    <t>Green Bay</t>
  </si>
  <si>
    <t>Bay View</t>
  </si>
  <si>
    <t>Kenosha</t>
  </si>
  <si>
    <t>Sheboygan</t>
  </si>
  <si>
    <t>Warren Dunes</t>
  </si>
  <si>
    <t>Holland State</t>
  </si>
  <si>
    <t>Algoma</t>
  </si>
  <si>
    <t>Pentwater</t>
  </si>
  <si>
    <t>Escanaba</t>
  </si>
  <si>
    <t>Bradford</t>
  </si>
  <si>
    <t>Traverse City</t>
  </si>
  <si>
    <t>Ogden Dunes</t>
  </si>
  <si>
    <t>12th Street</t>
  </si>
  <si>
    <t>Brevort</t>
  </si>
  <si>
    <t>Manistique</t>
  </si>
  <si>
    <t>Bronte Beach</t>
  </si>
  <si>
    <t>Sodus Point</t>
  </si>
  <si>
    <t>Colonel Samuel</t>
  </si>
  <si>
    <t>Presqu'ile</t>
  </si>
  <si>
    <t>Porter on the Lake</t>
  </si>
  <si>
    <t>Ontario Park</t>
  </si>
  <si>
    <t>Crerar</t>
  </si>
  <si>
    <t>Humber Bay</t>
  </si>
  <si>
    <t>Lakeview Park</t>
  </si>
  <si>
    <t>Rossport</t>
  </si>
  <si>
    <t>Katherine Cove</t>
  </si>
  <si>
    <t>Brimley</t>
  </si>
  <si>
    <t>Munising</t>
  </si>
  <si>
    <t>Sherman Park</t>
  </si>
  <si>
    <t>Baraga/ Second Sand</t>
  </si>
  <si>
    <t>Michipicoten</t>
  </si>
  <si>
    <t>Ontonagon</t>
  </si>
  <si>
    <t>Park Point</t>
  </si>
  <si>
    <t>Grand Marais</t>
  </si>
  <si>
    <t>Shuniah</t>
  </si>
  <si>
    <t>Grand Marais Dunes</t>
  </si>
  <si>
    <t>Batchawana Bay</t>
  </si>
  <si>
    <t>Marquette</t>
  </si>
  <si>
    <t>Temperance River</t>
  </si>
  <si>
    <t>Pigeon River</t>
  </si>
  <si>
    <t>Houghton</t>
  </si>
  <si>
    <t>Marathon</t>
  </si>
  <si>
    <t>Factors Controlling the Distribution of Microplastic Particles in Benthic Sediment of the Thames River, Canada</t>
  </si>
  <si>
    <t>https://doi.org/10.1021/acs.est.9b04896</t>
  </si>
  <si>
    <t>Corcoran 2020</t>
  </si>
  <si>
    <t>Sample 386, North Thames River, North of Mitchell</t>
  </si>
  <si>
    <t>most MPs were fibers, and the length of those fibers was between 0.18 and 8.7 mm, so the midpoint of the range is recorded</t>
  </si>
  <si>
    <t>particles/kg dry weight</t>
  </si>
  <si>
    <t>locations are estimates from google maps as no precise spacial information is provided</t>
  </si>
  <si>
    <t>Sample 388, North Thames River, Mitchell</t>
  </si>
  <si>
    <t>Sample 389, North Thames River, South of Mitchell</t>
  </si>
  <si>
    <t>Sample 390, Lower Thames River, Near Pain Court</t>
  </si>
  <si>
    <t>Sample 391, Lower Thames River, South Chatham</t>
  </si>
  <si>
    <t>Sample 393, North Thames River, West London</t>
  </si>
  <si>
    <t>Sample 395, South Thames River, North of Woodstock</t>
  </si>
  <si>
    <t>Sample 396, South Thames River, South of Woodstock</t>
  </si>
  <si>
    <t>Sample 399, South Thames River, Woodstock</t>
  </si>
  <si>
    <t>Sample 400, Middle Thames River, Near Embra</t>
  </si>
  <si>
    <t>Sample 401, Middle Thames River, Near Zora</t>
  </si>
  <si>
    <t>Sample 402, Middle Thames River, Near Thamesford</t>
  </si>
  <si>
    <t>Sample 404, South Thames River, Near Putnam</t>
  </si>
  <si>
    <t>Sample 406, North Thames River, Mt Pleasant</t>
  </si>
  <si>
    <t>Sample 407, North Thames River, North Saint Mary's</t>
  </si>
  <si>
    <t>Sample 408, North Thames River, South Saint Mary's</t>
  </si>
  <si>
    <t>Sample 409, North Thames River, Near Plover Mills</t>
  </si>
  <si>
    <t>Sample 410, North Thames River, North London</t>
  </si>
  <si>
    <t>Sample 411, North Thames River, Near Thorndale</t>
  </si>
  <si>
    <t>Sample 412, Lower Thames River, Near Moncey</t>
  </si>
  <si>
    <t>Sample 413, Lower Thames River, Near Riverside</t>
  </si>
  <si>
    <t>Sample 415, North Thames River, South/Outer London</t>
  </si>
  <si>
    <t>Sample 417, North Thames River, North London</t>
  </si>
  <si>
    <t>Sample 418, Lower Thames River, Near Barthwell</t>
  </si>
  <si>
    <t>Sample 419, Lower Thames River, Near Thamesville</t>
  </si>
  <si>
    <t>Sample 420, Lower Thames River, Near Vosburg</t>
  </si>
  <si>
    <t>Sample 421, Lower Thames River, North Chatham</t>
  </si>
  <si>
    <t>Sample 422, Lower Thames River, Near Bagnall</t>
  </si>
  <si>
    <t>Sample 423, Lower Thames River, Near Bradley</t>
  </si>
  <si>
    <t>Sample 424, Middle Thames River, Near Dorchester</t>
  </si>
  <si>
    <t>Sample 425, North Thames River, West London</t>
  </si>
  <si>
    <t>Sample 426, North Thames River, Central London</t>
  </si>
  <si>
    <t>Sample 427, North Thames River, North London</t>
  </si>
  <si>
    <t>Sample 428, North Thames River, Central London</t>
  </si>
  <si>
    <t>Abundance and distribution of microplastics within surface sediments of a key shellfish growing region of Canada</t>
  </si>
  <si>
    <t>PLoS One</t>
  </si>
  <si>
    <t>https://doi.org/10.1371/journal.pone.0196005</t>
  </si>
  <si>
    <t>Kazmiruk 2018</t>
  </si>
  <si>
    <t>Comox Estuary, Vancouver Island, BC, Canada</t>
  </si>
  <si>
    <t>size listed as mostly less than 63 um</t>
  </si>
  <si>
    <t>particles/kg</t>
  </si>
  <si>
    <t>Mean of all size classes and shapes</t>
  </si>
  <si>
    <t>Deep Bay, Baynes Sound Channel, Vancouver Island, BC, Canada</t>
  </si>
  <si>
    <t>Ferry Terminal, Vancouver Island, BC, Canada</t>
  </si>
  <si>
    <t>Fillongley Provincial Park, Vancouver Island, BC, Canada</t>
  </si>
  <si>
    <t>most particles between 63 and 250 um, so midpoint is given</t>
  </si>
  <si>
    <t>Gravelly Bay, Vancouver Island, BC, Canada</t>
  </si>
  <si>
    <t>Henry Bay, Vancouver Island, BC, Canada</t>
  </si>
  <si>
    <t>Metcalf Bay, Vancouver Island, BC, Canada</t>
  </si>
  <si>
    <t>Morningside Beach, Vancouver Island, BC, Canada</t>
  </si>
  <si>
    <t>Mud Bay, Baynes Sound Channel, Vancouver Island, BC, Canada</t>
  </si>
  <si>
    <t>Royston Bay, Vancouver Island, BC, Canada</t>
  </si>
  <si>
    <t>Intertidal Concentrations of Microplastics and Their Influence on Ammonium Cycling as Related to the Shellfish Industry</t>
  </si>
  <si>
    <t>Arch. Environ. Contam. Toxicol.</t>
  </si>
  <si>
    <t>10.1007/s00244-015-0156-5</t>
  </si>
  <si>
    <t>Cluzard 2021</t>
  </si>
  <si>
    <t>Baynes Sound, Site 1, Beach Near Argoyl Road</t>
  </si>
  <si>
    <t>Sieved through 1mm</t>
  </si>
  <si>
    <t>read from Fig 6a with atomeris</t>
  </si>
  <si>
    <t>Baynes Sound, Site 10, Denman Point</t>
  </si>
  <si>
    <t>Baynes Sound, Site 11, Near Chrisman  Road on coast of Denman Island</t>
  </si>
  <si>
    <t>Baynes Sound, Site 12, Longbeak Point</t>
  </si>
  <si>
    <t>Baynes Sound, Site 13, North east coast of Dennman Island</t>
  </si>
  <si>
    <t>Baynes Sound, Site 14, Near Fillongley Park</t>
  </si>
  <si>
    <t>Baynes Sound, Site 2, North Union Bay</t>
  </si>
  <si>
    <t>Baynes Sound, Site 3, Fanny Bay</t>
  </si>
  <si>
    <t>Baynes Sound, Site 4, Near Wilfred Creek</t>
  </si>
  <si>
    <t>Baynes Sound, Site 5, Near McNaughton Creek</t>
  </si>
  <si>
    <t>Baynes Sound, Site 6, Boyle Point</t>
  </si>
  <si>
    <t>Baynes Sound, Site 7, Near Finton Road on coast of Denman Island</t>
  </si>
  <si>
    <t>Baynes Sound, Site 8, Near Millard Road on coast of Denman Island</t>
  </si>
  <si>
    <t>Baynes Sound, Site 9, Near Denman Island West BC Ferries Terminal</t>
  </si>
  <si>
    <t>Microplastic distribution and composition in mudflat sediments and varnish clams (Nuttallia obscurata) at two estuaries of British Columbia, Canada: An assessment of potential anthropogenic sources</t>
  </si>
  <si>
    <t>Marine Pollution Bulletin</t>
  </si>
  <si>
    <t>https://doi.org/10.1016/j.marpolbul.2024.117367</t>
  </si>
  <si>
    <t>Zoveidadianpour 2025</t>
  </si>
  <si>
    <t>Cowichan</t>
  </si>
  <si>
    <t>&lt;0.1</t>
  </si>
  <si>
    <t>&lt;100</t>
  </si>
  <si>
    <t>Taken as an average of sites, individual sites not reported.</t>
  </si>
  <si>
    <t>Divided by sites, but results reported in text by location/sample type. Size reported is an approximation through the midpoint of the reported range</t>
  </si>
  <si>
    <t>K'ómoks</t>
  </si>
  <si>
    <t>Spatial distribution and risk assessment of microplastics in surface waters of the St. Lawrence Estuary</t>
  </si>
  <si>
    <t>The Science of the total environment</t>
  </si>
  <si>
    <t>https://doi.org/10.1016/j.scitotenv.2024.174324</t>
  </si>
  <si>
    <t>Kelly 2024</t>
  </si>
  <si>
    <t>St. Lawrence Estuary; Fluvial Estuary 1</t>
  </si>
  <si>
    <t>Pumped through filers, lower size cutoff of 63 um</t>
  </si>
  <si>
    <t>&gt;63</t>
  </si>
  <si>
    <t>microplastics/m3</t>
  </si>
  <si>
    <t>St. Lawrence Estuary; Fluvial Estuary 2</t>
  </si>
  <si>
    <t>St. Lawrence Estuary; Upper Estuary 3</t>
  </si>
  <si>
    <t>St. Lawrence Estuary; Upper Estuary 4</t>
  </si>
  <si>
    <t>St. Lawrence Estuary; Upper Estuary 5</t>
  </si>
  <si>
    <t>St. Lawrence Estuary; Upper Estuary 6</t>
  </si>
  <si>
    <t>St. Lawrence Estuary; Upper Estuary 7</t>
  </si>
  <si>
    <t>St. Lawrence Estuary; Upper Estuary 8</t>
  </si>
  <si>
    <t>St. Lawrence Estuary; Upper Estuary 9</t>
  </si>
  <si>
    <t>St. Lawrence Estuary; Lower Estuary 10</t>
  </si>
  <si>
    <t>St. Lawrence Estuary; Lower Estuary 11</t>
  </si>
  <si>
    <t>St. Lawrence Estuary; Lower Estuary 12</t>
  </si>
  <si>
    <t>St. Lawrence Estuary; Lower Estuary 13</t>
  </si>
  <si>
    <t>St. Lawrence Estuary; Lower Estuary 14</t>
  </si>
  <si>
    <t>St. Lawrence Estuary; Lower Estuary 15</t>
  </si>
  <si>
    <t>St. Lawrence Estuary; Lower Estuary 16</t>
  </si>
  <si>
    <t>St. Lawrence Estuary; Lower Estuary 17</t>
  </si>
  <si>
    <t>St. Lawrence Estuary; Lower Estuary 18</t>
  </si>
  <si>
    <t>St. Lawrence Estuary; Lower Estuary T1</t>
  </si>
  <si>
    <t>St. Lawrence Estuary; Lower Estuary T3</t>
  </si>
  <si>
    <t>St. Lawrence Estuary; Lower Estuary T6</t>
  </si>
  <si>
    <t>St. Lawrence Estuary; Lower Estuary 19</t>
  </si>
  <si>
    <t>St. Lawrence Estuary; Lower Estuary 20</t>
  </si>
  <si>
    <t>St. Lawrence Estuary; Lower Estuary 21</t>
  </si>
  <si>
    <t>St. Lawrence Estuary; Nw Gulf 22</t>
  </si>
  <si>
    <t>St. Lawrence Estuary; Nw Gulf 23</t>
  </si>
  <si>
    <t>St. Lawrence Estuary; Nw Gulf 24</t>
  </si>
  <si>
    <t>St. Lawrence Estuary; Nw Gulf 25</t>
  </si>
  <si>
    <t>St. Lawrence Estuary; Nw Gulf 26</t>
  </si>
  <si>
    <t>St. Lawrence Estuary; Nw Gulf 27</t>
  </si>
  <si>
    <t>St. Lawrence Estuary; Nw Gulf 28</t>
  </si>
  <si>
    <t>Microplastics and anthropogenic microparticles in surface waters from Yellowknife Bay, Great Slave Lake, Northwest Territories, Canada</t>
  </si>
  <si>
    <t>Journal of Great Lakes Research</t>
  </si>
  <si>
    <t>https://doi.org/10.1016/j.jglr.2024.102348</t>
  </si>
  <si>
    <t>Bourdages 2024</t>
  </si>
  <si>
    <t>Northwest Territories</t>
  </si>
  <si>
    <t>Yellowknife Back Bay</t>
  </si>
  <si>
    <t>Sampled with Manta net 300 μm</t>
  </si>
  <si>
    <t>&gt;300</t>
  </si>
  <si>
    <t>Concentration given per lake</t>
  </si>
  <si>
    <t>particles m-3</t>
  </si>
  <si>
    <t>10 sites from each location shown in the map, but results given per location. he sub-sampled fibres ranged from 306 to 17,247 µm in length (70% smaller than 5 mm), and the area of fragments, films, and foams ranged from 0.00067–9.57 mm² - no reported size avg per location</t>
  </si>
  <si>
    <t>https://doi.org/10.1016/j.jglr.2024.102349</t>
  </si>
  <si>
    <t>https://doi.org/10.1016/j.jglr.2024.102350</t>
  </si>
  <si>
    <t>https://doi.org/10.1016/j.jglr.2024.102351</t>
  </si>
  <si>
    <t>https://doi.org/10.1016/j.jglr.2024.102352</t>
  </si>
  <si>
    <t>https://doi.org/10.1016/j.jglr.2024.102353</t>
  </si>
  <si>
    <t>https://doi.org/10.1016/j.jglr.2024.102354</t>
  </si>
  <si>
    <t>https://doi.org/10.1016/j.jglr.2024.102355</t>
  </si>
  <si>
    <t>https://doi.org/10.1016/j.jglr.2024.102356</t>
  </si>
  <si>
    <t>https://doi.org/10.1016/j.jglr.2024.102357</t>
  </si>
  <si>
    <t>Yellowknife Outer Bay</t>
  </si>
  <si>
    <t>Yellowknife River</t>
  </si>
  <si>
    <t>10 sites from each location shown in the map, but results given per location. he sub-sampled fibres ranged from 306 to 17,247 µm in length (70% smaller than 5 mm), and the area of fragments, films, and foams ranged from 0.00067–9.57 mm² - no reported size avg per location - study mentions biomagnification</t>
  </si>
  <si>
    <t>Long term trends in floating plastic pollution within a marine protected area identifies threats for Endangered northern bottlenose whales</t>
  </si>
  <si>
    <t>Environmental research</t>
  </si>
  <si>
    <t>https://doi.org/10.1016/j.envres.2023.115686</t>
  </si>
  <si>
    <t>Kelly 2023</t>
  </si>
  <si>
    <t>Nova Scotia</t>
  </si>
  <si>
    <t>The Gully (2019)</t>
  </si>
  <si>
    <t>based on the bulk method, median provided by authors. Samples with neuston net 30.8um</t>
  </si>
  <si>
    <t>provided by authors</t>
  </si>
  <si>
    <t>particles/ L</t>
  </si>
  <si>
    <t>Locations checked in google maps</t>
  </si>
  <si>
    <t>Haldimand canyon (2019)</t>
  </si>
  <si>
    <t>based on the bulk method, median provided by authors</t>
  </si>
  <si>
    <t>Locations were not found keep as it was</t>
  </si>
  <si>
    <t>Shortland canyon (2019)</t>
  </si>
  <si>
    <t>The Gully (2015)</t>
  </si>
  <si>
    <t>based on the Neuston method, median provided by authors</t>
  </si>
  <si>
    <t>particles/ km2</t>
  </si>
  <si>
    <t>Haldimand canyon (2015)</t>
  </si>
  <si>
    <t>Alberta</t>
  </si>
  <si>
    <t>Microplastics Distribution within Western Arctic Seawater and Sea Ice</t>
  </si>
  <si>
    <t>Toxics</t>
  </si>
  <si>
    <t>https://doi.org/10.3390/toxics11090792</t>
  </si>
  <si>
    <t>D'Angelo 2023</t>
  </si>
  <si>
    <t>Northwest Passage Project</t>
  </si>
  <si>
    <t>Ice</t>
  </si>
  <si>
    <t>Filtered through 5um sieve</t>
  </si>
  <si>
    <t>&gt; 5</t>
  </si>
  <si>
    <t>From supplemental, is a sum of the differrent shapes</t>
  </si>
  <si>
    <t>Information from supplementary material - sampling took place in the arctic waters/ Alaska - closer to Yukon/ BC. Plastic type given by sample type (seawater or Sea ice). Size given in range: 10 um to 1 mm - midpoint reported</t>
  </si>
  <si>
    <t>Mackenzie Sound</t>
  </si>
  <si>
    <t>Fractionation of Anthropogenic Particles (Microplastics and Microfibers) along a 2200 km Transect of Canadian Sediments</t>
  </si>
  <si>
    <t>ACS. EST. Water</t>
  </si>
  <si>
    <t>https://doi.org/10.1021/acsestwater.5c00080</t>
  </si>
  <si>
    <t>Athey et al., 2025</t>
  </si>
  <si>
    <t>River 135 near Hans Island</t>
  </si>
  <si>
    <t xml:space="preserve">geographic fractionation using AP (&gt;125 μm) samples from sediments, no specific size given, they used this sieve before processing samples		</t>
  </si>
  <si>
    <t xml:space="preserve">&gt;125 </t>
  </si>
  <si>
    <t>concentrations are the mean of fibers, fragments, other shapes from all samples as reported by authors</t>
  </si>
  <si>
    <t>AP /g dw</t>
  </si>
  <si>
    <t>Same as cordinates as below</t>
  </si>
  <si>
    <t xml:space="preserve">Same cordinates as above </t>
  </si>
  <si>
    <t>Eugenie Glacier Area, Ellesmere E. River</t>
  </si>
  <si>
    <t>&gt;125</t>
  </si>
  <si>
    <t>the concentration was given by authors as mean of all locations gouped</t>
  </si>
  <si>
    <t>Stn 6.1 Kane Basin</t>
  </si>
  <si>
    <t>Stn 122 Kane Basin</t>
  </si>
  <si>
    <t>Stn 115 Baffin Basin</t>
  </si>
  <si>
    <t>Stn 111 Baffin Basin</t>
  </si>
  <si>
    <t>Stn 108, Lancaster Sound</t>
  </si>
  <si>
    <t>Stn 2.2, Lancaster Sound</t>
  </si>
  <si>
    <t>Stn 210, Melville Bay</t>
  </si>
  <si>
    <t>Devon Island, Lancaster Sound</t>
  </si>
  <si>
    <t>Stn 228 Baffin Bay</t>
  </si>
  <si>
    <t>Stn 226 Baffin Bay</t>
  </si>
  <si>
    <t>Stn 224 Baffin Bay</t>
  </si>
  <si>
    <t>E1 Baffin Bay</t>
  </si>
  <si>
    <t>D1 Baffin Bay</t>
  </si>
  <si>
    <t>C1 Baffin Bay</t>
  </si>
  <si>
    <t>B2 Baffin Bay</t>
  </si>
  <si>
    <t>A5 Baffin Bay</t>
  </si>
  <si>
    <t>A3 Baffin Bay</t>
  </si>
  <si>
    <t>CH1, Hudson Bay</t>
  </si>
  <si>
    <t>CII4, Chesterfield Inlet, Hudson Bay</t>
  </si>
  <si>
    <t>CII7, Chesterfield Inlet, Hudson Bay</t>
  </si>
  <si>
    <t>BL3, Baker Lake</t>
  </si>
  <si>
    <t>Z4, site 2, Thelon River</t>
  </si>
  <si>
    <t>BL5, Baker Lake</t>
  </si>
  <si>
    <t>CI3, Chesterfield Inlet, Hudson Bay</t>
  </si>
  <si>
    <t>RI3, Rankin Inlet, Hudson Bay</t>
  </si>
  <si>
    <t>AV2 Hudson Bay</t>
  </si>
  <si>
    <t>Z1, site 2 Chesterfield Inlet, Hudson Bay</t>
  </si>
  <si>
    <t>Clearwater lake</t>
  </si>
  <si>
    <t>Hannah lake</t>
  </si>
  <si>
    <t>Kelly lake</t>
  </si>
  <si>
    <t>Lohi lake</t>
  </si>
  <si>
    <t>Swan Lake</t>
  </si>
  <si>
    <t>Whitepine Aurora Lake</t>
  </si>
  <si>
    <t>Ramsey Lake</t>
  </si>
  <si>
    <t>Daisy Lake</t>
  </si>
  <si>
    <t>Little Whitepine Lake</t>
  </si>
  <si>
    <t>Whirligig Lake</t>
  </si>
  <si>
    <t>Hamilton Harbour</t>
  </si>
  <si>
    <t>Lake St. Francis</t>
  </si>
  <si>
    <t>McDonnell Bay (offshore)</t>
  </si>
  <si>
    <t>Oakville</t>
  </si>
  <si>
    <t>Pickering</t>
  </si>
  <si>
    <t>Prince Edward</t>
  </si>
  <si>
    <t>Six Mile Creek</t>
  </si>
  <si>
    <t>Stoney Creek</t>
  </si>
  <si>
    <t>Toronto Harbour</t>
  </si>
  <si>
    <t>Trenton</t>
  </si>
  <si>
    <t>Lake George</t>
  </si>
  <si>
    <t>Nipigon Bay</t>
  </si>
  <si>
    <t>Otter Head</t>
  </si>
  <si>
    <t>Welcome Island</t>
  </si>
  <si>
    <t>Grenadier Pond</t>
  </si>
  <si>
    <t>Lake Wilcox</t>
  </si>
  <si>
    <t>Mill Pond</t>
  </si>
  <si>
    <t>Rouge River - Milne Dam Lake</t>
  </si>
  <si>
    <t>Toogood Pond</t>
  </si>
  <si>
    <t>Occurrence and size distribution of microplastics in mudflat sediments of the Cowichan-Koksilah Estuary, Canada: A baseline for plastic particles contamination in an anthropogenic-influenced estuary</t>
  </si>
  <si>
    <t>https://doi.org/10.1016/j.marpolbul.2021.113033</t>
  </si>
  <si>
    <t>Alava 2021</t>
  </si>
  <si>
    <t>Cowichan/Koksilah Estuary (N2)</t>
  </si>
  <si>
    <t>Sieved through 5000, 1700, 600, 250, 63</t>
  </si>
  <si>
    <t>Total summary of the means in the estuary provided by authors. The abundance includes microfibers and microfragments . Page 5</t>
  </si>
  <si>
    <t>microfibers and fragments/Kg dw</t>
  </si>
  <si>
    <t xml:space="preserve">The mean concentration  was recorded based on the data provided by authors: A mean of 6.8 microfibers/kg dw (range: 0–12 microfibers/kg
dw) and 7.9 microfragments/kg (range: 0–19 fragments/kg dw).  </t>
  </si>
  <si>
    <t>Cowichan/Koksilah Estuary (N3)</t>
  </si>
  <si>
    <t>Cordinates provided by authors and have been confirmed</t>
  </si>
  <si>
    <t>Cowichan/Koksilah Estuary (C1)</t>
  </si>
  <si>
    <t>SI only provides images of the palstics found not sizes or raw data</t>
  </si>
  <si>
    <t>Cowichan/Koksilah Estuary (C2)</t>
  </si>
  <si>
    <t>For size, the midpoint was also calculated: the most 
common size categories of plastic fibers and fragments were 0.063 to
0.25 mm and 0.25 to 0.6 mm</t>
  </si>
  <si>
    <t>Cowichan/Koksilah Estuary (C3)</t>
  </si>
  <si>
    <t>Particle size is provided by authors for fibers and fragments in range no mean/average. Page 5</t>
  </si>
  <si>
    <t>Cowichan/Koksilah Estuary (C4)</t>
  </si>
  <si>
    <t>Cowichan/Koksilah Estuary (C5)</t>
  </si>
  <si>
    <t xml:space="preserve">the most common size categories of plastic fibers and fragments were 0.063 to </t>
  </si>
  <si>
    <t>Cowichan/Koksilah Estuary (C6)</t>
  </si>
  <si>
    <t>0.25 mm and 0.25 to 0.6 mm</t>
  </si>
  <si>
    <t>Cowichan/Koksilah Estuary (T1)</t>
  </si>
  <si>
    <t>There is a table with figures of the means but not reported in text or SI</t>
  </si>
  <si>
    <t>Cowichan/Koksilah Estuary (T3)</t>
  </si>
  <si>
    <t>Cowichan/Koksilah Estuary (T5)</t>
  </si>
  <si>
    <t>Cowichan/Koksilah Estuary (S1)</t>
  </si>
  <si>
    <t>Cowichan/Koksilah Estuary (S2)</t>
  </si>
  <si>
    <t>Cowichan/Koksilah Estuary (S3)</t>
  </si>
  <si>
    <t>Microplastic and other anthropogenic microparticles in water and sediments of Lake Simcoe</t>
  </si>
  <si>
    <t>Journal of Great Lakes research</t>
  </si>
  <si>
    <t>https://doi.org/10.1016/j.jglr.2020.10.007</t>
  </si>
  <si>
    <t>Felismino et al., 2021</t>
  </si>
  <si>
    <t>S15</t>
  </si>
  <si>
    <t>Contents filtered through 125um</t>
  </si>
  <si>
    <t>From supplemental, calculated. Also tool Trawl samples, does not fit into the categories, asking but will keep the numbers recorded</t>
  </si>
  <si>
    <t>E50</t>
  </si>
  <si>
    <t>H4</t>
  </si>
  <si>
    <t>H3</t>
  </si>
  <si>
    <t>C6</t>
  </si>
  <si>
    <t>K45</t>
  </si>
  <si>
    <t>K39</t>
  </si>
  <si>
    <t>N32</t>
  </si>
  <si>
    <t>Sieved through 45um</t>
  </si>
  <si>
    <t>&gt;45</t>
  </si>
  <si>
    <t>Particles/ g sediment dw</t>
  </si>
  <si>
    <t>Manta trawl 335um, contents filtered through 330um</t>
  </si>
  <si>
    <t>Particles/m3</t>
  </si>
  <si>
    <t>2018 TRAWLING</t>
  </si>
  <si>
    <t>2019 TRAWLING</t>
  </si>
  <si>
    <t>Microplastic pollutants in the coastal dunes of Lake Erie and Lake Ontario</t>
  </si>
  <si>
    <t>https://doi.org/10.1016/j.jglr.2020.08.001</t>
  </si>
  <si>
    <t>Costello 2020</t>
  </si>
  <si>
    <t xml:space="preserve"> Lake Erie - Sunset Beach</t>
  </si>
  <si>
    <t>Range provided ~0.6 - 4 mm</t>
  </si>
  <si>
    <t>&gt;600</t>
  </si>
  <si>
    <t>Avg # microplastics/m2</t>
  </si>
  <si>
    <t>Studies conducted in New York and Pensylvania</t>
  </si>
  <si>
    <t>Lake Erie - Canadaway Creek</t>
  </si>
  <si>
    <t>Avg # microplastics/m3</t>
  </si>
  <si>
    <t>Lake Erie - Dunkirk Harbor</t>
  </si>
  <si>
    <t>Avg # microplastics/m4</t>
  </si>
  <si>
    <t>Lake Erie - Point Gratiot</t>
  </si>
  <si>
    <t>Avg # microplastics/m5</t>
  </si>
  <si>
    <t>Lake Erie - Presque Isle State Park Beach</t>
  </si>
  <si>
    <t>Avg # microplastics/m6</t>
  </si>
  <si>
    <t>Lake Ontario - Sandy Island Beach State Park, NY</t>
  </si>
  <si>
    <t>Avg # microplastics/m7</t>
  </si>
  <si>
    <t>Microplastics entering northwestern Lake Ontario are diverse and linked to urban sources</t>
  </si>
  <si>
    <t>Water research</t>
  </si>
  <si>
    <t>https://doi.org/10.1016/j.watres.2020.115623</t>
  </si>
  <si>
    <t>GrbiÄ‡ 2020</t>
  </si>
  <si>
    <t>stacked sieved lower cutoff of 25um</t>
  </si>
  <si>
    <t>Distribution, abundance, and diversity of microplastics in the upper St. Lawrence River</t>
  </si>
  <si>
    <t>Environmental pollution</t>
  </si>
  <si>
    <t>https://doi.org/10.1016/j.envpol.2020.113994</t>
  </si>
  <si>
    <t>Crew 2020</t>
  </si>
  <si>
    <t>St. Lawrence River sediment sites only</t>
  </si>
  <si>
    <t>Stacked sieved lower cutoff of 63um</t>
  </si>
  <si>
    <t>Mean concentration including WWTP sites</t>
  </si>
  <si>
    <t>plastics/ kg dw</t>
  </si>
  <si>
    <t>High levels of pelagic plastic pollution within the surface waters of Lakes Erie and Ontario</t>
  </si>
  <si>
    <t>https://doi.org/10.1016/j.jglr.2019.12.012</t>
  </si>
  <si>
    <t>Mason 2020</t>
  </si>
  <si>
    <t>GL12 #14: Lake Erie, 41.90, −83.05</t>
  </si>
  <si>
    <t xml:space="preserve"> −83.05</t>
  </si>
  <si>
    <t>most particles between 0.355 and 0.999 mm, so midpoint given</t>
  </si>
  <si>
    <t>particles/km2</t>
  </si>
  <si>
    <t>assuming all collected plastics are microplastics as very few are reported in the size range &gt;4.75 mm</t>
  </si>
  <si>
    <t>GL12 #15: Lake Erie, 41.75, −82.95</t>
  </si>
  <si>
    <t xml:space="preserve"> −82.95</t>
  </si>
  <si>
    <t>GL12 #16: Lake Erie, 41.78, −82.76</t>
  </si>
  <si>
    <t xml:space="preserve"> −82.76</t>
  </si>
  <si>
    <t>GL12 #17: Lake Erie, 41.90, −82.34</t>
  </si>
  <si>
    <t xml:space="preserve"> −82.34</t>
  </si>
  <si>
    <t>GL12 #18: Lake Erie, 42.18, −81.51</t>
  </si>
  <si>
    <t xml:space="preserve"> −81.51</t>
  </si>
  <si>
    <t>GL12 #19: Lake Erie, 42.24, −80.75</t>
  </si>
  <si>
    <t xml:space="preserve"> −80.75</t>
  </si>
  <si>
    <t>GL12 #20: Lake Erie, 42.39, −79.93</t>
  </si>
  <si>
    <t xml:space="preserve"> −79.93</t>
  </si>
  <si>
    <t>GL12 #21: Lake Erie, 42.30, −80.03</t>
  </si>
  <si>
    <t xml:space="preserve"> −80.03</t>
  </si>
  <si>
    <t>GL13 #1: Lake Erie, 42.69, −80.11</t>
  </si>
  <si>
    <t xml:space="preserve"> −80.11</t>
  </si>
  <si>
    <t>GL13 #10: Lake Erie, 42.85, −82.47</t>
  </si>
  <si>
    <t xml:space="preserve"> −82.47</t>
  </si>
  <si>
    <t>GL13 #100: Lake Erie, 41.88, −81.71</t>
  </si>
  <si>
    <t xml:space="preserve"> −81.71</t>
  </si>
  <si>
    <t>GL13 #101: Lake Erie, 42.10, −81.13</t>
  </si>
  <si>
    <t xml:space="preserve"> −81.13</t>
  </si>
  <si>
    <t>GL13 #11: Lake Erie, 42.49, −82.72</t>
  </si>
  <si>
    <t xml:space="preserve"> −82.72</t>
  </si>
  <si>
    <t>GL13 #12: Lake Erie, 41.95, −81.741</t>
  </si>
  <si>
    <t xml:space="preserve"> −81.741</t>
  </si>
  <si>
    <t>GL13 #13: Lake Erie, 41.60, −81.75</t>
  </si>
  <si>
    <t xml:space="preserve"> −81.75</t>
  </si>
  <si>
    <t>GL13 #14: Lake Erie, 42.49, −80.94</t>
  </si>
  <si>
    <t xml:space="preserve"> −80.94</t>
  </si>
  <si>
    <t>GL13 #15: Lake Ontario, 43.34, −77.00</t>
  </si>
  <si>
    <t xml:space="preserve"> −77.00</t>
  </si>
  <si>
    <t>GL13 #16: Lake Ontario, 43.33, −77.54</t>
  </si>
  <si>
    <t xml:space="preserve"> −77.54</t>
  </si>
  <si>
    <t>GL13 #17: Lake Ontario, 43.21, −78.91</t>
  </si>
  <si>
    <t xml:space="preserve"> −78.91</t>
  </si>
  <si>
    <t>GL13 #18: Lake Ontario, 43.25, −79.24</t>
  </si>
  <si>
    <t xml:space="preserve"> −79.24</t>
  </si>
  <si>
    <t>GL13 #19: Lake Ontario, 43.30, −79.24</t>
  </si>
  <si>
    <t>GL13 #2: Lake Erie, 42.63, −79.94</t>
  </si>
  <si>
    <t xml:space="preserve"> −79.94</t>
  </si>
  <si>
    <t>GL13 #20: Lake Ontario, 43.57, −79.51</t>
  </si>
  <si>
    <t xml:space="preserve"> −79.51</t>
  </si>
  <si>
    <t>GL13 #21: Lake Ontario, 43.73, −79.18</t>
  </si>
  <si>
    <t xml:space="preserve"> −79.18</t>
  </si>
  <si>
    <t>GL13 #22: Lake Ontario, 43.79, −77.81</t>
  </si>
  <si>
    <t xml:space="preserve"> −77.81</t>
  </si>
  <si>
    <t>GL13 #3: Lake Erie, 42.51, −81.04</t>
  </si>
  <si>
    <t xml:space="preserve"> −81.04</t>
  </si>
  <si>
    <t>GL13 #30: Lake Ontario, 45.56, −73.51</t>
  </si>
  <si>
    <t xml:space="preserve"> −73.51</t>
  </si>
  <si>
    <t>GL13 #31: Lake Ontario, 45.26, −74.23</t>
  </si>
  <si>
    <t xml:space="preserve"> −74.23</t>
  </si>
  <si>
    <t>GL13 #32: Lake Ontario, 44.80, −75.35</t>
  </si>
  <si>
    <t xml:space="preserve"> −75.35</t>
  </si>
  <si>
    <t>GL13 #33: Lake Ontario, 44.37, −75.96</t>
  </si>
  <si>
    <t xml:space="preserve"> −75.96</t>
  </si>
  <si>
    <t>GL13 #34: Lake Ontario, 44.04, −76.65</t>
  </si>
  <si>
    <t xml:space="preserve"> −76.65</t>
  </si>
  <si>
    <t>GL13 #35: Lake Ontario, 43.78, −76.87</t>
  </si>
  <si>
    <t xml:space="preserve"> −76.87</t>
  </si>
  <si>
    <t>GL13 #36: Lake Ontario, 43.48, −77.44</t>
  </si>
  <si>
    <t xml:space="preserve"> −77.44</t>
  </si>
  <si>
    <t>GL13 #37: Lake Ontario, 43.65, −78.33</t>
  </si>
  <si>
    <t xml:space="preserve"> −78.33</t>
  </si>
  <si>
    <t>GL13 #38: Lake Ontario, 43.50, −78.73</t>
  </si>
  <si>
    <t xml:space="preserve"> −78.73</t>
  </si>
  <si>
    <t>GL13 #39: Lake Ontario, 43.62, −79.35</t>
  </si>
  <si>
    <t xml:space="preserve"> −79.35</t>
  </si>
  <si>
    <t>GL13 #4: Lake Erie, 42.21, −81.04</t>
  </si>
  <si>
    <t>GL13 #5: Lake Erie, 42.18, −81.72</t>
  </si>
  <si>
    <t xml:space="preserve"> −81.72</t>
  </si>
  <si>
    <t>GL13 #6: Lake Erie, 41.68, −82.57</t>
  </si>
  <si>
    <t xml:space="preserve"> −82.57</t>
  </si>
  <si>
    <t>GL13 #7: Lake Erie, 41.71, −83.00</t>
  </si>
  <si>
    <t xml:space="preserve"> −83.00</t>
  </si>
  <si>
    <t>GL13 #8: Lake Erie, 41.81, −83.18</t>
  </si>
  <si>
    <t xml:space="preserve"> −83.18</t>
  </si>
  <si>
    <t>GL13 #9: Lake Erie, 42.31, −83.08</t>
  </si>
  <si>
    <t xml:space="preserve"> −83.08</t>
  </si>
  <si>
    <t>GL13 #92: Lake Ontario, 45.27, −74.23</t>
  </si>
  <si>
    <t>GL13 #93: Lake Ontario, 44.36, −75.99</t>
  </si>
  <si>
    <t xml:space="preserve"> −75.99</t>
  </si>
  <si>
    <t>GL13 #94: Lake Ontario, 43.61, −79.36</t>
  </si>
  <si>
    <t xml:space="preserve"> −79.36</t>
  </si>
  <si>
    <t>GL13 #95: Lake Ontario, 43.41, −79.34</t>
  </si>
  <si>
    <t xml:space="preserve"> −79.34</t>
  </si>
  <si>
    <t>GL13 #96: Lake Erie, 41.55, −81.76</t>
  </si>
  <si>
    <t xml:space="preserve"> −81.76</t>
  </si>
  <si>
    <t>GL14 ER#09: Lake Erie, 42.54, −79.62</t>
  </si>
  <si>
    <t xml:space="preserve"> −79.62</t>
  </si>
  <si>
    <t>GL14 ER#10: Lake Erie, 42.66, −79.69</t>
  </si>
  <si>
    <t xml:space="preserve"> −79.69</t>
  </si>
  <si>
    <t>GL14 ER#32: Lake Erie, 42.09, −81.01</t>
  </si>
  <si>
    <t xml:space="preserve"> −81.01</t>
  </si>
  <si>
    <t>GL14 ER#34: Lake Erie, 42.91, −81.19</t>
  </si>
  <si>
    <t xml:space="preserve"> −81.19</t>
  </si>
  <si>
    <t>GL14 ER#36: Lake Erie, 42.11, −81.47</t>
  </si>
  <si>
    <t xml:space="preserve"> −81.47</t>
  </si>
  <si>
    <t>GL14 ER#38: Lake Erie, 42.26, −81.67</t>
  </si>
  <si>
    <t xml:space="preserve"> −81.67</t>
  </si>
  <si>
    <t>GL14 ER#63: Lake Erie, 42.42, −79.80</t>
  </si>
  <si>
    <t xml:space="preserve"> −79.80</t>
  </si>
  <si>
    <t>GL14 NER#32: Lake Erie, 41.95, −80.87</t>
  </si>
  <si>
    <t xml:space="preserve"> −80.87</t>
  </si>
  <si>
    <t>Microplastics in juvenile Chinook salmon and their nearshore environments on the east coast of Vancouver Island</t>
  </si>
  <si>
    <t>https://doi.org/10.1016/j.envpol.2018.09.137</t>
  </si>
  <si>
    <t>Collicutt 2019</t>
  </si>
  <si>
    <t>Vancouver, Strait of Georgia, Big Qualicum</t>
  </si>
  <si>
    <t>Filtered through 100um plankton net</t>
  </si>
  <si>
    <t>Used automeris for estimate</t>
  </si>
  <si>
    <t>Fibres/m-3</t>
  </si>
  <si>
    <t>Results apply to Fibres only, as other fragments were suspected to be from equipment contaminaiton during sampling and processing. All plastics found were 100–5000 μm in length and approximately 10–20 μm in diameter. Avg concentrations per site taken from the graph (Fig 5). Avg for sample type =659.9 microplastics/m4</t>
  </si>
  <si>
    <t>Vancouver, Strait of Georgia, Cowichan Bay</t>
  </si>
  <si>
    <t>Results apply to Fibres only, as other fragments were suspected to be from equipment contaminaiton during sampling and processing. All plastics found were 100–5000 μm in length and approximately 10–20 μm in diameter. Avg concentrations per site taken from the graph (Fig 5). Avg for sample type =659.9 microplastics/m6</t>
  </si>
  <si>
    <t>Vancouver, Strait of Georgia, Deep Bay</t>
  </si>
  <si>
    <t>Results apply to Fibres only, as other fragments were suspected to be from equipment contaminaiton during sampling and processing. All plastics found were 100–5000 μm in length and approximately 10–20 μm in diameter. Avg concentrations per site taken from the graph (Fig 5). Avg for sample type =659.9 microplastics/m3</t>
  </si>
  <si>
    <t>Vancouver, Strait of Georgia, Nanaimo</t>
  </si>
  <si>
    <t>Results apply to Fibres only, as other fragments were suspected to be from equipment contaminaiton during sampling and processing. All plastics found were 100–5000 μm in length and approximately 10–20 μm in diameter. Avg concentrations per site taken from the graph (Fig 5). Avg for sample type =659.9 microplastics/m5</t>
  </si>
  <si>
    <t>Sieved through 90um</t>
  </si>
  <si>
    <t>&gt;90</t>
  </si>
  <si>
    <t>Fibres/kg sediment DW</t>
  </si>
  <si>
    <t>Rocky shoreline protocols miss microplastics in marine debris surveys (Fogo Island, Newfoundland and Labrador)</t>
  </si>
  <si>
    <t>Marine pollution bulletin</t>
  </si>
  <si>
    <t>https://doi.org/10.1016/j.marpolbul.2017.10.018</t>
  </si>
  <si>
    <t>McWilliams 2018</t>
  </si>
  <si>
    <t>Newfoundland and Labrador</t>
  </si>
  <si>
    <t>Fogo Island, Half House Beach</t>
  </si>
  <si>
    <t>Only 17% of debris were MP (&lt; 5mm)</t>
  </si>
  <si>
    <t>Not reported</t>
  </si>
  <si>
    <t>Factors influencing microplastic abundances in nearshore, tributary and beach sediments along the Ontario shoreline of Lake Erie</t>
  </si>
  <si>
    <t>https://doi.org/10.1016/j.jglr.2018.07.014</t>
  </si>
  <si>
    <t>Dean et al., 2018</t>
  </si>
  <si>
    <t>2060, Nearshore Lake Erie</t>
  </si>
  <si>
    <t>25um filter paper</t>
  </si>
  <si>
    <t>Sum of values provide by athors for fibers, fragments and beads Table 1, Page 1006</t>
  </si>
  <si>
    <t>Antropogenic particles per Kg of dry weight sediment (kg-1)</t>
  </si>
  <si>
    <t>total concentration was noted as given by authors</t>
  </si>
  <si>
    <t>5711, Tributary, Lake Erie</t>
  </si>
  <si>
    <t>Sum of values provide by athors for fibers, fragments and beads Table 1, Page 1007</t>
  </si>
  <si>
    <t>Sizes from paper described as ranges for fibers, beads and fragments. Then, the midpoint was calculated for each shape and then summary for the three shapes as below:</t>
  </si>
  <si>
    <t>5717, Nearshore, Lake Erie</t>
  </si>
  <si>
    <t>Sum of values provide by athors for fibers, fragments and beads Table 1, Page 1008</t>
  </si>
  <si>
    <t>5722,  Nearshore, Lake Erie</t>
  </si>
  <si>
    <t>Sum of values provide by athors for fibers, fragments and beads Table 1, Page 1009</t>
  </si>
  <si>
    <t>Fragments</t>
  </si>
  <si>
    <t xml:space="preserve">Fibers: </t>
  </si>
  <si>
    <t>Sum</t>
  </si>
  <si>
    <t>5737, Nearshore, Lake Erie</t>
  </si>
  <si>
    <t>Sum of values provide by athors for fibers, fragments and beads Table 1, Page 1010</t>
  </si>
  <si>
    <t>5745, Nearshore, Lake Erie</t>
  </si>
  <si>
    <t>Sum of values provide by athors for fibers, fragments and beads Table 1, Page 1011</t>
  </si>
  <si>
    <t>beads</t>
  </si>
  <si>
    <t>5750, Nearshore, Lake Erie</t>
  </si>
  <si>
    <t>Sum of values provide by athors for fibers, fragments and beads Table 1, Page 1012</t>
  </si>
  <si>
    <t>5762, Nearshore, Lake Erie</t>
  </si>
  <si>
    <t>Sum of values provide by athors for fibers, fragments and beads Table 1, Page 1013</t>
  </si>
  <si>
    <t>5757, Nearshore, Lake Erie</t>
  </si>
  <si>
    <t>Sum of values provide by athors for fibers, fragments and beads Table 1, Page 1014</t>
  </si>
  <si>
    <t>5769, Nearshore, Lake Erie</t>
  </si>
  <si>
    <t>Sum of values provide by athors for fibers, fragments and beads Table 1, Page 1015</t>
  </si>
  <si>
    <t>5777, Nearshore, Lake Erie</t>
  </si>
  <si>
    <t>Sum of values provide by athors for fibers, fragments and beads Table 1, Page 1016</t>
  </si>
  <si>
    <t>NO SI</t>
  </si>
  <si>
    <t>5782, Nearshore, Lake Erie</t>
  </si>
  <si>
    <t>Sum of values provide by athors for fibers, fragments and beads Table 1, Page 1017</t>
  </si>
  <si>
    <t>Coordinates were estimated visual for some locations when not found in google maps</t>
  </si>
  <si>
    <t>5813, Nearshore, Lake Erie</t>
  </si>
  <si>
    <t>Sum of values provide by athors for fibers, fragments and beads Table 1, Page 1018</t>
  </si>
  <si>
    <t>Sturgeon, Tributary, Lake Erie</t>
  </si>
  <si>
    <t>Sum of values provide by athors for fibers, fragments and beads Table 1, Page 1019</t>
  </si>
  <si>
    <t>Rondeau, Tributary, Lake Erie</t>
  </si>
  <si>
    <t>Sum of values provide by athors for fibers, fragments and beads Table 1, Page 1020</t>
  </si>
  <si>
    <t>Grand, Tributary, Lake Erie</t>
  </si>
  <si>
    <t>Sum of values provide by athors for fibers, fragments and beads Table 1, Page 1021</t>
  </si>
  <si>
    <t>Welland, Tributary, Lake Erie</t>
  </si>
  <si>
    <t>Sum of values provide by athors for fibers, fragments and beads Table 1, Page 1022</t>
  </si>
  <si>
    <t>Waverly, beach, Lake Erie</t>
  </si>
  <si>
    <t>Sum of values provide by athors for fibers, fragments and beads Table 1, Page 1023</t>
  </si>
  <si>
    <t>Crystal, beach, Lake Erie</t>
  </si>
  <si>
    <t>Sum of values provide by athors for fibers, fragments and beads Table 1, Page 1024</t>
  </si>
  <si>
    <t>Long, beach, Lake Erie</t>
  </si>
  <si>
    <t>Sum of values provide by athors for fibers, fragments and beads Table 1, Page 1025</t>
  </si>
  <si>
    <t>Rondeau, beach, Lake Erie</t>
  </si>
  <si>
    <t>Sum of values provide by athors for fibers, fragments and beads Table 1, Page 1026</t>
  </si>
  <si>
    <t>Seacliff, beach, Lake Erie</t>
  </si>
  <si>
    <t>Sum of values provide by athors for fibers, fragments and beads Table 1, Page 1027</t>
  </si>
  <si>
    <t>Lakewood, beach, Lake Erie</t>
  </si>
  <si>
    <t>Sum of values provide by athors for fibers, fragments and beads Table 1, Page 1028</t>
  </si>
  <si>
    <t>Sources and sinks of microplastics in Canadian Lake Ontario nearshore, tributary and beach sediments</t>
  </si>
  <si>
    <t>https://doi.org/10.1016/j.marpolbul.2016.06.037</t>
  </si>
  <si>
    <t>Ballent 2016</t>
  </si>
  <si>
    <t>Lake ontario;Beachway Park; Beach</t>
  </si>
  <si>
    <t xml:space="preserve">	− 79.800	</t>
  </si>
  <si>
    <t>The size was presented as the overall most abundant size across all sampled locations. Samples sieved through 63um</t>
  </si>
  <si>
    <t>&lt; 2</t>
  </si>
  <si>
    <t>&lt; 2000</t>
  </si>
  <si>
    <t>Mean concentration of 2 locations, data from Table 1</t>
  </si>
  <si>
    <t>particles/kg dw</t>
  </si>
  <si>
    <t>Lake ontario;  Bronte Beach; Beach</t>
  </si>
  <si>
    <t xml:space="preserve">	43.392</t>
  </si>
  <si>
    <t>− 79.710</t>
  </si>
  <si>
    <t>The size was presented as the overall most abundant size across all sampled locations.</t>
  </si>
  <si>
    <t>Lake ontario;Marie Curtis Park  ; Beach</t>
  </si>
  <si>
    <t>− 79.542</t>
  </si>
  <si>
    <t>Lake ontario; Sunnyside Beach; Beach</t>
  </si>
  <si>
    <t>− 79.450</t>
  </si>
  <si>
    <t>Lake ontario;   Woodbine Beach; Beach</t>
  </si>
  <si>
    <t>− 79.299</t>
  </si>
  <si>
    <t>Lake ontario;       Six Mile Cr ;Naershore</t>
  </si>
  <si>
    <t>− 78.979</t>
  </si>
  <si>
    <t>Data from Table 1</t>
  </si>
  <si>
    <t>Lake ontario; 	Port Dalhousie        ;Naershore</t>
  </si>
  <si>
    <t>43.228,</t>
  </si>
  <si>
    <t>− 79.283</t>
  </si>
  <si>
    <t>Lake ontario;  Stoney Cr  ;Naershore</t>
  </si>
  <si>
    <t>− 79.671</t>
  </si>
  <si>
    <t>Lake ontario; 	Oakville         ;Naershore</t>
  </si>
  <si>
    <t xml:space="preserve">− 79.661	</t>
  </si>
  <si>
    <t>Lake ontario; Humber Bay	        ;Naershore</t>
  </si>
  <si>
    <t>− 79.447</t>
  </si>
  <si>
    <t>Lake ontario; Toronto Hb	         ;Naershore</t>
  </si>
  <si>
    <t>− 79.370</t>
  </si>
  <si>
    <t>Data from Table 1, 2012</t>
  </si>
  <si>
    <t>https://doi.org/10.1016/j.marpolbul.2016.06.038</t>
  </si>
  <si>
    <t>Ballent 2017</t>
  </si>
  <si>
    <t>Lake ontario; 	Pickering         ;Naershore</t>
  </si>
  <si>
    <t>− 79.085</t>
  </si>
  <si>
    <t>Lake ontario; 	Chub Point        ;Naershore</t>
  </si>
  <si>
    <t>− 78.012</t>
  </si>
  <si>
    <t>Lake ontario;    Trenton     ;Naershore</t>
  </si>
  <si>
    <t>− 77.544</t>
  </si>
  <si>
    <t>Lake ontario; 	Prince Edward         ;Naershore</t>
  </si>
  <si>
    <t>43.958,</t>
  </si>
  <si>
    <t>− 76.812</t>
  </si>
  <si>
    <t>Lake ontario; North Channel	         ;Naershore</t>
  </si>
  <si>
    <t>− 76.735</t>
  </si>
  <si>
    <t>Lake ontario; McDonnell Bay	      ;Naershore</t>
  </si>
  <si>
    <t>− 76.375</t>
  </si>
  <si>
    <t>Lake ontario;    Prescott    ;Naershore</t>
  </si>
  <si>
    <t>− 75.532</t>
  </si>
  <si>
    <t>Lake ontario; 	Lake St. Francis  ;Naershore</t>
  </si>
  <si>
    <t>− 74.416</t>
  </si>
  <si>
    <t>Lake ontario;Humber Bay, index  ;Naershore</t>
  </si>
  <si>
    <t>Mean concentration of 8 locations in 2014, data from Table 1</t>
  </si>
  <si>
    <t>Lake ontario;Toronto Hb, index	      ;Naershore</t>
  </si>
  <si>
    <t>Mean concentration of 6 locations in 2014, data from Table 1</t>
  </si>
  <si>
    <t>Lake ontario;   Don Rv, mouth     ;Naershore</t>
  </si>
  <si>
    <t>− 79.361</t>
  </si>
  <si>
    <t>Lake ontario; Hamilton Hb, index	      ;Naershore</t>
  </si>
  <si>
    <t>− 79.836</t>
  </si>
  <si>
    <t>Mean concentration of 4 locations, data from Table 1</t>
  </si>
  <si>
    <t>Lake ontario;  Don Rv  ;Tributary</t>
  </si>
  <si>
    <t>− 79.360</t>
  </si>
  <si>
    <t>Data from Table 1, 2015</t>
  </si>
  <si>
    <t>Lake ontario;   Humber Rv ;Tributary</t>
  </si>
  <si>
    <t xml:space="preserve">− 79.493	</t>
  </si>
  <si>
    <t>Lake ontario;  Etobicoke Cr ;Tributary</t>
  </si>
  <si>
    <t xml:space="preserve">	− 79.545	</t>
  </si>
  <si>
    <t>Lake ontario; Red Hill Cr  ;Tributary</t>
  </si>
  <si>
    <t>− 79.774</t>
  </si>
  <si>
    <t>Hidden plastics of Lake Ontario, Canada and their potential preservation in the sediment record</t>
  </si>
  <si>
    <t>Environmental Pollution</t>
  </si>
  <si>
    <t>https://doi.org/10.1016/j.envpol.2015.04.009</t>
  </si>
  <si>
    <t>Corcoran 2015</t>
  </si>
  <si>
    <t>Niaga Bar, Lake Ontario, N43°20′14″/W79°02′10″</t>
  </si>
  <si>
    <t>particles/g dw</t>
  </si>
  <si>
    <t>alternative concentration unit: 9 particles/103.241 g sediment dry weight</t>
  </si>
  <si>
    <t>North Central Lake Ontario, N43°35′12″/W78°14′10″</t>
  </si>
  <si>
    <t>alternative concentration unit: 26 particles/42.235 g sediment dry weight</t>
  </si>
  <si>
    <t>Microplastic Fibres in the intertidal ecosystem surrounding Halifax Harbor, Nova Scotia</t>
  </si>
  <si>
    <t>https://doi.org/10.1016/j.marpolbul.2014.02.018</t>
  </si>
  <si>
    <t>Mathalon 2014</t>
  </si>
  <si>
    <t>McCormack’s Beach (N44.609°, W63.493°) high tidal line</t>
  </si>
  <si>
    <t>Filtered through 0.8um</t>
  </si>
  <si>
    <t>&gt;0.8</t>
  </si>
  <si>
    <t>Avg # microplastics/10 g sediment</t>
  </si>
  <si>
    <t>Evidence of contamination from within the lab</t>
  </si>
  <si>
    <t>McCormack’s Beach (N44.609°, W63.493°) mid tidal line</t>
  </si>
  <si>
    <t>McCormack’s Beach (N44.609°, W63.493°) low tidal line</t>
  </si>
  <si>
    <t>Rainbow Haven Beach back lagoon (N44.648°, W63.417°) high tidal line</t>
  </si>
  <si>
    <t>Rainbow Haven Beach back lagoon (N44.648°, W63.417°) mid tidal line</t>
  </si>
  <si>
    <t>Rainbow Haven Beach back lagoon (N44.648°, W63.417°) low tidal line</t>
  </si>
  <si>
    <t xml:space="preserve">Rainbow Haven Beach’s exposed side - high tidal line </t>
  </si>
  <si>
    <t xml:space="preserve">Rainbow Haven Beach’s exposed side - mid tidal line </t>
  </si>
  <si>
    <t>Rainbow Haven Beach’s exposed side - low tidal line</t>
  </si>
  <si>
    <t>Widespread distribution of microplastics in subsurface seawater in the NE Pacific Ocean</t>
  </si>
  <si>
    <t>https://doi.org/10.1016/j.marpolbul.2013.12.035</t>
  </si>
  <si>
    <t>Desforges, et al., 2014</t>
  </si>
  <si>
    <t>West coast Vancouver Island (WCVI)</t>
  </si>
  <si>
    <t>Mean reported by authors in Table 2</t>
  </si>
  <si>
    <t>Reported by auhtors as mean Table 2</t>
  </si>
  <si>
    <t>Mean were provided by authors in Table 1</t>
  </si>
  <si>
    <t>Queen Charlotte Sound (QCS)</t>
  </si>
  <si>
    <t>Mean reported by authors in Table 3</t>
  </si>
  <si>
    <t>Reported by auhtors as mean Table 3</t>
  </si>
  <si>
    <t xml:space="preserve">Coodinates were based on google maps not provided by auhtors </t>
  </si>
  <si>
    <t>Strait of Georgia (SoG)</t>
  </si>
  <si>
    <t>Mean reported by authors in Table 4</t>
  </si>
  <si>
    <t>Reported by auhtors as mean Table 4</t>
  </si>
  <si>
    <t>Source-specific categorization of microplastics in nearshore surface waters of the Great Lakes</t>
  </si>
  <si>
    <t>https://doi.org/10.1016/j.jglr.2023.102256</t>
  </si>
  <si>
    <t>Lake St. Francis, Lake Ontario</t>
  </si>
  <si>
    <t>Sampled with manta net 335um</t>
  </si>
  <si>
    <t>&gt;335</t>
  </si>
  <si>
    <t>Mean from different months, data from SI</t>
  </si>
  <si>
    <t>particles/km^2</t>
  </si>
  <si>
    <t>McDonnell Bay, Lake Ontario</t>
  </si>
  <si>
    <t>Prince Edward, Lake Ontario</t>
  </si>
  <si>
    <t>Six Mile Creek, Lake Ontario</t>
  </si>
  <si>
    <t>Hamilton Harbour, Lake Ontario</t>
  </si>
  <si>
    <t>Stoney Creek, Lake Ontario</t>
  </si>
  <si>
    <t>Oakville , Lake Ontario</t>
  </si>
  <si>
    <t>Trenton, Lake Ontario</t>
  </si>
  <si>
    <t>Chub Point, Lake Ontario</t>
  </si>
  <si>
    <t>Pickering, Lake Ontario</t>
  </si>
  <si>
    <t>Toronto Harbour, Lake Ontario</t>
  </si>
  <si>
    <t>Humber Bay, Lake Ontario</t>
  </si>
  <si>
    <t>Etobicoke Creek, Lake Ontario</t>
  </si>
  <si>
    <t>Credit River , Lake Ontario</t>
  </si>
  <si>
    <t>Western Basin , Lake Erie</t>
  </si>
  <si>
    <t>Grand River Mouth , Lake Erie</t>
  </si>
  <si>
    <t>Fort Erie , Lake Erie</t>
  </si>
  <si>
    <t>Port Stanley , Lake Erie</t>
  </si>
  <si>
    <t>Leamington  , Lake Erie</t>
  </si>
  <si>
    <t>Spanish Harbour, Lake Superior</t>
  </si>
  <si>
    <t>82°23'08.5"</t>
  </si>
  <si>
    <t>Lake George, Lake Superior</t>
  </si>
  <si>
    <t>Otter Head, Lake Superior</t>
  </si>
  <si>
    <t>Nipigon Bay, Lake Superior</t>
  </si>
  <si>
    <t>Welcome Island , Lake Superior</t>
  </si>
  <si>
    <t>An analysis of microlitter and microplastics from Lake Superior beach sand and surface-water</t>
  </si>
  <si>
    <t>Science of the Total Environment</t>
  </si>
  <si>
    <t>https://doi.org/10.1016/j.scitotenv.2020.140824</t>
  </si>
  <si>
    <t>Minor et al., 2020</t>
  </si>
  <si>
    <t>Lake Superior, York</t>
  </si>
  <si>
    <t>Sieved through 4mm</t>
  </si>
  <si>
    <t>&gt;4</t>
  </si>
  <si>
    <t>&gt;4000</t>
  </si>
  <si>
    <t>Concentrations calculated from SI</t>
  </si>
  <si>
    <t>plastics/200g dw</t>
  </si>
  <si>
    <t>Lake Superior, Rocky Island</t>
  </si>
  <si>
    <t>Lake Superior, Outer Island</t>
  </si>
  <si>
    <t>Lake Superior,  Julian Bay</t>
  </si>
  <si>
    <t>Lake Superior, Presque Isle Bay</t>
  </si>
  <si>
    <t>Lake Superior, Long Island NE</t>
  </si>
  <si>
    <t>Lake Superior, Meyers Beach</t>
  </si>
  <si>
    <t>Lake Superior, Brule River Beach</t>
  </si>
  <si>
    <t>Lake Superior, Long Island SW</t>
  </si>
  <si>
    <t>Lake Superior, Knife River Beach</t>
  </si>
  <si>
    <t>Lake Superior, Park Point</t>
  </si>
  <si>
    <t>Lake Superior, Ontonagon Beach</t>
  </si>
  <si>
    <t>89.18 60</t>
  </si>
  <si>
    <t>Lake Superior, Sample MB</t>
  </si>
  <si>
    <t>Passed trough a sieve, no exact reported size</t>
  </si>
  <si>
    <t>&lt;250</t>
  </si>
  <si>
    <t>Sum of both replicates. Table A5 SI</t>
  </si>
  <si>
    <t>The coordinates were provided by authors. Only  beginning of net tow was recorded</t>
  </si>
  <si>
    <t>Lake Superior, Sample LI</t>
  </si>
  <si>
    <t xml:space="preserve">The authors reported sand sediment but it was not included here. </t>
  </si>
  <si>
    <t>Lake Superior, Sample ST</t>
  </si>
  <si>
    <t>1 sample only Table A5 SI</t>
  </si>
  <si>
    <t>Spatial distribution of microplastics in a large watershed: a case study of the Ottawa River watershed</t>
  </si>
  <si>
    <t>Environmental Monitoring and Assessment</t>
  </si>
  <si>
    <t>10.1007/s10661-023-11277-8</t>
  </si>
  <si>
    <t>Forrest 2023</t>
  </si>
  <si>
    <t>Laval, Ottawa River</t>
  </si>
  <si>
    <t>Sampled with manta net 300um</t>
  </si>
  <si>
    <t>From Supplementary information Table 1</t>
  </si>
  <si>
    <t>Oka, Ottawa River</t>
  </si>
  <si>
    <t>From Supplementary information Table 2</t>
  </si>
  <si>
    <t>Voyager, Ottawa River</t>
  </si>
  <si>
    <t>From Supplementary information Table 3</t>
  </si>
  <si>
    <t>Hawkesbury, Ottawa River</t>
  </si>
  <si>
    <t>From Supplementary information Table 4</t>
  </si>
  <si>
    <t>L'Orignal, Ottawa River</t>
  </si>
  <si>
    <t>From Supplementary information Table 5</t>
  </si>
  <si>
    <t>Montebello, Ottawa River</t>
  </si>
  <si>
    <t>From Supplementary information Table 6</t>
  </si>
  <si>
    <t>Clarence, Ottawa River</t>
  </si>
  <si>
    <t>From Supplementary information Table 7</t>
  </si>
  <si>
    <t>Petrie Island, Ottawa River</t>
  </si>
  <si>
    <t>From Supplementary information Table 8</t>
  </si>
  <si>
    <t>Blair Road, Ottawa River</t>
  </si>
  <si>
    <t>From Supplementary information Table 9</t>
  </si>
  <si>
    <t>Bate Is., Ottawa River</t>
  </si>
  <si>
    <t>From Supplementary information Table 10</t>
  </si>
  <si>
    <t>Limieux Island, Ottawa River</t>
  </si>
  <si>
    <t>From Supplementary information Table 11</t>
  </si>
  <si>
    <t>Le Breton, Ottawa River</t>
  </si>
  <si>
    <t>From Supplementary information Table 12</t>
  </si>
  <si>
    <t>Dechenes, Ottawa River</t>
  </si>
  <si>
    <t>From Supplementary information Table 13</t>
  </si>
  <si>
    <t>Britannia, Ottawa River</t>
  </si>
  <si>
    <t>From Supplementary information Table 14</t>
  </si>
  <si>
    <t>Shirleys Bay, Ottawa River</t>
  </si>
  <si>
    <t>From Supplementary information Table 15</t>
  </si>
  <si>
    <t>Constance bay, Ottawa River</t>
  </si>
  <si>
    <t>From Supplementary information Table 16</t>
  </si>
  <si>
    <t>Robert Simpson, Ottawa River</t>
  </si>
  <si>
    <t>From Supplementary information Table 17</t>
  </si>
  <si>
    <t>Quyon, Ottawa River</t>
  </si>
  <si>
    <t>From Supplementary information Table 18</t>
  </si>
  <si>
    <t>Norway Bay, Ottawa River</t>
  </si>
  <si>
    <t>From Supplementary information Table 19</t>
  </si>
  <si>
    <t>Portage du Fort, Ottawa River</t>
  </si>
  <si>
    <t>From Supplementary information Table 20</t>
  </si>
  <si>
    <t>George Matherson, Ottawa River</t>
  </si>
  <si>
    <t>From Supplementary information Table 21</t>
  </si>
  <si>
    <t>Pembroke Waterfront, Ottawa River</t>
  </si>
  <si>
    <t>From Supplementary information Table 22</t>
  </si>
  <si>
    <t>Pembroke Riverside, Ottawa River</t>
  </si>
  <si>
    <t>From Supplementary information Table 23</t>
  </si>
  <si>
    <t>Petawawa Point, Ottawa River</t>
  </si>
  <si>
    <t>From Supplementary information Table 24</t>
  </si>
  <si>
    <t>Deep River, Ottawa River</t>
  </si>
  <si>
    <t>From Supplementary information Table 25</t>
  </si>
  <si>
    <t>Dumonie, Ottawa River</t>
  </si>
  <si>
    <t>From Supplementary information Table 26</t>
  </si>
  <si>
    <t>Deux-Rivieres, Ottawa River</t>
  </si>
  <si>
    <t>From Supplementary information Table 27</t>
  </si>
  <si>
    <t>Klock, Ottawa River</t>
  </si>
  <si>
    <t>From Supplementary information Table 28</t>
  </si>
  <si>
    <t>Mattawa, Ottawa River</t>
  </si>
  <si>
    <t>From Supplementary information Table 29</t>
  </si>
  <si>
    <t>Temiscaming, Ottawa River</t>
  </si>
  <si>
    <t>From Supplementary information Table 30</t>
  </si>
  <si>
    <t>Opemican, Ottawa River</t>
  </si>
  <si>
    <t>From Supplementary information Table 31</t>
  </si>
  <si>
    <t>Vieux Fort, Ottawa River</t>
  </si>
  <si>
    <t>From Supplementary information Table 32</t>
  </si>
  <si>
    <t>du Ille, Ottawa River</t>
  </si>
  <si>
    <t>From Supplementary information Table 33</t>
  </si>
  <si>
    <t>Devils Rock, Ottawa River</t>
  </si>
  <si>
    <t>From Supplementary information Table 34</t>
  </si>
  <si>
    <t>Haileybury, Ottawa River</t>
  </si>
  <si>
    <t>From Supplementary information Table 35</t>
  </si>
  <si>
    <t>New Liskeard, Ottawa River</t>
  </si>
  <si>
    <t>From Supplementary information Table 36</t>
  </si>
  <si>
    <t>Waterfront Inn, Ottawa River</t>
  </si>
  <si>
    <t>From Supplementary information Table 37</t>
  </si>
  <si>
    <t>Notre Dame, Ottawa River</t>
  </si>
  <si>
    <t>From Supplementary information Table 38</t>
  </si>
  <si>
    <t>Angliers, Ottawa River</t>
  </si>
  <si>
    <t>From Supplementary information Table 39</t>
  </si>
  <si>
    <t>Remingy, Ottawa River</t>
  </si>
  <si>
    <t>From Supplementary information Table 40</t>
  </si>
  <si>
    <t>St-Agnes, Ottawa River</t>
  </si>
  <si>
    <t>From Supplementary information Table 41</t>
  </si>
  <si>
    <t>Forester, Ottawa River</t>
  </si>
  <si>
    <t>From Supplementary information Table 42</t>
  </si>
  <si>
    <t>Rapides Sept, Ottawa River</t>
  </si>
  <si>
    <t>From Supplementary information Table 43</t>
  </si>
  <si>
    <t>Twin Rapids, Ottawa River</t>
  </si>
  <si>
    <t>From Supplementary information Table 44</t>
  </si>
  <si>
    <t>Kinojevis, Ottawa River</t>
  </si>
  <si>
    <t>From Supplementary information Table 45</t>
  </si>
  <si>
    <t>Picnic, Ottawa River</t>
  </si>
  <si>
    <t>From Supplementary information Table 46</t>
  </si>
  <si>
    <t>Whiskey Creek, Ottawa River</t>
  </si>
  <si>
    <t>From Supplementary information Table 47</t>
  </si>
  <si>
    <t>Verendrye 30, Ottawa River</t>
  </si>
  <si>
    <t>From Supplementary information Table 48</t>
  </si>
  <si>
    <t>Camatose, Ottawa River</t>
  </si>
  <si>
    <t>From Supplementary information Table 49</t>
  </si>
  <si>
    <t>Galetta, Mississippi</t>
  </si>
  <si>
    <t>From Supplementary information Table 50</t>
  </si>
  <si>
    <t>Packenham, Mississippi</t>
  </si>
  <si>
    <t>From Supplementary information Table 51</t>
  </si>
  <si>
    <t>Blackney, Mississippi</t>
  </si>
  <si>
    <t>From Supplementary information Table 52</t>
  </si>
  <si>
    <t>Appleton, Mississippi</t>
  </si>
  <si>
    <t>From Supplementary information Table 53</t>
  </si>
  <si>
    <t>Carleton Place, Mississippi</t>
  </si>
  <si>
    <t>From Supplementary information Table 54</t>
  </si>
  <si>
    <t>Lanark, Mississippi</t>
  </si>
  <si>
    <t>From Supplementary information Table 55</t>
  </si>
  <si>
    <t>Vanier, Rideau</t>
  </si>
  <si>
    <t>From Supplementary information Table 56</t>
  </si>
  <si>
    <t>Carleton University, Rideau</t>
  </si>
  <si>
    <t>From Supplementary information Table 57</t>
  </si>
  <si>
    <t>Jock Landing, Rideau</t>
  </si>
  <si>
    <t>From Supplementary information Table 58</t>
  </si>
  <si>
    <t>Manotick, Rideau</t>
  </si>
  <si>
    <t>From Supplementary information Table 59</t>
  </si>
  <si>
    <t>Burritts Rapids, Rideau</t>
  </si>
  <si>
    <t>From Supplementary information Table 60</t>
  </si>
  <si>
    <t>Smiths Falls, Rideau</t>
  </si>
  <si>
    <t>From Supplementary information Table 61</t>
  </si>
  <si>
    <t>St. Andrews, Nord</t>
  </si>
  <si>
    <t>From Supplementary information Table 62</t>
  </si>
  <si>
    <t>Lachute, Nord</t>
  </si>
  <si>
    <t>From Supplementary information Table 63</t>
  </si>
  <si>
    <t>Piedmont, Nord</t>
  </si>
  <si>
    <t>From Supplementary information Table 64</t>
  </si>
  <si>
    <t>Val David, Nord</t>
  </si>
  <si>
    <t>From Supplementary information Table 65</t>
  </si>
  <si>
    <t>Highway 50, Rouge</t>
  </si>
  <si>
    <t>From Supplementary information Table 66</t>
  </si>
  <si>
    <t>Hubredeau, Rouge</t>
  </si>
  <si>
    <t>From Supplementary information Table 67</t>
  </si>
  <si>
    <t>Tremblant, Rouge</t>
  </si>
  <si>
    <t>From Supplementary information Table 68</t>
  </si>
  <si>
    <t>Labelle, Rouge</t>
  </si>
  <si>
    <t>From Supplementary information Table 69</t>
  </si>
  <si>
    <t>Riviere-Rouge, Rouge</t>
  </si>
  <si>
    <t>From Supplementary information Table 70</t>
  </si>
  <si>
    <t>Mont Laurier, Lievre</t>
  </si>
  <si>
    <t>From Supplementary information Table 71</t>
  </si>
  <si>
    <t>Notre Dame du Laus, Lievre</t>
  </si>
  <si>
    <t>From Supplementary information Table 72</t>
  </si>
  <si>
    <t>Val des Bois, Lievre</t>
  </si>
  <si>
    <t>From Supplementary information Table 73</t>
  </si>
  <si>
    <t>Notre Dame du Salette, Lievre</t>
  </si>
  <si>
    <t>From Supplementary information Table 74</t>
  </si>
  <si>
    <t>Buckingham, Lievre</t>
  </si>
  <si>
    <t>From Supplementary information Table 75</t>
  </si>
  <si>
    <t>Plantagenet, South Nation</t>
  </si>
  <si>
    <t>From Supplementary information Table 76</t>
  </si>
  <si>
    <t>Casselman, South Nation</t>
  </si>
  <si>
    <t>From Supplementary information Table 77</t>
  </si>
  <si>
    <t>Crysler, South Nation</t>
  </si>
  <si>
    <t>From Supplementary information Table 78</t>
  </si>
  <si>
    <t>Chesterville, South Nation</t>
  </si>
  <si>
    <t>From Supplementary information Table 79</t>
  </si>
  <si>
    <t>Cass Bridge, South Nation</t>
  </si>
  <si>
    <t>From Supplementary information Table 80</t>
  </si>
  <si>
    <t>Fournier, Gatineau</t>
  </si>
  <si>
    <t>From Supplementary information Table 81</t>
  </si>
  <si>
    <t>Wakefield, Gatineau</t>
  </si>
  <si>
    <t>From Supplementary information Table 82</t>
  </si>
  <si>
    <t>Lac St. Marie, Gatineau</t>
  </si>
  <si>
    <t>From Supplementary information Table 83</t>
  </si>
  <si>
    <t>Baskatong, Gatineau</t>
  </si>
  <si>
    <t>From Supplementary information Table 84</t>
  </si>
  <si>
    <t>Lac Rapide, Gatineau</t>
  </si>
  <si>
    <t>From Supplementary information Table 85</t>
  </si>
  <si>
    <t>Arnprior, Madawaska</t>
  </si>
  <si>
    <t>From Supplementary information Table 87</t>
  </si>
  <si>
    <t>Highway 417, Madawaska</t>
  </si>
  <si>
    <t>From Supplementary information Table 88</t>
  </si>
  <si>
    <t>Burnstown, Madawaska</t>
  </si>
  <si>
    <t>From Supplementary information Table 89</t>
  </si>
  <si>
    <t>Combermere, Madawaska</t>
  </si>
  <si>
    <t>From Supplementary information Table 90</t>
  </si>
  <si>
    <t>Madawaska Town, Madawaska</t>
  </si>
  <si>
    <t>From Supplementary information Table 91</t>
  </si>
  <si>
    <t>Horton, Bonnechere</t>
  </si>
  <si>
    <t>From Supplementary information Table 92</t>
  </si>
  <si>
    <t>Renfrew, Bonnechere</t>
  </si>
  <si>
    <t>From Supplementary information Table 93</t>
  </si>
  <si>
    <t>Bonnechere Caves, Bonnechere</t>
  </si>
  <si>
    <t>From Supplementary information Table 94</t>
  </si>
  <si>
    <t>Golden Lake, Bonnechere</t>
  </si>
  <si>
    <t>From Supplementary information Table 95</t>
  </si>
  <si>
    <t>Round Lake, Bonnechere</t>
  </si>
  <si>
    <t>From Supplementary information Table 96</t>
  </si>
  <si>
    <t>Latchford, Montreal</t>
  </si>
  <si>
    <t>From Supplementary information Table 97</t>
  </si>
  <si>
    <t>Elk Lake, Montreal</t>
  </si>
  <si>
    <t>From Supplementary information Table 98</t>
  </si>
  <si>
    <t>Matachewan, Montreal</t>
  </si>
  <si>
    <t>From Supplementary information Table 99</t>
  </si>
  <si>
    <t>Mistinikon Lake, Montreal</t>
  </si>
  <si>
    <t>From Supplementary information Table 100</t>
  </si>
  <si>
    <t>Gowganda, Montreal</t>
  </si>
  <si>
    <t>From Supplementary information Table 101</t>
  </si>
  <si>
    <t>Highway 65, Blanche</t>
  </si>
  <si>
    <t>From Supplementary information Table 102</t>
  </si>
  <si>
    <t>Hillard, Blanche</t>
  </si>
  <si>
    <t>From Supplementary information Table 103</t>
  </si>
  <si>
    <t>Round Lake, Blanche</t>
  </si>
  <si>
    <t>From Supplementary information Table 104</t>
  </si>
  <si>
    <t>Swastika</t>
  </si>
  <si>
    <t>From Supplementary information Table 105</t>
  </si>
  <si>
    <t>Factors driving the spatial distribution of microplastics in nearshore and offshore sediment of Lake Huron, North America</t>
  </si>
  <si>
    <t>10.1016/j.marpolbul.2022.113709</t>
  </si>
  <si>
    <t>Belontz 2022</t>
  </si>
  <si>
    <t>43.56666667, -82.485</t>
  </si>
  <si>
    <t>some locations are across the Canada/USA border, may need to remove</t>
  </si>
  <si>
    <t>43.63333333, -82.2166667</t>
  </si>
  <si>
    <t>43.74911111, -81.7378333</t>
  </si>
  <si>
    <t>43.825, -83.8172222</t>
  </si>
  <si>
    <t>43.89, -82.0566667</t>
  </si>
  <si>
    <t>43.90833333, -83.7416667</t>
  </si>
  <si>
    <t>43.97638889, -83.5755556</t>
  </si>
  <si>
    <t>44.11527778, -83.5291667</t>
  </si>
  <si>
    <t>44.12638889, -83.1708333</t>
  </si>
  <si>
    <t>44.19833333, -82.5033333</t>
  </si>
  <si>
    <t>44.2125, -83.3708333</t>
  </si>
  <si>
    <t>44.21666667, -83.0833333</t>
  </si>
  <si>
    <t>44.33333333, -83.3</t>
  </si>
  <si>
    <t>44.36666667, -81.8333333</t>
  </si>
  <si>
    <t>44.45333333, -82.3416667</t>
  </si>
  <si>
    <t>44.46666667, -81.4533333</t>
  </si>
  <si>
    <t>44.5, -82.8333333</t>
  </si>
  <si>
    <t>44.51416667, -81.3825278</t>
  </si>
  <si>
    <t>44.60302778, -80.0710833</t>
  </si>
  <si>
    <t>44.60308333, -80.9271944</t>
  </si>
  <si>
    <t>44.64583333, -80.1666667</t>
  </si>
  <si>
    <t>44.7175, -80.8566667</t>
  </si>
  <si>
    <t>44.725, -80.6166667</t>
  </si>
  <si>
    <t>44.73666667, -80.435</t>
  </si>
  <si>
    <t>44.74, -82.0572222</t>
  </si>
  <si>
    <t>44.78897222, -79.8503611</t>
  </si>
  <si>
    <t>44.79666667, -80.2433333</t>
  </si>
  <si>
    <t>44.87166667, -79.9680556</t>
  </si>
  <si>
    <t>44.92, -80.875</t>
  </si>
  <si>
    <t>44.92083333, -80.6058333</t>
  </si>
  <si>
    <t>44.95277778, -80.1488889</t>
  </si>
  <si>
    <t>45.01333333, -82.0083333</t>
  </si>
  <si>
    <t>45.01666667, -82.685</t>
  </si>
  <si>
    <t>45.04, -83.3783333</t>
  </si>
  <si>
    <t>45.06666667, -81.2538889</t>
  </si>
  <si>
    <t>45.16666667, -80.2966667</t>
  </si>
  <si>
    <t>45.22166667, -81.82</t>
  </si>
  <si>
    <t>45.23833333, -81.44</t>
  </si>
  <si>
    <t>45.245, -80.875</t>
  </si>
  <si>
    <t>45.325, -80.1166667</t>
  </si>
  <si>
    <t>45.33627778, -80.0605</t>
  </si>
  <si>
    <t>45.33686111, -80.2816389</t>
  </si>
  <si>
    <t>45.365, -81.19</t>
  </si>
  <si>
    <t>45.37027778, -81.585</t>
  </si>
  <si>
    <t>45.51666667, -83.4166667</t>
  </si>
  <si>
    <t>45.51666667, -84.0833333</t>
  </si>
  <si>
    <t>45.5275, -81.6694444</t>
  </si>
  <si>
    <t>45.535, -82.035</t>
  </si>
  <si>
    <t>45.58333333, -81.0833333</t>
  </si>
  <si>
    <t>45.65166667, -82.6483333</t>
  </si>
  <si>
    <t>45.675, -84.1866667</t>
  </si>
  <si>
    <t>45.67888889, -80.8388889</t>
  </si>
  <si>
    <t>45.70333333, -84.5116667</t>
  </si>
  <si>
    <t>45.70833333, -81.62</t>
  </si>
  <si>
    <t>45.75, -83.9166667</t>
  </si>
  <si>
    <t>45.76166667, -81.7947222</t>
  </si>
  <si>
    <t>45.845, -84.5666667</t>
  </si>
  <si>
    <t>45.86333333, -84.295</t>
  </si>
  <si>
    <t>45.86666667, -83.2666667</t>
  </si>
  <si>
    <t>45.87333333, -81.2583333</t>
  </si>
  <si>
    <t>45.91277778, -81.595</t>
  </si>
  <si>
    <t>45.91666667, -82.1611111</t>
  </si>
  <si>
    <t>45.935, -83.9</t>
  </si>
  <si>
    <t>45.93666667, -82.7583333</t>
  </si>
  <si>
    <t>45.97, -83.1983333</t>
  </si>
  <si>
    <t>46, -82.55</t>
  </si>
  <si>
    <t>46, -83.4333333</t>
  </si>
  <si>
    <t>46.04166667, -83.8533333</t>
  </si>
  <si>
    <t>46.05555556, -82</t>
  </si>
  <si>
    <t>46.06111111, -82.1972222</t>
  </si>
  <si>
    <t>46.07833333, -84.0283333</t>
  </si>
  <si>
    <t>46.09166667, -82.5566667</t>
  </si>
  <si>
    <t>46.12333333, -82.8858333</t>
  </si>
  <si>
    <t>46.13666667, -83.6716667</t>
  </si>
  <si>
    <t>46.18666667, -83.355</t>
  </si>
  <si>
    <t>46.23333333, -83.7466667</t>
  </si>
  <si>
    <t>From freshwaters to bivalves: Microplastic distribution along the Saint-Lawrence river-to-sea continuum</t>
  </si>
  <si>
    <t>Journal of hazardous materials</t>
  </si>
  <si>
    <t>https://doi.org/10.1016/j.jhazmat.2022.128977</t>
  </si>
  <si>
    <t>Rowenczyk 2022</t>
  </si>
  <si>
    <t>Lake Saint-Louis / Beaconsfield 45°24'05.7"N 73°53'47.5"W</t>
  </si>
  <si>
    <t>calculated from raw data files</t>
  </si>
  <si>
    <t>assuming the Saint Lawrence river becomes an estuary at Île d'Orléans</t>
  </si>
  <si>
    <t>Lake Saint-Louis / Cascades 45°19'48.1"N 73°55'43.9"W</t>
  </si>
  <si>
    <t>Lake Saint-Pierre 46°12'14.3"N 72°48'34.7"W</t>
  </si>
  <si>
    <t>Quebec City 46°49'52.6"N 71°10'39.6"W</t>
  </si>
  <si>
    <t>St-Joseph-de-la-Rive 47°23'54.6"N 70°27'23.1"W</t>
  </si>
  <si>
    <t>La Pocatière 47°21'37.3"N 70°06'57.1"W</t>
  </si>
  <si>
    <t>Baie-Ste-Catherine 48°02'10.2"N 69°38'25.5"W</t>
  </si>
  <si>
    <t>Cacouna 47°58'04.7"N 69°33'41.7"W</t>
  </si>
  <si>
    <t>Spatial patterns of microplastics in freshwater bivalves (Bivalvia: Unionidae and Sphaeriidae) relative to municipal wastewater effluent discharges</t>
  </si>
  <si>
    <t>Environmental toxicology and chemistry</t>
  </si>
  <si>
    <t>https://doi.org/10.1093/etojnl/vgae044</t>
  </si>
  <si>
    <t>Robson 2025</t>
  </si>
  <si>
    <t>Grand river; West Montrose</t>
  </si>
  <si>
    <t>Pumped through filers, lower size cutoff of 35.56 um</t>
  </si>
  <si>
    <t>Overall mean concentration of 5.5 particles/L</t>
  </si>
  <si>
    <t>Grand river; Caledonia-Upstream</t>
  </si>
  <si>
    <t>Grand river;Caledonia-Downstream</t>
  </si>
  <si>
    <t>Grand river;York</t>
  </si>
  <si>
    <t>Speed river;Hespeler-Upstream</t>
  </si>
  <si>
    <t>Speed river; Hespeler-Downstream</t>
  </si>
  <si>
    <t>Nith river; Ayr- Upstream</t>
  </si>
  <si>
    <t>Nith river; Ayr- Downstream</t>
  </si>
  <si>
    <t>Distribution, abundance and spatial variability of microplastic pollution on the surface of Lake Superior</t>
  </si>
  <si>
    <t>10.1016/j.jglr.2021.08.005</t>
  </si>
  <si>
    <t>Cox 2021</t>
  </si>
  <si>
    <t>lake superior (46.675, -84.56425)</t>
  </si>
  <si>
    <t>average of all sites. most particles between 500 and 999 um, so midpoint given</t>
  </si>
  <si>
    <t>particles /km2</t>
  </si>
  <si>
    <t>lake superior (46.770667, -84.599083)</t>
  </si>
  <si>
    <t>lake superior (46.940667, -84.727)</t>
  </si>
  <si>
    <t>lake superior (47.22025, -85.102417)</t>
  </si>
  <si>
    <t>lake superior (47.316083, -84.648584)</t>
  </si>
  <si>
    <t>lake superior (47.412916, -85.666167)</t>
  </si>
  <si>
    <t>lake superior (47.456917, -85.265166)</t>
  </si>
  <si>
    <t>lake superior (47.551833, -84.963)</t>
  </si>
  <si>
    <t>lake superior (47.594916, -86.224917)</t>
  </si>
  <si>
    <t>lake superior (47.634083, -86.109834)</t>
  </si>
  <si>
    <t>lake superior (47.649417, -85.559833)</t>
  </si>
  <si>
    <t>lake superior (47.7015, -85.958)</t>
  </si>
  <si>
    <t>lake superior (47.827833, -86.698417)</t>
  </si>
  <si>
    <t>lake superior (47.914583, -85.43)</t>
  </si>
  <si>
    <t>lake superior (47.94325, -85.183166)</t>
  </si>
  <si>
    <t>lake superior (47.950084, -84.942083)</t>
  </si>
  <si>
    <t>lake superior (48.023416, -86.63775)</t>
  </si>
  <si>
    <t>lake superior (48.078167, -89.41775)</t>
  </si>
  <si>
    <t>lake superior (48.122416, -86.052417)</t>
  </si>
  <si>
    <t>lake superior (48.262333, -89.165)</t>
  </si>
  <si>
    <t>lake superior (48.299916, -88.924583)</t>
  </si>
  <si>
    <t>lake superior (48.3045, -87.657083)</t>
  </si>
  <si>
    <t>lake superior (48.355, -86.97925)</t>
  </si>
  <si>
    <t>lake superior (48.370334, -88.8805)</t>
  </si>
  <si>
    <t>lake superior (48.50125, -88.93675)</t>
  </si>
  <si>
    <t>lake superior (48.515917, -88.604584)</t>
  </si>
  <si>
    <t>lake superior (48.554583, -87.773417)</t>
  </si>
  <si>
    <t>lake superior (48.715833, -87.299583)</t>
  </si>
  <si>
    <t>lake superior (48.767583, -86.63575)</t>
  </si>
  <si>
    <t>lake superior (48.816916, -87.449667)</t>
  </si>
  <si>
    <t>Quantification and characterization of plastics in near-shore surface waters of Atlantic Canada</t>
  </si>
  <si>
    <t>https://doi.org/10.1016/j.marpolbul.2022.113869</t>
  </si>
  <si>
    <t>Smith 2022</t>
  </si>
  <si>
    <t xml:space="preserve"> south shore of Nova Scotia, LaHave</t>
  </si>
  <si>
    <t>The size was presented as general for all sampled locations.</t>
  </si>
  <si>
    <t>0.425–5</t>
  </si>
  <si>
    <t>425–5000</t>
  </si>
  <si>
    <t>items/km2</t>
  </si>
  <si>
    <t>Coordinates from google map</t>
  </si>
  <si>
    <t>Region: pole</t>
  </si>
  <si>
    <t>Western newfound, Bay of Islands</t>
  </si>
  <si>
    <t>Western Nova Scotia, Annapolis Basin</t>
  </si>
  <si>
    <t>Anthropogenic particles (including microfibers and microplastics) in marine sediments of the Canadian Arctic</t>
  </si>
  <si>
    <t>Science of the total environment</t>
  </si>
  <si>
    <t>https://doi.org/10.1016/j.scitotenv.2021.147155</t>
  </si>
  <si>
    <t>Adams 2021</t>
  </si>
  <si>
    <t>Beaufort Sea - East (72.1656, -130.8177)</t>
  </si>
  <si>
    <t>Sived through 20 um</t>
  </si>
  <si>
    <t>Missing</t>
  </si>
  <si>
    <t>particles/g sediment (dry weight)</t>
  </si>
  <si>
    <t>Beaufort Sea - Mackenzie Delta (70.6302833333333, -136.189016666667)</t>
  </si>
  <si>
    <t>Beaufort Sea (70.6395, -139.014783333333)</t>
  </si>
  <si>
    <t>Gulf of Boothia (71.4753, -91.9932)</t>
  </si>
  <si>
    <t>Mid-Baffin Island (69.4073, -64.7322)</t>
  </si>
  <si>
    <t>Nares Strait (79.5152, -70.8470)</t>
  </si>
  <si>
    <t>North Baffin Bay (76.3575, -77.5152)</t>
  </si>
  <si>
    <t>North Baffin Island (72.4878, -78.7832)</t>
  </si>
  <si>
    <t>North Passage East (74.2777, -83.3194)</t>
  </si>
  <si>
    <t>North Passage West (74.2463, -91.5131)</t>
  </si>
  <si>
    <t>Queen Maud Gulf (68.4925, -99.898)</t>
  </si>
  <si>
    <t>South Baffin Island (67.4760, -63.7912)</t>
  </si>
  <si>
    <t>Microplastics distribution in sediment and mussels along the British Columbia Coast, Canada</t>
  </si>
  <si>
    <t>https://doi.org/10.1016/j.marpolbul.2022.114273</t>
  </si>
  <si>
    <t>NoëL et al., 2022</t>
  </si>
  <si>
    <t>Vancouver Island-S1</t>
  </si>
  <si>
    <t>Sieved through 355um, 1mm</t>
  </si>
  <si>
    <t>&gt;355</t>
  </si>
  <si>
    <t>From SI</t>
  </si>
  <si>
    <t>Vancouver Island-S2</t>
  </si>
  <si>
    <t>southern Vancouver Island -S3</t>
  </si>
  <si>
    <t>southern Vancouver Island -S4</t>
  </si>
  <si>
    <t>southern Vancouver Island -S5</t>
  </si>
  <si>
    <t>southern Vancouver Island -S6</t>
  </si>
  <si>
    <t>southern Vancouver Island -S7</t>
  </si>
  <si>
    <t>Victoria Harbour -S8</t>
  </si>
  <si>
    <t>Victoria Harbour -S9</t>
  </si>
  <si>
    <t>Victoria Harbour -S10</t>
  </si>
  <si>
    <t>Gulf Islands -S12</t>
  </si>
  <si>
    <t>Gulf Islands -S13</t>
  </si>
  <si>
    <t>Gulf Islands-S14</t>
  </si>
  <si>
    <t>S18</t>
  </si>
  <si>
    <t>Burrard Inlet-S19</t>
  </si>
  <si>
    <t>Burrard Inlet-S20</t>
  </si>
  <si>
    <t>Burrard Inlet-S21</t>
  </si>
  <si>
    <t>Burrard Inlet-S22</t>
  </si>
  <si>
    <t>Burrard Inlet-S23</t>
  </si>
  <si>
    <t>Burrard Inlet-S24</t>
  </si>
  <si>
    <t>Burrard Inlet-S25</t>
  </si>
  <si>
    <t>Indian Arm-S28</t>
  </si>
  <si>
    <t>Indian Arm-S29</t>
  </si>
  <si>
    <t>Howe Sound -S30</t>
  </si>
  <si>
    <t>Howe Sound -S31</t>
  </si>
  <si>
    <t>Sunshine Coast-S32</t>
  </si>
  <si>
    <t>Port Neville-S33</t>
  </si>
  <si>
    <t>Central Coast-S34</t>
  </si>
  <si>
    <t>North Coast -S35</t>
  </si>
  <si>
    <t>North Coast -S36</t>
  </si>
  <si>
    <t>Haida Gwaii-S37</t>
  </si>
  <si>
    <t>Haida Gwaii-S38</t>
  </si>
  <si>
    <t>Haida Gwaii-S39</t>
  </si>
  <si>
    <t>Haida Gwaii-S40</t>
  </si>
  <si>
    <t>Haida Gwaii-S41</t>
  </si>
  <si>
    <t>Size and shape matter: A preliminary analysis of microplastic sampling technique in seawater studies with implications for ecological risk assessment</t>
  </si>
  <si>
    <t>https://doi.org/10.1016/j.scitotenv.2019.02.346</t>
  </si>
  <si>
    <t>Covernton 2019</t>
  </si>
  <si>
    <t>Baynes Sound, Ships point reference</t>
  </si>
  <si>
    <t>Steel bucket 10L samples filtered through 63um</t>
  </si>
  <si>
    <t>&gt;10</t>
  </si>
  <si>
    <t>Mean concentration for 10L samples</t>
  </si>
  <si>
    <t>coordinates obtained from google map</t>
  </si>
  <si>
    <t>Baynes Sound, Ships point</t>
  </si>
  <si>
    <t>Mean concentration for 1L samples</t>
  </si>
  <si>
    <t>Baynes Sound, Mud bay reference</t>
  </si>
  <si>
    <t>Mud Bay</t>
  </si>
  <si>
    <t>Baynes Sound, Deep Bay</t>
  </si>
  <si>
    <t>Baynes Sound, Deep Bay Reference</t>
  </si>
  <si>
    <t>Pandemic Legacy: Medical Facemasks as a Potential Source of Microplastics in Placentia Bay?</t>
  </si>
  <si>
    <t>https://doi.org/https://doi.org/https://doi.org/10.2139/ssrn.5229643</t>
  </si>
  <si>
    <t>Dillon et al., 2025</t>
  </si>
  <si>
    <t>Port Tender Royal Breeze, Placentia Bay</t>
  </si>
  <si>
    <t>mentions &gt;300um; used power law to calculate based on the avg concentration (Figure 4b)</t>
  </si>
  <si>
    <t>average from nine sampling sites; median was 0.28</t>
  </si>
  <si>
    <t>Port Tender Royal Breeze, Placentia Bay S8</t>
  </si>
  <si>
    <t>Port Tender Royal Breeze, Placentia Bay; S2, S3, S4, S9</t>
  </si>
  <si>
    <t>S3</t>
  </si>
  <si>
    <t>S4</t>
  </si>
  <si>
    <t>S5</t>
  </si>
  <si>
    <t>S6</t>
  </si>
  <si>
    <t>S7</t>
  </si>
  <si>
    <t>S8</t>
  </si>
  <si>
    <t>Microplastic and other anthropogenic microparticles in Arctic char (Salvelinus alpinus) and their coastal habitat: A first-look at a central Canadian Arctic commercial fishery</t>
  </si>
  <si>
    <t>https://doi.org/10.1016/j.scitotenv.2024.172854</t>
  </si>
  <si>
    <t>Hamilton 2024</t>
  </si>
  <si>
    <t xml:space="preserve">Palik (mouth of Lauchlan River) </t>
  </si>
  <si>
    <t>reported as median by authors, page 5. Pumped through 104um</t>
  </si>
  <si>
    <t>paritcles/L</t>
  </si>
  <si>
    <t xml:space="preserve">Palik (Byron Bay) </t>
  </si>
  <si>
    <t>reported as median by authors, page 6</t>
  </si>
  <si>
    <t>reported as median by authors, page 7</t>
  </si>
  <si>
    <t>particles/ g sediment ww</t>
  </si>
  <si>
    <t>particles/Kg ww</t>
  </si>
  <si>
    <t>Locations checked in google maps, no conversion to units</t>
  </si>
  <si>
    <t>reported as median by authors, page 8</t>
  </si>
  <si>
    <t>Microplastic contamination in Lake Winnipeg, Canada</t>
  </si>
  <si>
    <t>https://doi.org/10.1016/j.envpol.2017.02.072</t>
  </si>
  <si>
    <t>Anderson 2038</t>
  </si>
  <si>
    <t>Manitoba</t>
  </si>
  <si>
    <t>50.43, 96.83 (2, 2014)</t>
  </si>
  <si>
    <t>Manta trawl 333um and sieved through 250um</t>
  </si>
  <si>
    <t>&gt;250</t>
  </si>
  <si>
    <t># per km2</t>
  </si>
  <si>
    <t>Anderson 2039</t>
  </si>
  <si>
    <t>50.43, 96.83 (2, 2015)</t>
  </si>
  <si>
    <t>Anderson 2040</t>
  </si>
  <si>
    <t>50.43, 96.83 (2, 2016)</t>
  </si>
  <si>
    <t>Anderson 2047</t>
  </si>
  <si>
    <t>50.48, 96.72 (3B, 2014)</t>
  </si>
  <si>
    <t>Anderson 2048</t>
  </si>
  <si>
    <t>50.48, 96.72 (3B, 2015)</t>
  </si>
  <si>
    <t>Anderson 2049</t>
  </si>
  <si>
    <t>50.48, 96.72 (3B, 2016)</t>
  </si>
  <si>
    <t>Anderson 2041</t>
  </si>
  <si>
    <t>50.68, 96.41 (7, 2014)</t>
  </si>
  <si>
    <t>Anderson 2042</t>
  </si>
  <si>
    <t>50.68, 96.41 (7, 2015)</t>
  </si>
  <si>
    <t>Anderson 2043</t>
  </si>
  <si>
    <t>50.68, 96.41 (7, 2016)</t>
  </si>
  <si>
    <t>Anderson 2044</t>
  </si>
  <si>
    <t>50.69, 96.78 (59, 2014)</t>
  </si>
  <si>
    <t>Anderson 2045</t>
  </si>
  <si>
    <t>50.69, 96.78 (59, 2015)</t>
  </si>
  <si>
    <t>Anderson 2046</t>
  </si>
  <si>
    <t>50.69, 96.78 (59, 2016)</t>
  </si>
  <si>
    <t>Anderson 2050</t>
  </si>
  <si>
    <t>51.02, 96.58 (W9, 2014)</t>
  </si>
  <si>
    <t>Anderson 2051</t>
  </si>
  <si>
    <t>51.02, 96.58 (W9, 2015)</t>
  </si>
  <si>
    <t>Anderson 2052</t>
  </si>
  <si>
    <t>51.02, 96.58 (W9, 2016)</t>
  </si>
  <si>
    <t>Anderson 2033</t>
  </si>
  <si>
    <t>51.62, 97.69 (W6, 2015)</t>
  </si>
  <si>
    <t>Anderson 2034</t>
  </si>
  <si>
    <t>51.62, 97.69 (W6, 2016)</t>
  </si>
  <si>
    <t>Anderson 2035</t>
  </si>
  <si>
    <t>51.77, 96.86 (W8, 2014)</t>
  </si>
  <si>
    <t>Anderson 2036</t>
  </si>
  <si>
    <t>51.77, 96.86 (W8, 2015)</t>
  </si>
  <si>
    <t>Anderson 2037</t>
  </si>
  <si>
    <t>51.77, 96.86 (W8, 2016)</t>
  </si>
  <si>
    <t>Anderson 2023</t>
  </si>
  <si>
    <t>52.17, 97.85 (65, 2014)</t>
  </si>
  <si>
    <t>Anderson 2024</t>
  </si>
  <si>
    <t>52.17, 97.85 (65, 2015)</t>
  </si>
  <si>
    <t>Anderson 2025</t>
  </si>
  <si>
    <t>52.17, 97.85 (65, 2016)</t>
  </si>
  <si>
    <t>Anderson 2029</t>
  </si>
  <si>
    <t>52.89, 98.24 (W4, 2014)</t>
  </si>
  <si>
    <t>Anderson 2030</t>
  </si>
  <si>
    <t>52.89, 98.24 (W4, 2015)</t>
  </si>
  <si>
    <t>Anderson 2031</t>
  </si>
  <si>
    <t>52.89, 98.24 (W4, 2016)</t>
  </si>
  <si>
    <t>Anderson 2020</t>
  </si>
  <si>
    <t>53.21, 99.23 (28, 2014)</t>
  </si>
  <si>
    <t>Anderson 2021</t>
  </si>
  <si>
    <t>53.21, 99.23 (28, 2015)</t>
  </si>
  <si>
    <t>Anderson 2022</t>
  </si>
  <si>
    <t>53.21, 99.23 (28, 2016)</t>
  </si>
  <si>
    <t>Anderson 2026</t>
  </si>
  <si>
    <t>53.38, 98.44 (W1, 2014)</t>
  </si>
  <si>
    <t>Anderson 2027</t>
  </si>
  <si>
    <t>53.38, 98.44 (W1, 2015)</t>
  </si>
  <si>
    <t>Anderson 2028</t>
  </si>
  <si>
    <t>53.38, 98.44 (W1, 2016)</t>
  </si>
  <si>
    <t>Anderson 2017</t>
  </si>
  <si>
    <t>53.61, 97.96 (22, 2014)</t>
  </si>
  <si>
    <t>Anderson 2018</t>
  </si>
  <si>
    <t>53.61, 97.96 (22, 2015)</t>
  </si>
  <si>
    <t>Anderson 2019</t>
  </si>
  <si>
    <t>53.61, 97.96 (22, 2016)</t>
  </si>
  <si>
    <t>Waste Combustion Releases Anthropogenic Nanomaterials in Indigenous Arctic Communities</t>
  </si>
  <si>
    <t>ES&amp;T</t>
  </si>
  <si>
    <t>https://doi.org/10.1021/acs.est.4c02598</t>
  </si>
  <si>
    <t>Gigault et al., 2024</t>
  </si>
  <si>
    <t>Umiujaq</t>
  </si>
  <si>
    <t>Nanoplastics</t>
  </si>
  <si>
    <t>&lt;1</t>
  </si>
  <si>
    <t>ng particles/ g of sediment</t>
  </si>
  <si>
    <t>ng/g</t>
  </si>
  <si>
    <t>Also has one site off of greenland, irrelevant for our study, unclear if estuary.</t>
  </si>
  <si>
    <t>Seasonal and In-Depth Distribution of Anthropogenic Microparticles in Hamilton Harbour</t>
  </si>
  <si>
    <t>ACS. EST.</t>
  </si>
  <si>
    <t>10.1021/acsestwater.5c00047</t>
  </si>
  <si>
    <t>Nayebi 2025</t>
  </si>
  <si>
    <t>Hamilton Harbour, Lake Ontario: top, middle and bottom layer</t>
  </si>
  <si>
    <t>Filtered through 8um, cutoff size taken from Figure 4</t>
  </si>
  <si>
    <t>Mean value from 3 water depths</t>
  </si>
  <si>
    <t xml:space="preserve"> items/L</t>
  </si>
  <si>
    <t>Snow as an indicator of atmospheric transport of anthropogenic particles (microplastics and microfibers) from urban to Arctic regions</t>
  </si>
  <si>
    <t>Arctic Sci.</t>
  </si>
  <si>
    <t>10.1139/as-2024-0045</t>
  </si>
  <si>
    <t>Yu 2025</t>
  </si>
  <si>
    <t>Greater Toronto Area</t>
  </si>
  <si>
    <t>Filtered through 10um</t>
  </si>
  <si>
    <t>Mean concentration per region</t>
  </si>
  <si>
    <t>Yukon</t>
  </si>
  <si>
    <t>Little Fox Lakes</t>
  </si>
  <si>
    <t>Carcross</t>
  </si>
  <si>
    <t>Lakes in NWT</t>
  </si>
  <si>
    <t>Alert Nunavut</t>
  </si>
  <si>
    <t>Reductions of Plastic Microbeads from Personal Care Products in Wastewater Effluents and Lake Waters Following Regulatory Actions</t>
  </si>
  <si>
    <t>https://doi.org/10.1021/acsestwater.3c00526</t>
  </si>
  <si>
    <t>Akhbarizadeh et al., 2024</t>
  </si>
  <si>
    <t>Lake Ontario (2015)</t>
  </si>
  <si>
    <t>Collected with manta trawl 335um</t>
  </si>
  <si>
    <t>Given by authors a total mean of all sampling locations per area, page 497. Summary of both shapes irregular and beads</t>
  </si>
  <si>
    <t>median summary of Spherical and microbeads in 2015</t>
  </si>
  <si>
    <t>Lake Ontario</t>
  </si>
  <si>
    <t>Lake Ontario (2018 A)</t>
  </si>
  <si>
    <t>median summary of Spherical and microbeads in 2018</t>
  </si>
  <si>
    <t>Lake Ontario (2018 B)</t>
  </si>
  <si>
    <t>Plastic and anthropogenic microFibre pollution on exposed sandy beaches in Nova Scotia, Canada</t>
  </si>
  <si>
    <t>Water. Emerg. Contam. Nanoplastics.</t>
  </si>
  <si>
    <t>10.20517/wecn.2023.66</t>
  </si>
  <si>
    <t>Rainbow Haven beach (44° 38' 46.69" N, 63° 25' 10.131" W)</t>
  </si>
  <si>
    <t>63. 2510131</t>
  </si>
  <si>
    <t>Filtered through 20um, based on Figure 3D; used automeris</t>
  </si>
  <si>
    <t>&gt;20</t>
  </si>
  <si>
    <t>mPs/100 g of sediment</t>
  </si>
  <si>
    <t>Martinique beach (44° 41' 27.86" N, 63° 08' 18.68" W)</t>
  </si>
  <si>
    <t>44. 41 2786</t>
  </si>
  <si>
    <t>63. 081868</t>
  </si>
  <si>
    <t>A temporal record of microplastic accumulation in sediment cores of the Great Lakes, North America, reflects macroeconomic and regional influences</t>
  </si>
  <si>
    <t>Facet.</t>
  </si>
  <si>
    <t>10.1139/facets-2023-0057</t>
  </si>
  <si>
    <t>Belontz 2024</t>
  </si>
  <si>
    <t>403a core: Lake Ontario, Ontario, Canada</t>
  </si>
  <si>
    <t>average of both sites</t>
  </si>
  <si>
    <t>LH14 core: Lake Huron, Ontario, Canada</t>
  </si>
  <si>
    <t>Change in microplastic concentration during various temporal events downstream of a combined sewage overflow and in an urban stormwater creek</t>
  </si>
  <si>
    <t>Front. Water.</t>
  </si>
  <si>
    <t>https://doi.org/10.3389/frwa.2022.958130</t>
  </si>
  <si>
    <t>Forrest et al., 2022</t>
  </si>
  <si>
    <t>particles  &gt;300 um (mesh size)</t>
  </si>
  <si>
    <t>Graham Creek in the City of Ottawa- September 9th 2019</t>
  </si>
  <si>
    <t>Graham Creek in the City of Ottawa-September 18th 2019</t>
  </si>
  <si>
    <t>Graham Creek in the City of Ottawa-October 31st 2019</t>
  </si>
  <si>
    <t>Graham Creek in the City of Ottawa-October 21st 2020</t>
  </si>
  <si>
    <t>Graham Creek in the City of Ottawa-November 3rd 2021</t>
  </si>
  <si>
    <t>Graham Creek in the City of Ottawa-March 17th 2021</t>
  </si>
  <si>
    <t>Graham Creek in the City of Ottawa-March 26th 2021</t>
  </si>
  <si>
    <t>Graham Creek in the City of Ottawa-April 21st 2021</t>
  </si>
  <si>
    <t>Graham Creek in the City of Ottawa-May 14th 2021</t>
  </si>
  <si>
    <t>Graham Creek in the City of Ottawa-June 24th 2021</t>
  </si>
  <si>
    <t>Pervasive distribution of polyester fibres in the Arctic Ocean is driven by Atlantic inputs</t>
  </si>
  <si>
    <t>Nat. Commun.</t>
  </si>
  <si>
    <t>10.1038/s41467-020-20347-1</t>
  </si>
  <si>
    <t>Ross 2021</t>
  </si>
  <si>
    <t>Beaufort Sea</t>
  </si>
  <si>
    <t>Sample sieved of 63 µm, only fiber length is given</t>
  </si>
  <si>
    <t>&gt; 63</t>
  </si>
  <si>
    <t>MPs/m3</t>
  </si>
  <si>
    <t xml:space="preserve">Study conducted across European and North American Arctic (including the North Pole) and in the Beaufort Sea. </t>
  </si>
  <si>
    <t>Canadian Arctic Archipelago</t>
  </si>
  <si>
    <t>Baffin Bay</t>
  </si>
  <si>
    <t>Evaluating community science sampling for microplastics in shore sediments of large river watersheds</t>
  </si>
  <si>
    <t>https://doi.org/10.1139/facets-2022-0105</t>
  </si>
  <si>
    <t>Chenal Island </t>
  </si>
  <si>
    <t>11.78 </t>
  </si>
  <si>
    <t>Hawkesbury </t>
  </si>
  <si>
    <t>4.29 </t>
  </si>
  <si>
    <t>Petrie Island </t>
  </si>
  <si>
    <t>5.00 </t>
  </si>
  <si>
    <t>Rebecca Overflow </t>
  </si>
  <si>
    <t>6.83 </t>
  </si>
  <si>
    <t>Blair Road </t>
  </si>
  <si>
    <t>2.99 </t>
  </si>
  <si>
    <t>Kettle Island </t>
  </si>
  <si>
    <t>5.78 </t>
  </si>
  <si>
    <t>New Edinburgh Club </t>
  </si>
  <si>
    <t>5.19 </t>
  </si>
  <si>
    <t>Parc Mousette </t>
  </si>
  <si>
    <t>3.34 </t>
  </si>
  <si>
    <t>Remic Rapids </t>
  </si>
  <si>
    <t>4.74 </t>
  </si>
  <si>
    <t>Bate Island </t>
  </si>
  <si>
    <t>2.35 </t>
  </si>
  <si>
    <t>Westboro Downstream </t>
  </si>
  <si>
    <t>13.71 </t>
  </si>
  <si>
    <t>Westboro Upstream </t>
  </si>
  <si>
    <t>6.59 </t>
  </si>
  <si>
    <t>Rue Huole </t>
  </si>
  <si>
    <t>3.55 </t>
  </si>
  <si>
    <t>Guillot Park </t>
  </si>
  <si>
    <t>8.41 </t>
  </si>
  <si>
    <t>Queens park </t>
  </si>
  <si>
    <t>5.45 </t>
  </si>
  <si>
    <t>Luskville </t>
  </si>
  <si>
    <t>7.60 </t>
  </si>
  <si>
    <t>Baskins Beach </t>
  </si>
  <si>
    <t>5.43 </t>
  </si>
  <si>
    <t>Allen Island </t>
  </si>
  <si>
    <t>11.79 </t>
  </si>
  <si>
    <t>Morris Island </t>
  </si>
  <si>
    <t>5.93 </t>
  </si>
  <si>
    <t>Pontiac Station </t>
  </si>
  <si>
    <t>11.31 </t>
  </si>
  <si>
    <t>Mclean Park </t>
  </si>
  <si>
    <t>4.62 </t>
  </si>
  <si>
    <t>Robert Simpson Park </t>
  </si>
  <si>
    <t>2.90 </t>
  </si>
  <si>
    <t>Norway Bay East </t>
  </si>
  <si>
    <t>21.95 </t>
  </si>
  <si>
    <t>Norway Bay West </t>
  </si>
  <si>
    <t>14.55 </t>
  </si>
  <si>
    <t>Braeside </t>
  </si>
  <si>
    <t>2.29 </t>
  </si>
  <si>
    <t>Bristol </t>
  </si>
  <si>
    <t>1.77 </t>
  </si>
  <si>
    <t>Haughton’s Bay </t>
  </si>
  <si>
    <t>8.16 </t>
  </si>
  <si>
    <t>Chats lake </t>
  </si>
  <si>
    <t>5.15 </t>
  </si>
  <si>
    <t>Baie Indian Island </t>
  </si>
  <si>
    <t>3.00 </t>
  </si>
  <si>
    <t>Baie Indian </t>
  </si>
  <si>
    <t>3.13 </t>
  </si>
  <si>
    <t>Webster’s Beach </t>
  </si>
  <si>
    <t>11.95 </t>
  </si>
  <si>
    <t>Portage-du-Fort </t>
  </si>
  <si>
    <t>6.04 </t>
  </si>
  <si>
    <t>McLarens </t>
  </si>
  <si>
    <t>14.22 </t>
  </si>
  <si>
    <t>Portage-du-Fort Nord </t>
  </si>
  <si>
    <t>8.96 </t>
  </si>
  <si>
    <t>Harmony Bay </t>
  </si>
  <si>
    <t>9.23 </t>
  </si>
  <si>
    <t>Hennessey Bay </t>
  </si>
  <si>
    <t>1.72 </t>
  </si>
  <si>
    <t>Morrison Island East </t>
  </si>
  <si>
    <t>0.88 </t>
  </si>
  <si>
    <t>Morrison Island West </t>
  </si>
  <si>
    <t>3.81 </t>
  </si>
  <si>
    <t>Pembroke Waterfront </t>
  </si>
  <si>
    <t>4.48 </t>
  </si>
  <si>
    <t>Pembroke Riverside </t>
  </si>
  <si>
    <t>4.94 </t>
  </si>
  <si>
    <t>Murphy’s Point </t>
  </si>
  <si>
    <t>2.63 </t>
  </si>
  <si>
    <t>Thorne </t>
  </si>
  <si>
    <t>0.83 </t>
  </si>
  <si>
    <t>Ville-Marie </t>
  </si>
  <si>
    <t>1.76 </t>
  </si>
  <si>
    <t>Oster Island </t>
  </si>
  <si>
    <t>5.58 </t>
  </si>
  <si>
    <t>Haileybury </t>
  </si>
  <si>
    <t>8.04 </t>
  </si>
  <si>
    <t>Dawson Point </t>
  </si>
  <si>
    <t>4.39 </t>
  </si>
  <si>
    <t>Dixon Creek </t>
  </si>
  <si>
    <t>6.07 </t>
  </si>
  <si>
    <t>Wabi bay </t>
  </si>
  <si>
    <t>6.02 </t>
  </si>
  <si>
    <t>New Liskeard West </t>
  </si>
  <si>
    <t>6.15 </t>
  </si>
  <si>
    <t>New Liskeard Centre </t>
  </si>
  <si>
    <t>7.01 </t>
  </si>
  <si>
    <t>New Liskeard East </t>
  </si>
  <si>
    <t>10.44 </t>
  </si>
  <si>
    <t>Bakers Bush </t>
  </si>
  <si>
    <t>5.61 </t>
  </si>
  <si>
    <t>Sutton bay </t>
  </si>
  <si>
    <t>12.31 </t>
  </si>
  <si>
    <t>Notre-Dame-du-Nord Sud </t>
  </si>
  <si>
    <t>4.51 </t>
  </si>
  <si>
    <t>Notre-Dame-du-Nord </t>
  </si>
  <si>
    <t>6.72 </t>
  </si>
  <si>
    <t>Burnett Road (Gatineau) </t>
  </si>
  <si>
    <t>3.83 </t>
  </si>
  <si>
    <t>Meech Creek (Gatineau) </t>
  </si>
  <si>
    <t>1.81 </t>
  </si>
  <si>
    <t>Lepeche (Gatineau) </t>
  </si>
  <si>
    <t>Turntable Park (Gatineau) </t>
  </si>
  <si>
    <t>1.94 </t>
  </si>
  <si>
    <t>Macintyre Beach (Gatineau) </t>
  </si>
  <si>
    <t>0.74 </t>
  </si>
  <si>
    <t>Burritts Rapids (Rideau) </t>
  </si>
  <si>
    <t>4.55 </t>
  </si>
  <si>
    <t>Robert Simpson Park (Madawaska) </t>
  </si>
  <si>
    <t>2.95 </t>
  </si>
  <si>
    <t>Round Lake (Bonnechere) </t>
  </si>
  <si>
    <t>3.28 </t>
  </si>
  <si>
    <t>Laniel (Kipawa) </t>
  </si>
  <si>
    <t>Rouyn-Noranda (Kinojévis) </t>
  </si>
  <si>
    <t>2.06 </t>
  </si>
  <si>
    <t>Aiguebelle </t>
  </si>
  <si>
    <t>2.01 </t>
  </si>
  <si>
    <t>Characterization of microplastics and anthropogenic fibers in surface waters of the North Saskatchewan River, Alberta, Canada</t>
  </si>
  <si>
    <t>10.1139/FACETS-2020-0057</t>
  </si>
  <si>
    <t>Bujaczek 2021</t>
  </si>
  <si>
    <t>North Saskatchewan River Site 1 (53.3674, -113.7528)</t>
  </si>
  <si>
    <t>most particles between 250 and 500 um, so midpoint given</t>
  </si>
  <si>
    <t>read from fig. 2 with atomeris</t>
  </si>
  <si>
    <t>North Saskatchewan River Site 2 (53.5120, -113.5471)</t>
  </si>
  <si>
    <t>most particles between 53 and 125 um, so midpoint given</t>
  </si>
  <si>
    <t>North Saskatchewan River Site 3 (53.5457, -113.5391)</t>
  </si>
  <si>
    <t>most particles between 125 and 250 um, so midpoint given</t>
  </si>
  <si>
    <t>North Saskatchewan River Site 4 (53.542, -113.4632)</t>
  </si>
  <si>
    <t>North Saskatchewan River Site 5 (53.6524, -113.4185)</t>
  </si>
  <si>
    <t>North Saskatchewan River Site 6 (53.5615, -113.4098)</t>
  </si>
  <si>
    <t>North Saskatchewan River Site 7 (53.6028, -113.3703)</t>
  </si>
  <si>
    <t>North Saskatchewan River Site 8 (53.6282, -113.3206)</t>
  </si>
  <si>
    <t>A first assessment of microplastics and other anthropogenic particles in Hudson Bay and the surrounding eastern Canadian Arctic waters of Nunavut</t>
  </si>
  <si>
    <t>https://doi.org/10.1139/FACETS-2019-0042 </t>
  </si>
  <si>
    <t>Huntington et al., 2021</t>
  </si>
  <si>
    <t>Size cutoff of filters</t>
  </si>
  <si>
    <t>−78.7116</t>
  </si>
  <si>
    <t>−74.6616</t>
  </si>
  <si>
    <t>−69.7145</t>
  </si>
  <si>
    <t>−69.0575</t>
  </si>
  <si>
    <t>−67.9375</t>
  </si>
  <si>
    <t>−61.3712</t>
  </si>
  <si>
    <t>Diskofan</t>
  </si>
  <si>
    <t>−59.5033</t>
  </si>
  <si>
    <t>−64.7321</t>
  </si>
  <si>
    <t>BB2</t>
  </si>
  <si>
    <t>−67.0045</t>
  </si>
  <si>
    <t>−77.5151</t>
  </si>
  <si>
    <t>−71.2246</t>
  </si>
  <si>
    <t>−74.1359</t>
  </si>
  <si>
    <t>TS233</t>
  </si>
  <si>
    <t>−71.1812</t>
  </si>
  <si>
    <t>Belcher Glacier</t>
  </si>
  <si>
    <t>−80.7526</t>
  </si>
  <si>
    <t>−80.4503</t>
  </si>
  <si>
    <t>Pond Inlet</t>
  </si>
  <si>
    <t>−77.6098</t>
  </si>
  <si>
    <t>−83.3193</t>
  </si>
  <si>
    <t>−91.5130</t>
  </si>
  <si>
    <t>−99.0764</t>
  </si>
  <si>
    <t>Resolute Bay</t>
  </si>
  <si>
    <t>−95.1280</t>
  </si>
  <si>
    <t>QMG-M</t>
  </si>
  <si>
    <t>−101.7431</t>
  </si>
  <si>
    <t>QMG-4</t>
  </si>
  <si>
    <t>−103.4267</t>
  </si>
  <si>
    <t>QMG-1</t>
  </si>
  <si>
    <t>−99.8962</t>
  </si>
  <si>
    <t>QMG-2</t>
  </si>
  <si>
    <t>−100.8004</t>
  </si>
  <si>
    <t>−100.7042</t>
  </si>
  <si>
    <t>−96.0440</t>
  </si>
  <si>
    <t>−91.9931</t>
  </si>
  <si>
    <t>−91.2363</t>
  </si>
  <si>
    <t>−80.8492</t>
  </si>
  <si>
    <t>−81.3544</t>
  </si>
  <si>
    <t>Too little sample, no data</t>
  </si>
  <si>
    <t>Microplastic pollution in the surface waters of the Laurentian Great Lakes</t>
  </si>
  <si>
    <t xml:space="preserve">https://doi.org/10.1016/j.marpolbul.2013.10.007 </t>
  </si>
  <si>
    <t>Eriksen et al., 2013</t>
  </si>
  <si>
    <t>Lake Superior</t>
  </si>
  <si>
    <t>&gt; 333</t>
  </si>
  <si>
    <t>Size cutoff of sieves</t>
  </si>
  <si>
    <t>Lake Huron</t>
  </si>
  <si>
    <t>Lake Erie</t>
  </si>
  <si>
    <t>Microplastic pollution in St. Lawrence River sediments</t>
  </si>
  <si>
    <t>httpE511</t>
  </si>
  <si>
    <t>Castañeda et al., 2014</t>
  </si>
  <si>
    <t>Lake St. Francis </t>
  </si>
  <si>
    <t>Sieved through 500um</t>
  </si>
  <si>
    <t>&gt;500</t>
  </si>
  <si>
    <t>Lac Saint-Louis </t>
  </si>
  <si>
    <t>Varennes </t>
  </si>
  <si>
    <t>Lac Saint-Pierre </t>
  </si>
  <si>
    <t>AMOCC</t>
  </si>
  <si>
    <t>EMS</t>
  </si>
  <si>
    <t>RTS</t>
  </si>
  <si>
    <t>WATR</t>
  </si>
  <si>
    <t>GNP</t>
  </si>
  <si>
    <t xml:space="preserve">Québec City </t>
  </si>
  <si>
    <t>Microplastic Abundance and Composition in Western Lake Superior As Determined via Microscopy, Pyr-GC/MS, and FTIR</t>
  </si>
  <si>
    <t xml:space="preserve">https://doi.org/10.1021/acs.est.7b05829 </t>
  </si>
  <si>
    <t>Hendrickson et al., 2018</t>
  </si>
  <si>
    <t>&gt;333</t>
  </si>
  <si>
    <t>Size cutoff of manta net</t>
  </si>
  <si>
    <t>Microlitter in the water, sediments, and mussels of the Saint John River (Wolastoq) watershed, Atlantic Canada</t>
  </si>
  <si>
    <t>Can. J. Fish. Aquat. Sci.</t>
  </si>
  <si>
    <t>dx.doi.org/10.1139/cjfas-2021-0121</t>
  </si>
  <si>
    <t>Labaj et al.</t>
  </si>
  <si>
    <t>New Brunswick</t>
  </si>
  <si>
    <t>Nashwaak River</t>
  </si>
  <si>
    <t>from paper; mean values</t>
  </si>
  <si>
    <t xml:space="preserve">&gt; 90 </t>
  </si>
  <si>
    <t>particles/ g wet sediment</t>
  </si>
  <si>
    <t xml:space="preserve">Saint John </t>
  </si>
  <si>
    <t>Kennebecasis</t>
  </si>
  <si>
    <t>Tobique</t>
  </si>
  <si>
    <t>Oromocto</t>
  </si>
  <si>
    <t>&gt; 100</t>
  </si>
  <si>
    <t xml:space="preserve"> particles / m–3</t>
  </si>
  <si>
    <t>Microplastic abundance and distribution in the open water and sediment of the Ottawa River, Canada, and its tributaries</t>
  </si>
  <si>
    <t>FACETS</t>
  </si>
  <si>
    <t>doi:10.1139/facets-2016-0070</t>
  </si>
  <si>
    <t>Vermaire et al.</t>
  </si>
  <si>
    <t>Madawaska River</t>
  </si>
  <si>
    <t>water</t>
  </si>
  <si>
    <t>bottle method</t>
  </si>
  <si>
    <t>Mississippi River</t>
  </si>
  <si>
    <t>Rideau Canal</t>
  </si>
  <si>
    <t xml:space="preserve">median </t>
  </si>
  <si>
    <t>Rideau River</t>
  </si>
  <si>
    <t>Ottawa River upstream of wastewater treatment plant</t>
  </si>
  <si>
    <t>Brewery Creek</t>
  </si>
  <si>
    <t>Ottawa River River at Petrie Island</t>
  </si>
  <si>
    <t>sediment</t>
  </si>
  <si>
    <t>plastic/ g dry weight</t>
  </si>
  <si>
    <t xml:space="preserve">Figure 4B Assume 1 to 10 is sites a to h </t>
  </si>
  <si>
    <t>Citizen science sampling programs as a technique for monitoring microplastic pollution: results, lessons learned and recommendations for working with volunteers for monitoring plastic pollution in freshwater ecosystems</t>
  </si>
  <si>
    <t>Environ Monit Assess</t>
  </si>
  <si>
    <t>https://doi.org/10.1007/s10661-019-7297-3</t>
  </si>
  <si>
    <t>Forrest et al.</t>
  </si>
  <si>
    <t>Westboro Beach </t>
  </si>
  <si>
    <t>Westboro </t>
  </si>
  <si>
    <t>Cote McKay </t>
  </si>
  <si>
    <t>https://doi.org/10.1007/s10661-019-7297-4</t>
  </si>
  <si>
    <t>Woosley Beach</t>
  </si>
  <si>
    <t>https://doi.org/10.1007/s10661-019-7297-5</t>
  </si>
  <si>
    <t>Arnpior </t>
  </si>
  <si>
    <t>https://doi.org/10.1007/s10661-019-7297-6</t>
  </si>
  <si>
    <t>Sand Point Wharf</t>
  </si>
  <si>
    <t>https://doi.org/10.1007/s10661-019-7297-7</t>
  </si>
  <si>
    <t>Norway Bay </t>
  </si>
  <si>
    <t>https://doi.org/10.1007/s10661-019-7297-8</t>
  </si>
  <si>
    <t>https://doi.org/10.1007/s10661-019-7297-9</t>
  </si>
  <si>
    <t>Rhoddy’s Bay </t>
  </si>
  <si>
    <t>https://doi.org/10.1007/s10661-019-7297-10</t>
  </si>
  <si>
    <t>Pine Lodge </t>
  </si>
  <si>
    <t>https://doi.org/10.1007/s10661-019-7297-11</t>
  </si>
  <si>
    <t>https://doi.org/10.1007/s10661-019-7297-12</t>
  </si>
  <si>
    <t>Castleford </t>
  </si>
  <si>
    <t>https://doi.org/10.1007/s10661-019-7297-13</t>
  </si>
  <si>
    <t>Portage du Fort </t>
  </si>
  <si>
    <t>https://doi.org/10.1007/s10661-019-7297-14</t>
  </si>
  <si>
    <t>Rocher Vendu Rapids </t>
  </si>
  <si>
    <t>https://doi.org/10.1007/s10661-019-7297-15</t>
  </si>
  <si>
    <t>Fort-Coulonge (Sullivan Island) </t>
  </si>
  <si>
    <t>https://doi.org/10.1007/s10661-019-7297-16</t>
  </si>
  <si>
    <t>Fort-Coulonge (La Serpent) </t>
  </si>
  <si>
    <t>https://doi.org/10.1007/s10661-019-7297-17</t>
  </si>
  <si>
    <t>Fort-Coulonge (Lemione) </t>
  </si>
  <si>
    <t>https://doi.org/10.1007/s10661-019-7297-18</t>
  </si>
  <si>
    <t>Fort-Coulonge (Township) </t>
  </si>
  <si>
    <t>https://doi.org/10.1007/s10661-019-7297-19</t>
  </si>
  <si>
    <t>Mattawa </t>
  </si>
  <si>
    <t>https://doi.org/10.1007/s10661-019-7297-20</t>
  </si>
  <si>
    <t>Temiskaming Township </t>
  </si>
  <si>
    <t>https://doi.org/10.1007/s10661-019-7297-21</t>
  </si>
  <si>
    <t>Lake Temiskaming </t>
  </si>
  <si>
    <t>Watts’ creek pond </t>
  </si>
  <si>
    <t>Watts’ creek </t>
  </si>
  <si>
    <t>Bonnechere river (Renfrew) </t>
  </si>
  <si>
    <t>Bonnechere river mouth </t>
  </si>
  <si>
    <t>Beyond the surface: Stratification and turnover control microplastic dynamics in a seasonally ice-covered sentinel lake</t>
  </si>
  <si>
    <t>Journal of Hazardous Materials</t>
  </si>
  <si>
    <t>https://www.sciencedirect.com/science/article/pii/S0304389425038385?via%3Dihub</t>
  </si>
  <si>
    <t>Welsh et al., 2026</t>
  </si>
  <si>
    <t>Harp lake (Huntsville)</t>
  </si>
  <si>
    <t>mp/L</t>
  </si>
  <si>
    <t>average microplastic concentration for the whole lake (across 3 locations). Coordinates approximated with google maps</t>
  </si>
  <si>
    <t>2022, whole lake, ice free period</t>
  </si>
  <si>
    <t>2023, whole lake, ice free period</t>
  </si>
  <si>
    <t>ice-covered period</t>
  </si>
  <si>
    <t>top ice, ice-covered period</t>
  </si>
  <si>
    <t>bottom ice, ice-covered period</t>
  </si>
  <si>
    <t>Microplastics around an Arctic seabird colony: Particle community composition varies across environmental matrices</t>
  </si>
  <si>
    <t>https://www.sciencedirect.com/science/article/pii/S0048969721006045?via%3Dihub</t>
  </si>
  <si>
    <t>Hamilton et al., 2021</t>
  </si>
  <si>
    <t>Qaqulluit NWA (Qikiqtani Region)</t>
  </si>
  <si>
    <t>On site filtered through 100μm, in lab filtered through 80μm</t>
  </si>
  <si>
    <t>&gt;80</t>
  </si>
  <si>
    <t>mean surface water concentration, average of 5 samples analyzed (rows 1357-1367) coordinates approximated with google maps</t>
  </si>
  <si>
    <t xml:space="preserve">67.1421994, </t>
  </si>
  <si>
    <t>After density separation filtered through 80um</t>
  </si>
  <si>
    <t>particles/g</t>
  </si>
  <si>
    <t>mean surface coastal sediment concentration, average of 5 samples analyzed (rows 1357-1367) coordinates approximated with google maps</t>
  </si>
  <si>
    <t>The influence of flow on the amount, retention and loss of plastic pollution in an urban river</t>
  </si>
  <si>
    <t>Phil. Trans. R. Soc.</t>
  </si>
  <si>
    <t>https://doi.org/10.1098/rsta.2023.0023</t>
  </si>
  <si>
    <t>Haney et al., 2025</t>
  </si>
  <si>
    <t>Don River (Lake Ontario)</t>
  </si>
  <si>
    <t>&gt;0.1</t>
  </si>
  <si>
    <t>only range reported</t>
  </si>
  <si>
    <t>2780-330201</t>
  </si>
  <si>
    <t>particles/m2</t>
  </si>
  <si>
    <t xml:space="preserve">overall range for sediment </t>
  </si>
  <si>
    <t>suburban tributary</t>
  </si>
  <si>
    <t>average in this site (mid-basin)</t>
  </si>
  <si>
    <t>mid-basin</t>
  </si>
  <si>
    <t>0.03-4.9</t>
  </si>
  <si>
    <t>particles/l</t>
  </si>
  <si>
    <t>surface water</t>
  </si>
  <si>
    <t>urban tributary</t>
  </si>
  <si>
    <t>0.1-2</t>
  </si>
  <si>
    <t>water column</t>
  </si>
  <si>
    <t>near mouth</t>
  </si>
  <si>
    <t>Microplastics in the Water Column of Western Lake Superior</t>
  </si>
  <si>
    <t>ACS ES&amp;T Water</t>
  </si>
  <si>
    <t>https://doi.org/10.1021/acsestwater.2c00169</t>
  </si>
  <si>
    <t>Fox et al., 2022</t>
  </si>
  <si>
    <t>Western Lake Superior (Minnesota)</t>
  </si>
  <si>
    <t>sizing for water column samples</t>
  </si>
  <si>
    <t>Western Lake Superior (Wisconsin)</t>
  </si>
  <si>
    <t>depth of 2m</t>
  </si>
  <si>
    <t>depth of 18m</t>
  </si>
  <si>
    <t>Western Lake Superior</t>
  </si>
  <si>
    <t>sizing for surface water samples</t>
  </si>
  <si>
    <t>mean</t>
  </si>
  <si>
    <t>sizing for surface water</t>
  </si>
  <si>
    <t>sizing for water column sample</t>
  </si>
  <si>
    <t>depth of 40m</t>
  </si>
  <si>
    <t>depth of 240m</t>
  </si>
  <si>
    <t>average subsurface conc during May cruise</t>
  </si>
  <si>
    <t>Microplastics Flowing into Lake Winnipeg: Densities, Sources, Flux, and Fish Exposures</t>
  </si>
  <si>
    <t>PMUSER</t>
  </si>
  <si>
    <t>https://doi.org/10.5203/pmuser.201730578</t>
  </si>
  <si>
    <t>Warrack et al., 2017</t>
  </si>
  <si>
    <t>Red River</t>
  </si>
  <si>
    <t>average of all Red River samples</t>
  </si>
  <si>
    <t>microplastics/km2</t>
  </si>
  <si>
    <t>Assiniboine River</t>
  </si>
  <si>
    <t>average</t>
  </si>
  <si>
    <t>Nelson River</t>
  </si>
  <si>
    <t>Spatial Distribution of Microplastics in Surficial Benthic Sediment of Lake Michigan and Lake Erie</t>
  </si>
  <si>
    <t>https://doi.org/10.1021/acs.est.0c06087</t>
  </si>
  <si>
    <t>Lenaker et al., 2020</t>
  </si>
  <si>
    <t>mean of this size fraction</t>
  </si>
  <si>
    <t>https://doi.org/10.1021/acs.est.0c06088</t>
  </si>
  <si>
    <t>https://doi.org/10.1021/acs.est.0c06089</t>
  </si>
  <si>
    <t>https://doi.org/10.1021/acs.est.0c06090</t>
  </si>
  <si>
    <t>https://doi.org/10.1021/acs.est.0c06091</t>
  </si>
  <si>
    <t>https://doi.org/10.1021/acs.est.0c06092</t>
  </si>
  <si>
    <t>https://doi.org/10.1021/acs.est.0c06093</t>
  </si>
  <si>
    <t>https://doi.org/10.1021/acs.est.0c06094</t>
  </si>
  <si>
    <t>https://doi.org/10.1021/acs.est.0c06095</t>
  </si>
  <si>
    <t>https://doi.org/10.1021/acs.est.0c06096</t>
  </si>
  <si>
    <t>https://doi.org/10.1021/acs.est.0c06097</t>
  </si>
  <si>
    <t>Lake Michigan</t>
  </si>
  <si>
    <t>&gt;0.355</t>
  </si>
  <si>
    <t>&gt;356</t>
  </si>
  <si>
    <t>&gt;357</t>
  </si>
  <si>
    <t>&gt;358</t>
  </si>
  <si>
    <t>&gt;359</t>
  </si>
  <si>
    <t>&gt;360</t>
  </si>
  <si>
    <t>&gt;361</t>
  </si>
  <si>
    <t>&gt;362</t>
  </si>
  <si>
    <t>&gt;363</t>
  </si>
  <si>
    <t>https://doi.org/10.1021/acs.est.0c06098</t>
  </si>
  <si>
    <t>&gt;364</t>
  </si>
  <si>
    <t>https://doi.org/10.1021/acs.est.0c06099</t>
  </si>
  <si>
    <t>&gt;365</t>
  </si>
  <si>
    <t>https://doi.org/10.1021/acs.est.0c06100</t>
  </si>
  <si>
    <t>&gt;366</t>
  </si>
  <si>
    <t>https://doi.org/10.1021/acs.est.0c06101</t>
  </si>
  <si>
    <t>&gt;367</t>
  </si>
  <si>
    <t>&gt;368</t>
  </si>
  <si>
    <t>&gt;369</t>
  </si>
  <si>
    <t>&gt;370</t>
  </si>
  <si>
    <t>&gt;371</t>
  </si>
  <si>
    <t>&gt;372</t>
  </si>
  <si>
    <t>&gt;373</t>
  </si>
  <si>
    <t>&gt;374</t>
  </si>
  <si>
    <t>Microplastic abundances in Craig Bay, British Columbia</t>
  </si>
  <si>
    <t>CJUR</t>
  </si>
  <si>
    <t xml:space="preserve"> https://doi.org/10.14288/cjur.v10i1.199193</t>
  </si>
  <si>
    <t>Tiet et al., 2025</t>
  </si>
  <si>
    <t>Craig Bay</t>
  </si>
  <si>
    <t xml:space="preserve">&gt;10 </t>
  </si>
  <si>
    <t>particles/ kg</t>
  </si>
  <si>
    <t>https://doi.org/10.1016/j.scitotenv.2025.180762</t>
  </si>
  <si>
    <t>Microplastics in bivalves and their habitat in
relation to shellfish aquaculture proximity in
coastal British Columbia, Canada</t>
  </si>
  <si>
    <t>Aquaculture Environment Interactions</t>
  </si>
  <si>
    <t>https://doi.org/10.3354/aei00316</t>
  </si>
  <si>
    <t>Covernton et al., 2019</t>
  </si>
  <si>
    <t>Discovery Islands, Hyacinthe Bay</t>
  </si>
  <si>
    <t>HB</t>
  </si>
  <si>
    <t>&gt;8</t>
  </si>
  <si>
    <t>Discovery Islands, Hyacinthe Bay reference</t>
  </si>
  <si>
    <t>HBREF</t>
  </si>
  <si>
    <t>&gt;9</t>
  </si>
  <si>
    <t>Discovery Islands, Sawmill Bay</t>
  </si>
  <si>
    <t>SB</t>
  </si>
  <si>
    <t>Discovery Islands, Sawmill Bay reference</t>
  </si>
  <si>
    <t>SBREF</t>
  </si>
  <si>
    <t>&gt;11</t>
  </si>
  <si>
    <t>Okeover Inlet, Coode Peninsula</t>
  </si>
  <si>
    <t>CP</t>
  </si>
  <si>
    <t>&gt;13</t>
  </si>
  <si>
    <t>Okeover Inlet, Coode Peninsula reference</t>
  </si>
  <si>
    <t>CPREF</t>
  </si>
  <si>
    <t>&gt;14</t>
  </si>
  <si>
    <t>Okeover Inlet, Okeover Inlet</t>
  </si>
  <si>
    <t>OI</t>
  </si>
  <si>
    <t>&gt;15</t>
  </si>
  <si>
    <t>Okeover Inlet, Okeover Inlet reference</t>
  </si>
  <si>
    <t>OIREF</t>
  </si>
  <si>
    <t>&gt;16</t>
  </si>
  <si>
    <t>Baynes Sound, Ships Point</t>
  </si>
  <si>
    <t>SP</t>
  </si>
  <si>
    <t>&gt;17</t>
  </si>
  <si>
    <t>Baynes Sound, Ships Point reference</t>
  </si>
  <si>
    <t>SPREF</t>
  </si>
  <si>
    <t>&gt;18</t>
  </si>
  <si>
    <t>Baynes Sound, Mud Bay</t>
  </si>
  <si>
    <t>MB</t>
  </si>
  <si>
    <t>&gt;19</t>
  </si>
  <si>
    <t>Baynes Sound, Mud Bay reference</t>
  </si>
  <si>
    <t>MBREF</t>
  </si>
  <si>
    <t>DB</t>
  </si>
  <si>
    <t>&gt;21</t>
  </si>
  <si>
    <t>Baynes Sound, Deep Bay reference</t>
  </si>
  <si>
    <t>DBREF</t>
  </si>
  <si>
    <t>&gt;22</t>
  </si>
  <si>
    <t>Clayoquot Sound, Meares Island</t>
  </si>
  <si>
    <t>MI</t>
  </si>
  <si>
    <t>&gt;27</t>
  </si>
  <si>
    <t>Clayoquot Sound, Meares Island reference</t>
  </si>
  <si>
    <t>MIREF</t>
  </si>
  <si>
    <t>&gt;28</t>
  </si>
  <si>
    <t>&gt;29</t>
  </si>
  <si>
    <t>The sediment was dried and then weighed.</t>
  </si>
  <si>
    <t>&gt;30</t>
  </si>
  <si>
    <t>&gt;31</t>
  </si>
  <si>
    <t>&gt;32</t>
  </si>
  <si>
    <t>&gt;34</t>
  </si>
  <si>
    <t>&gt;36</t>
  </si>
  <si>
    <t>&gt;37</t>
  </si>
  <si>
    <t>&gt;39</t>
  </si>
  <si>
    <t>&gt;40</t>
  </si>
  <si>
    <t>&gt;41</t>
  </si>
  <si>
    <t>&gt;42</t>
  </si>
  <si>
    <t>&gt;43</t>
  </si>
  <si>
    <t>&gt;48</t>
  </si>
  <si>
    <t>&gt;49</t>
  </si>
  <si>
    <t>Atmospheric deposition drives microplastic contamination in remote lakes
of Newfoundland, Canada</t>
  </si>
  <si>
    <t>Ryan et al., 2025</t>
  </si>
  <si>
    <t>&gt;1.2</t>
  </si>
  <si>
    <t>Large size (&gt;100-μm) microplastics are not biomagnifying
in coastal marine food webs of British Columbia, Canada</t>
  </si>
  <si>
    <t>ecological applications</t>
  </si>
  <si>
    <t>https://esajournals.onlinelibrary.wiley.com/doi/10.1002/eap.2654</t>
  </si>
  <si>
    <t>Covernton et al., 2022</t>
  </si>
  <si>
    <t>Coles Bay</t>
  </si>
  <si>
    <t>&gt;150</t>
  </si>
  <si>
    <t>https://esajournals.onlinelibrary.wiley.com/doi/10.1002/eap.2655</t>
  </si>
  <si>
    <t>&gt;1</t>
  </si>
  <si>
    <t>https://esajournals.onlinelibrary.wiley.com/doi/10.1002/eap.2656</t>
  </si>
  <si>
    <t>Elliot Beach</t>
  </si>
  <si>
    <t>https://esajournals.onlinelibrary.wiley.com/doi/10.1002/eap.2657</t>
  </si>
  <si>
    <t>https://esajournals.onlinelibrary.wiley.com/doi/10.1002/eap.2658</t>
  </si>
  <si>
    <t>Victoria Harbour</t>
  </si>
  <si>
    <t>https://esajournals.onlinelibrary.wiley.com/doi/10.1002/eap.2659</t>
  </si>
  <si>
    <t>Abundance and types of plastic pollution in surface waters in the Eastern
Arctic (Inuit Nunangat) and the case for reconciliation science</t>
  </si>
  <si>
    <t>https://doi.org/10.1016/j.scitotenv.2021.146809</t>
  </si>
  <si>
    <t>Liboiron et al., 2021</t>
  </si>
  <si>
    <t>Frobisher Bay, Tasiujarjuaq</t>
  </si>
  <si>
    <t>&gt;425</t>
  </si>
  <si>
    <t>https://doi.org/10.1002/eap.2654</t>
  </si>
  <si>
    <t>Assessing size-based exposure to microplastic
particles and ingestion pathways in zooplankton
and herring in a coastal pelagic ecosystem of
British Columbia, Canada</t>
  </si>
  <si>
    <t>MARINE ECOLOGY PROGRESS SERIES
Mar Ecol Prog Ser</t>
  </si>
  <si>
    <t xml:space="preserve">https://doi.org/10.3354/meps13966 </t>
  </si>
  <si>
    <t>Mahara et al., 2022</t>
  </si>
  <si>
    <t>Baynes Sound</t>
  </si>
  <si>
    <t>used software https://automeris.io/wpd/</t>
  </si>
  <si>
    <t>https://doi.org/10.3354/meps13966</t>
  </si>
  <si>
    <t>Microplastic sampling and
analysis in surface shelf waters: A pilot study on methods and distribution in the northwest
Atlantic</t>
  </si>
  <si>
    <t>https://doi.org/10.13140/RG.2.2.27753.98402</t>
  </si>
  <si>
    <t>De Mendoca et al., 2022</t>
  </si>
  <si>
    <t>Scotian Shelf</t>
  </si>
  <si>
    <t>   </t>
  </si>
  <si>
    <t>https://doi.org/10.13140/RG.2.2.27753.98403</t>
  </si>
  <si>
    <t>https://doi.org/10.13140/RG.2.2.27753.98404</t>
  </si>
  <si>
    <t>https://doi.org/10.13140/RG.2.2.27753.98405</t>
  </si>
  <si>
    <t>https://doi.org/10.13140/RG.2.2.27753.98406</t>
  </si>
  <si>
    <t>https://doi.org/10.13140/RG.2.2.27753.98407</t>
  </si>
  <si>
    <t>https://doi.org/10.13140/RG.2.2.27753.98408</t>
  </si>
  <si>
    <t>https://doi.org/10.13140/RG.2.2.27753.98409</t>
  </si>
  <si>
    <t>https://doi.org/10.13140/RG.2.2.27753.98410</t>
  </si>
  <si>
    <t>Newfoundland</t>
  </si>
  <si>
    <t>https://doi.org/10.13140/RG.2.2.27753.98411</t>
  </si>
  <si>
    <t>https://doi.org/10.13140/RG.2.2.27753.98412</t>
  </si>
  <si>
    <t>35574 particles/m2 or 22 mg/kg, particle size listed as &lt; 63 um</t>
  </si>
  <si>
    <t>28354 particles/m2 or 61 mg/kg, particle size listed as &lt; 63 um</t>
  </si>
  <si>
    <t>141957 particles/m2 or 45 mg/kg, particle size listed as &lt; 63 um</t>
  </si>
  <si>
    <t>41425 particles/m2 or 93 mg/kg</t>
  </si>
  <si>
    <t>42646 particles/m2 or 91 mg/kg</t>
  </si>
  <si>
    <t>203474 particles/m2 or 317 mg/kg, particle size listed as &lt; 63 um</t>
  </si>
  <si>
    <t>90591 particles/m2 or 30 mg/kg, particle size listed as &lt; 63 um</t>
  </si>
  <si>
    <t>53990 particles/m2 or 95 mg/kg</t>
  </si>
  <si>
    <t>7898 particles/m2 or 29 mg/kg, particle size listed as &lt; 63 um</t>
  </si>
  <si>
    <t>319896 particles/m2 or 184 mg/kg, particle size listed as &lt; 63 um</t>
  </si>
  <si>
    <t>Calculated using automeris, there are 3 points, an average was taken of the 3 points for each site. Reported for two sites very close together. Was reported for PP and PS. The number recorded here is the sum of PP and PS.</t>
  </si>
  <si>
    <t>Canadian Archipelago</t>
  </si>
  <si>
    <t>Concentration from automeris</t>
  </si>
  <si>
    <t>Nearshore, fragments 0.10 to 0. 50 mm, fibers: 0.16 to 1.70 mm</t>
  </si>
  <si>
    <t>Beach (foreshore and backshore) fragments: 0.07 to 4 mm, fibers: 0.28-3.80 mm and beads: 0.4 mm</t>
  </si>
  <si>
    <t>Tributaries, fragments: 0.15 to 2.50 mm, fibers: 0.48 to 3.0 mm, beads: 0.32 to 0.48 mm</t>
  </si>
  <si>
    <t>mean provided by authors page  4</t>
  </si>
  <si>
    <t>mean provided by authors page  5</t>
  </si>
  <si>
    <t>mean provided by authors page  6</t>
  </si>
  <si>
    <t>mean provided by authors page  7</t>
  </si>
  <si>
    <t>278E+9 - 3.3E+11</t>
  </si>
  <si>
    <t>https://doi.org/10.13140/RG.2.2.27753.98401</t>
  </si>
  <si>
    <r>
      <rPr>
        <sz val="11"/>
        <color theme="1"/>
        <rFont val="Aptos Narrow"/>
        <family val="2"/>
        <scheme val="minor"/>
      </rPr>
      <t>Nearshore, fragments 0.10 to 0. 50 mm, fibers: 0.16 to 1.70 mm</t>
    </r>
  </si>
  <si>
    <r>
      <rPr>
        <sz val="11"/>
        <color theme="1"/>
        <rFont val="Aptos Narrow"/>
        <family val="2"/>
        <scheme val="minor"/>
      </rPr>
      <t>Beach (foreshore and backshore) fragments: 0.07 to 4 mm, fibers: 0.28-3.80 mm and beads: 0.4 mm</t>
    </r>
  </si>
  <si>
    <r>
      <rPr>
        <sz val="11"/>
        <color theme="1"/>
        <rFont val="Aptos Narrow"/>
        <family val="2"/>
        <scheme val="minor"/>
      </rPr>
      <t>Tributaries, fragments: 0.15 to 2.50 mm, fibers: 0.48 to 3.0 mm, beads: 0.32 to 0.48 mm</t>
    </r>
  </si>
  <si>
    <t xml:space="preserve">                Name: </t>
  </si>
  <si>
    <t xml:space="preserve">                Institution:  </t>
  </si>
  <si>
    <t xml:space="preserve">                Email: </t>
  </si>
  <si>
    <t>Data extraction of the manuscript Microplastics in aquatic systems: lessons from 15 years of research in Canada</t>
  </si>
  <si>
    <t>Author Information</t>
  </si>
  <si>
    <t>Principal Investigator</t>
  </si>
  <si>
    <t>Nathalie Tufenkji</t>
  </si>
  <si>
    <t>McGill University</t>
  </si>
  <si>
    <t>nathalie.tufenkji@mcgill.ca</t>
  </si>
  <si>
    <t>Authors</t>
  </si>
  <si>
    <t>Parga Martinez, K., Kalogerakis, G.C, Quevedo, A.C., Shamsunnahar, S. Morris, M., Johnsen, P., Armstrong, O., Macha, F., and Tufenkji, N.</t>
  </si>
  <si>
    <t>Study #</t>
  </si>
  <si>
    <t>Number of studies included in the review, numbering is not sequential</t>
  </si>
  <si>
    <t>Title of the study or report</t>
  </si>
  <si>
    <t>Year of publication</t>
  </si>
  <si>
    <t>Journal of publication</t>
  </si>
  <si>
    <t xml:space="preserve">Digital Object Identifier </t>
  </si>
  <si>
    <t>Study location</t>
  </si>
  <si>
    <t>Study province</t>
  </si>
  <si>
    <t>Specific location of the study</t>
  </si>
  <si>
    <t>Latitude</t>
  </si>
  <si>
    <t>Longitude</t>
  </si>
  <si>
    <t>Environmental matrix sampled include water, sediment, beach sediment, snow, ice or air</t>
  </si>
  <si>
    <t>Type of environment samples include freshwater, marine or estuary</t>
  </si>
  <si>
    <t>Any nothes related to the reporting of size particles</t>
  </si>
  <si>
    <t>Size of microplastics as reported in the study</t>
  </si>
  <si>
    <t>Units of size microplastics as reported in the study</t>
  </si>
  <si>
    <t>Conversion of size units to micrometers for comparison among studies</t>
  </si>
  <si>
    <t>Micrometer units after conversion or size particles</t>
  </si>
  <si>
    <t>Information regarding data included in the extraction</t>
  </si>
  <si>
    <t>1) MP sampling campaings</t>
  </si>
  <si>
    <t>2) MP concentrations</t>
  </si>
  <si>
    <t>Information regarding concentration data included in the extraction</t>
  </si>
  <si>
    <t>Concentration of microplastics as reported in the study</t>
  </si>
  <si>
    <t>Units of  microplastics concentration as reported in the study</t>
  </si>
  <si>
    <t>Conversion of concentration units for comparison among studies to particles/L, particles/kg d.w., particles/km2, items/m2</t>
  </si>
  <si>
    <t>Units of microplastics concentration after conversion to particles/L, particles/kg d.w., particles/km2, items/m2. If units cannot be converted, they were reported as in the original study.</t>
  </si>
  <si>
    <t>The data extraction file is organized in two sections: 1) MP sampling locations includes information of microplastics sampling locations in Canada, 2) MP concentrations includes data on microplastics concentrations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</si>
</sst>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
    <numFmt numFmtId="166" formatCode="0.000"/>
    <numFmt numFmtId="167" formatCode="0.000000"/>
    <numFmt numFmtId="168" formatCode="0.00000"/>
  </numFmts>
  <fonts count="32" x14ac:knownFonts="1">
    <font>
      <sz val="11"/>
      <color theme="1"/>
      <name val="Aptos Narrow"/>
      <family val="2"/>
      <scheme val="minor"/>
    </font>
    <font>
      <sz val="11"/>
      <color rgb="FFFF0000"/>
      <name val="Aptos Narrow"/>
      <family val="2"/>
      <scheme val="minor"/>
    </font>
    <font>
      <sz val="11"/>
      <color rgb="FF2C2C2C"/>
      <name val="Aptos Narrow"/>
      <family val="2"/>
      <scheme val="minor"/>
    </font>
    <font>
      <sz val="11"/>
      <color theme="8"/>
      <name val="Aptos Narrow"/>
      <family val="2"/>
      <scheme val="minor"/>
    </font>
    <font>
      <sz val="11"/>
      <color rgb="FF000000"/>
      <name val="Aptos Narrow"/>
      <family val="2"/>
      <scheme val="minor"/>
    </font>
    <font>
      <sz val="11"/>
      <color rgb="FF1F1F1F"/>
      <name val="Aptos Narrow"/>
      <family val="2"/>
      <scheme val="minor"/>
    </font>
    <font>
      <sz val="11"/>
      <color rgb="FF222222"/>
      <name val="Aptos Narrow"/>
      <family val="2"/>
      <scheme val="minor"/>
    </font>
    <font>
      <u/>
      <sz val="11"/>
      <color theme="10"/>
      <name val="Aptos Narrow"/>
      <family val="2"/>
      <scheme val="minor"/>
    </font>
    <font>
      <sz val="8"/>
      <name val="Aptos Narrow"/>
      <family val="2"/>
      <scheme val="minor"/>
    </font>
    <font>
      <sz val="11"/>
      <color rgb="FF007B8B"/>
      <name val="Aptos Narrow"/>
      <family val="2"/>
      <scheme val="minor"/>
    </font>
    <font>
      <sz val="11"/>
      <color rgb="FF242424"/>
      <name val="Aptos Narrow"/>
      <family val="2"/>
      <scheme val="minor"/>
    </font>
    <font>
      <u/>
      <sz val="11"/>
      <color theme="1"/>
      <name val="Aptos Narrow"/>
      <family val="2"/>
      <scheme val="minor"/>
    </font>
    <font>
      <u/>
      <sz val="11"/>
      <name val="Aptos Narrow"/>
      <family val="2"/>
      <scheme val="minor"/>
    </font>
    <font>
      <sz val="10"/>
      <name val="Times New Roman"/>
      <family val="1"/>
    </font>
    <font>
      <sz val="9"/>
      <color rgb="FF000000"/>
      <name val="Helvetica"/>
      <charset val="1"/>
    </font>
    <font>
      <sz val="10"/>
      <color rgb="FF000000"/>
      <name val="Arial"/>
      <family val="2"/>
      <charset val="1"/>
    </font>
    <font>
      <sz val="11"/>
      <color rgb="FF000000"/>
      <name val="Aptos Narrow"/>
      <family val="2"/>
    </font>
    <font>
      <sz val="11"/>
      <color rgb="FF242424"/>
      <name val="Aptos Narrow"/>
      <family val="2"/>
    </font>
    <font>
      <sz val="11"/>
      <color theme="1"/>
      <name val="Aptos Narrow"/>
      <family val="2"/>
      <scheme val="minor"/>
    </font>
    <font>
      <sz val="11"/>
      <name val="Aptos Narrow"/>
      <family val="2"/>
      <scheme val="minor"/>
    </font>
    <font>
      <sz val="11"/>
      <name val="Aptos Narrow"/>
      <family val="2"/>
    </font>
    <font>
      <sz val="11"/>
      <name val="Aptos Narrow"/>
      <family val="2"/>
      <charset val="1"/>
      <scheme val="minor"/>
    </font>
    <font>
      <sz val="9"/>
      <name val="Helvetica"/>
      <charset val="1"/>
    </font>
    <font>
      <sz val="10"/>
      <name val="Arial"/>
      <family val="2"/>
      <charset val="1"/>
    </font>
    <font>
      <b/>
      <sz val="11"/>
      <name val="Aptos Narrow"/>
      <family val="2"/>
      <scheme val="minor"/>
    </font>
    <font>
      <b/>
      <sz val="12"/>
      <color theme="1"/>
      <name val="Aptos Narrow"/>
      <family val="2"/>
      <scheme val="minor"/>
    </font>
    <font>
      <b/>
      <sz val="14"/>
      <color theme="1"/>
      <name val="Aptos Narrow"/>
      <family val="2"/>
      <scheme val="minor"/>
    </font>
    <font>
      <sz val="12"/>
      <color theme="1"/>
      <name val="Aptos Narrow"/>
      <family val="2"/>
      <scheme val="minor"/>
    </font>
    <font>
      <u/>
      <sz val="12"/>
      <color theme="10"/>
      <name val="Aptos Narrow"/>
      <family val="2"/>
      <scheme val="minor"/>
    </font>
    <font>
      <sz val="12"/>
      <name val="Aptos Narrow"/>
      <family val="2"/>
      <scheme val="minor"/>
    </font>
    <font>
      <sz val="12"/>
      <color rgb="FF000000"/>
      <name val="Aptos Narrow"/>
      <family val="2"/>
      <scheme val="minor"/>
    </font>
    <font>
      <b/>
      <sz val="12"/>
      <color rgb="FF000000"/>
      <name val="Aptos Narrow"/>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7" fillId="0" borderId="0" applyNumberFormat="0" applyFill="0" applyBorder="0" applyAlignment="0" applyProtection="0"/>
  </cellStyleXfs>
  <cellXfs count="86">
    <xf numFmtId="0" fontId="0" fillId="0" borderId="0" xfId="0"/>
    <xf numFmtId="0" fontId="11" fillId="0" borderId="0" xfId="1" applyFont="1" applyFill="1" applyAlignment="1">
      <alignment horizontal="left"/>
    </xf>
    <xf numFmtId="0" fontId="11" fillId="0" borderId="0" xfId="1" applyFont="1" applyFill="1" applyBorder="1" applyAlignment="1">
      <alignment horizontal="left"/>
    </xf>
    <xf numFmtId="0" fontId="4" fillId="0" borderId="0" xfId="0" applyFont="1" applyFill="1" applyAlignment="1">
      <alignment horizontal="left" vertical="center"/>
    </xf>
    <xf numFmtId="0" fontId="4" fillId="0" borderId="0" xfId="0" applyFont="1" applyFill="1" applyAlignment="1">
      <alignment horizontal="left"/>
    </xf>
    <xf numFmtId="0" fontId="10" fillId="0" borderId="0" xfId="0" applyFont="1" applyFill="1" applyAlignment="1">
      <alignment horizontal="left" vertical="center"/>
    </xf>
    <xf numFmtId="0" fontId="2" fillId="0" borderId="0" xfId="0" applyFont="1" applyFill="1" applyAlignment="1">
      <alignment horizontal="left"/>
    </xf>
    <xf numFmtId="0" fontId="0" fillId="0" borderId="0" xfId="0" applyFont="1" applyFill="1" applyAlignment="1">
      <alignment horizontal="left"/>
    </xf>
    <xf numFmtId="0" fontId="7" fillId="0" borderId="0" xfId="1" applyFont="1" applyFill="1" applyAlignment="1">
      <alignment horizontal="left"/>
    </xf>
    <xf numFmtId="0" fontId="0" fillId="0" borderId="0" xfId="0" applyFont="1" applyFill="1" applyAlignment="1">
      <alignment horizontal="left" vertical="center"/>
    </xf>
    <xf numFmtId="2" fontId="0" fillId="0" borderId="0" xfId="0" applyNumberFormat="1" applyFont="1" applyFill="1" applyAlignment="1">
      <alignment horizontal="left"/>
    </xf>
    <xf numFmtId="0" fontId="1" fillId="0" borderId="0" xfId="0" applyFont="1" applyFill="1" applyAlignment="1">
      <alignment horizontal="left"/>
    </xf>
    <xf numFmtId="0" fontId="19" fillId="0" borderId="0" xfId="0" applyFont="1" applyFill="1" applyAlignment="1">
      <alignment horizontal="left"/>
    </xf>
    <xf numFmtId="0" fontId="12" fillId="0" borderId="0" xfId="1" applyFont="1" applyFill="1" applyAlignment="1">
      <alignment horizontal="left"/>
    </xf>
    <xf numFmtId="0" fontId="19" fillId="0" borderId="0" xfId="0" applyFont="1" applyFill="1" applyAlignment="1">
      <alignment horizontal="left" vertical="center"/>
    </xf>
    <xf numFmtId="0" fontId="20" fillId="0" borderId="0" xfId="0" applyFont="1" applyFill="1" applyAlignment="1">
      <alignment horizontal="left"/>
    </xf>
    <xf numFmtId="2" fontId="19" fillId="0" borderId="0" xfId="0" applyNumberFormat="1" applyFont="1" applyFill="1" applyAlignment="1">
      <alignment horizontal="left"/>
    </xf>
    <xf numFmtId="0" fontId="12" fillId="0" borderId="0" xfId="1" applyFont="1" applyFill="1" applyBorder="1" applyAlignment="1">
      <alignment horizontal="left"/>
    </xf>
    <xf numFmtId="3" fontId="19" fillId="0" borderId="0" xfId="0" applyNumberFormat="1" applyFont="1" applyFill="1" applyAlignment="1">
      <alignment horizontal="left"/>
    </xf>
    <xf numFmtId="0" fontId="21" fillId="0" borderId="0" xfId="0" applyFont="1" applyFill="1" applyAlignment="1">
      <alignment horizontal="left"/>
    </xf>
    <xf numFmtId="0" fontId="19" fillId="0" borderId="1" xfId="0" applyFont="1" applyFill="1" applyBorder="1" applyAlignment="1">
      <alignment horizontal="left"/>
    </xf>
    <xf numFmtId="2" fontId="19" fillId="0" borderId="1" xfId="0" applyNumberFormat="1" applyFont="1" applyFill="1" applyBorder="1" applyAlignment="1">
      <alignment horizontal="left"/>
    </xf>
    <xf numFmtId="0" fontId="12" fillId="0" borderId="0" xfId="1" applyFont="1" applyFill="1" applyAlignment="1">
      <alignment horizontal="left" vertical="center"/>
    </xf>
    <xf numFmtId="0" fontId="12" fillId="0" borderId="1" xfId="1" applyFont="1" applyFill="1" applyBorder="1" applyAlignment="1">
      <alignment horizontal="left" vertical="center"/>
    </xf>
    <xf numFmtId="0" fontId="19" fillId="0" borderId="0" xfId="0" applyFont="1" applyFill="1" applyAlignment="1">
      <alignment horizontal="left" wrapText="1"/>
    </xf>
    <xf numFmtId="0" fontId="24" fillId="0" borderId="0" xfId="0" applyFont="1" applyFill="1" applyAlignment="1">
      <alignment horizontal="left"/>
    </xf>
    <xf numFmtId="164" fontId="19" fillId="0" borderId="0" xfId="0" applyNumberFormat="1" applyFont="1" applyFill="1" applyAlignment="1">
      <alignment horizontal="left"/>
    </xf>
    <xf numFmtId="1" fontId="19" fillId="0" borderId="0" xfId="0" applyNumberFormat="1" applyFont="1" applyFill="1" applyAlignment="1">
      <alignment horizontal="left"/>
    </xf>
    <xf numFmtId="166" fontId="19" fillId="0" borderId="0" xfId="0" applyNumberFormat="1" applyFont="1" applyFill="1" applyAlignment="1">
      <alignment horizontal="left"/>
    </xf>
    <xf numFmtId="165" fontId="19" fillId="0" borderId="0" xfId="0" applyNumberFormat="1" applyFont="1" applyFill="1" applyAlignment="1">
      <alignment horizontal="left"/>
    </xf>
    <xf numFmtId="0" fontId="19" fillId="0" borderId="0" xfId="0" applyFont="1" applyFill="1" applyAlignment="1">
      <alignment horizontal="left" vertical="center" wrapText="1"/>
    </xf>
    <xf numFmtId="166" fontId="19" fillId="0" borderId="0" xfId="0" applyNumberFormat="1" applyFont="1" applyFill="1" applyAlignment="1">
      <alignment horizontal="left" vertical="center" wrapText="1"/>
    </xf>
    <xf numFmtId="166" fontId="19" fillId="0" borderId="0" xfId="0" quotePrefix="1" applyNumberFormat="1" applyFont="1" applyFill="1" applyAlignment="1">
      <alignment horizontal="left"/>
    </xf>
    <xf numFmtId="3" fontId="19" fillId="0" borderId="0" xfId="0" applyNumberFormat="1" applyFont="1" applyFill="1" applyAlignment="1">
      <alignment horizontal="left" vertical="center"/>
    </xf>
    <xf numFmtId="168" fontId="19" fillId="0" borderId="0" xfId="0" applyNumberFormat="1" applyFont="1" applyFill="1" applyAlignment="1">
      <alignment horizontal="left"/>
    </xf>
    <xf numFmtId="167" fontId="19" fillId="0" borderId="0" xfId="0" applyNumberFormat="1" applyFont="1" applyFill="1" applyAlignment="1">
      <alignment horizontal="left"/>
    </xf>
    <xf numFmtId="165" fontId="19" fillId="0" borderId="0" xfId="0" applyNumberFormat="1" applyFont="1" applyFill="1" applyAlignment="1">
      <alignment horizontal="left" vertical="center"/>
    </xf>
    <xf numFmtId="165" fontId="19" fillId="0" borderId="1" xfId="0" applyNumberFormat="1" applyFont="1" applyFill="1" applyBorder="1" applyAlignment="1">
      <alignment horizontal="left"/>
    </xf>
    <xf numFmtId="168" fontId="19" fillId="0" borderId="0" xfId="0" applyNumberFormat="1" applyFont="1" applyFill="1" applyAlignment="1">
      <alignment horizontal="left" wrapText="1"/>
    </xf>
    <xf numFmtId="168" fontId="19" fillId="0" borderId="1" xfId="0" applyNumberFormat="1" applyFont="1" applyFill="1" applyBorder="1" applyAlignment="1">
      <alignment horizontal="left"/>
    </xf>
    <xf numFmtId="0" fontId="20" fillId="0" borderId="1" xfId="0" applyFont="1" applyFill="1" applyBorder="1" applyAlignment="1">
      <alignment horizontal="left"/>
    </xf>
    <xf numFmtId="166" fontId="20" fillId="0" borderId="0" xfId="0" applyNumberFormat="1" applyFont="1" applyFill="1" applyAlignment="1">
      <alignment horizontal="left"/>
    </xf>
    <xf numFmtId="0" fontId="12" fillId="0" borderId="1" xfId="1" applyFont="1" applyFill="1" applyBorder="1" applyAlignment="1">
      <alignment horizontal="left"/>
    </xf>
    <xf numFmtId="166" fontId="20" fillId="0" borderId="1" xfId="0" applyNumberFormat="1" applyFont="1" applyFill="1" applyBorder="1" applyAlignment="1">
      <alignment horizontal="left"/>
    </xf>
    <xf numFmtId="166" fontId="19" fillId="0" borderId="1" xfId="0" applyNumberFormat="1" applyFont="1" applyFill="1" applyBorder="1" applyAlignment="1">
      <alignment horizontal="left"/>
    </xf>
    <xf numFmtId="166" fontId="23" fillId="0" borderId="0" xfId="0" applyNumberFormat="1" applyFont="1" applyFill="1" applyAlignment="1">
      <alignment horizontal="left" wrapText="1"/>
    </xf>
    <xf numFmtId="0" fontId="23" fillId="0" borderId="0" xfId="0" applyFont="1" applyFill="1" applyAlignment="1">
      <alignment horizontal="left" wrapText="1"/>
    </xf>
    <xf numFmtId="165" fontId="22" fillId="0" borderId="0" xfId="0" applyNumberFormat="1" applyFont="1" applyFill="1" applyAlignment="1">
      <alignment horizontal="left"/>
    </xf>
    <xf numFmtId="0" fontId="13" fillId="0" borderId="0" xfId="0" applyFont="1" applyFill="1" applyAlignment="1">
      <alignment horizontal="left"/>
    </xf>
    <xf numFmtId="0" fontId="0" fillId="0" borderId="0" xfId="0" applyFont="1"/>
    <xf numFmtId="0" fontId="7" fillId="0" borderId="0" xfId="1" applyFont="1" applyFill="1" applyAlignment="1">
      <alignment horizontal="left" vertical="center"/>
    </xf>
    <xf numFmtId="1" fontId="0" fillId="0" borderId="0" xfId="0" applyNumberFormat="1" applyFont="1" applyFill="1" applyAlignment="1">
      <alignment horizontal="left"/>
    </xf>
    <xf numFmtId="166" fontId="0" fillId="0" borderId="0" xfId="0" applyNumberFormat="1" applyFont="1" applyFill="1" applyAlignment="1">
      <alignment horizontal="left"/>
    </xf>
    <xf numFmtId="0" fontId="0" fillId="0" borderId="0" xfId="0" applyFont="1" applyFill="1" applyAlignment="1">
      <alignment horizontal="left" wrapText="1"/>
    </xf>
    <xf numFmtId="165" fontId="0" fillId="0" borderId="0" xfId="0" applyNumberFormat="1" applyFont="1" applyFill="1" applyAlignment="1">
      <alignment horizontal="left"/>
    </xf>
    <xf numFmtId="0" fontId="5" fillId="0" borderId="0" xfId="0" applyFont="1" applyFill="1" applyAlignment="1">
      <alignment horizontal="left"/>
    </xf>
    <xf numFmtId="0" fontId="0" fillId="0" borderId="0" xfId="0" applyFont="1" applyFill="1" applyAlignment="1">
      <alignment horizontal="left" vertical="center" wrapText="1"/>
    </xf>
    <xf numFmtId="166" fontId="0" fillId="0" borderId="0" xfId="0" applyNumberFormat="1" applyFont="1" applyFill="1" applyAlignment="1">
      <alignment horizontal="left" vertical="center" wrapText="1"/>
    </xf>
    <xf numFmtId="0" fontId="3" fillId="0" borderId="0" xfId="0" applyFont="1" applyFill="1" applyAlignment="1">
      <alignment horizontal="left"/>
    </xf>
    <xf numFmtId="2" fontId="5" fillId="0" borderId="0" xfId="0" applyNumberFormat="1" applyFont="1" applyFill="1" applyAlignment="1">
      <alignment horizontal="left"/>
    </xf>
    <xf numFmtId="166" fontId="0" fillId="0" borderId="0" xfId="0" quotePrefix="1" applyNumberFormat="1" applyFont="1" applyFill="1" applyAlignment="1">
      <alignment horizontal="left"/>
    </xf>
    <xf numFmtId="0" fontId="6" fillId="0" borderId="0" xfId="0" applyFont="1" applyFill="1" applyAlignment="1">
      <alignment horizontal="left"/>
    </xf>
    <xf numFmtId="168" fontId="0" fillId="0" borderId="0" xfId="0" applyNumberFormat="1" applyFont="1" applyFill="1" applyAlignment="1">
      <alignment horizontal="left"/>
    </xf>
    <xf numFmtId="167" fontId="0" fillId="0" borderId="0" xfId="0" applyNumberFormat="1" applyFont="1" applyFill="1" applyAlignment="1">
      <alignment horizontal="left"/>
    </xf>
    <xf numFmtId="0" fontId="9" fillId="0" borderId="0" xfId="0" applyFont="1" applyFill="1" applyAlignment="1">
      <alignment horizontal="left"/>
    </xf>
    <xf numFmtId="2" fontId="9" fillId="0" borderId="0" xfId="0" applyNumberFormat="1" applyFont="1" applyFill="1" applyAlignment="1">
      <alignment horizontal="left"/>
    </xf>
    <xf numFmtId="165" fontId="0" fillId="0" borderId="0" xfId="0" applyNumberFormat="1" applyFont="1" applyFill="1" applyAlignment="1">
      <alignment horizontal="left" vertical="center"/>
    </xf>
    <xf numFmtId="165" fontId="4" fillId="0" borderId="0" xfId="0" applyNumberFormat="1" applyFont="1" applyFill="1" applyAlignment="1">
      <alignment horizontal="left"/>
    </xf>
    <xf numFmtId="0" fontId="10" fillId="0" borderId="0" xfId="0" applyFont="1" applyFill="1" applyAlignment="1">
      <alignment horizontal="left"/>
    </xf>
    <xf numFmtId="0" fontId="17" fillId="0" borderId="0" xfId="0" applyFont="1" applyFill="1" applyAlignment="1">
      <alignment horizontal="left"/>
    </xf>
    <xf numFmtId="166" fontId="16" fillId="0" borderId="0" xfId="0" applyNumberFormat="1" applyFont="1" applyFill="1" applyAlignment="1">
      <alignment horizontal="left"/>
    </xf>
    <xf numFmtId="0" fontId="16" fillId="0" borderId="0" xfId="0" applyFont="1" applyFill="1" applyAlignment="1">
      <alignment horizontal="left"/>
    </xf>
    <xf numFmtId="166" fontId="15" fillId="0" borderId="0" xfId="0" applyNumberFormat="1" applyFont="1" applyFill="1" applyAlignment="1">
      <alignment horizontal="left" wrapText="1"/>
    </xf>
    <xf numFmtId="0" fontId="15" fillId="0" borderId="0" xfId="0" applyFont="1" applyFill="1" applyAlignment="1">
      <alignment horizontal="left" wrapText="1"/>
    </xf>
    <xf numFmtId="165" fontId="14" fillId="0" borderId="0" xfId="0" applyNumberFormat="1" applyFont="1" applyFill="1" applyAlignment="1">
      <alignment horizontal="left"/>
    </xf>
    <xf numFmtId="0" fontId="14" fillId="0" borderId="0" xfId="0" applyFont="1" applyFill="1" applyAlignment="1">
      <alignment horizontal="left"/>
    </xf>
    <xf numFmtId="0" fontId="25" fillId="0" borderId="0" xfId="0" applyFont="1"/>
    <xf numFmtId="0" fontId="26" fillId="0" borderId="0" xfId="0" applyFont="1"/>
    <xf numFmtId="0" fontId="27" fillId="0" borderId="0" xfId="0" applyFont="1" applyAlignment="1">
      <alignment vertical="center"/>
    </xf>
    <xf numFmtId="0" fontId="27" fillId="0" borderId="0" xfId="0" applyFont="1"/>
    <xf numFmtId="0" fontId="28" fillId="0" borderId="0" xfId="1" applyFont="1"/>
    <xf numFmtId="0" fontId="29" fillId="0" borderId="0" xfId="0" applyFont="1" applyFill="1" applyAlignment="1">
      <alignment horizontal="left"/>
    </xf>
    <xf numFmtId="0" fontId="30" fillId="0" borderId="0" xfId="0" applyFont="1" applyAlignment="1">
      <alignment vertical="center"/>
    </xf>
    <xf numFmtId="0" fontId="30" fillId="0" borderId="0" xfId="0" applyFont="1" applyAlignment="1">
      <alignment wrapText="1"/>
    </xf>
    <xf numFmtId="0" fontId="30" fillId="0" borderId="0" xfId="0" applyFont="1" applyAlignment="1">
      <alignment horizontal="left" vertical="center"/>
    </xf>
    <xf numFmtId="0" fontId="31" fillId="0" borderId="0" xfId="0" applyFont="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nathalie.tufenkji@mcgill.ca"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doi.org/10.1088/1748-9326/ac5714" TargetMode="External"/><Relationship Id="rId21" Type="http://schemas.openxmlformats.org/officeDocument/2006/relationships/hyperlink" Target="https://doi.org/10.1139/FACETS-2019-0042" TargetMode="External"/><Relationship Id="rId324" Type="http://schemas.openxmlformats.org/officeDocument/2006/relationships/hyperlink" Target="https://doi.org/10.1016/j.marpolbul.2013.12.035" TargetMode="External"/><Relationship Id="rId531" Type="http://schemas.openxmlformats.org/officeDocument/2006/relationships/hyperlink" Target="https://doi.org/10.1016/j.scitotenv.2025.180762" TargetMode="External"/><Relationship Id="rId629" Type="http://schemas.openxmlformats.org/officeDocument/2006/relationships/hyperlink" Target="https://doi.org/10.1021/acs.est.0c06087" TargetMode="External"/><Relationship Id="rId170" Type="http://schemas.openxmlformats.org/officeDocument/2006/relationships/hyperlink" Target="https://doi.org/10.1016/j.jglr.2020.10.007" TargetMode="External"/><Relationship Id="rId268" Type="http://schemas.openxmlformats.org/officeDocument/2006/relationships/hyperlink" Target="https://doi.org/10.1021/acsestwater.5c00080" TargetMode="External"/><Relationship Id="rId475" Type="http://schemas.openxmlformats.org/officeDocument/2006/relationships/hyperlink" Target="https://doi.org/10.3390/toxics11090792" TargetMode="External"/><Relationship Id="rId32" Type="http://schemas.openxmlformats.org/officeDocument/2006/relationships/hyperlink" Target="https://doi.org/10.1139/FACETS-2019-0042" TargetMode="External"/><Relationship Id="rId128" Type="http://schemas.openxmlformats.org/officeDocument/2006/relationships/hyperlink" Target="https://doi.org/10.1088/1748-9326/ac5714" TargetMode="External"/><Relationship Id="rId335" Type="http://schemas.openxmlformats.org/officeDocument/2006/relationships/hyperlink" Target="https://doi.org/10.1021/acsestwater.3c00526" TargetMode="External"/><Relationship Id="rId542" Type="http://schemas.openxmlformats.org/officeDocument/2006/relationships/hyperlink" Target="https://www.sciencedirect.com/science/article/pii/S0048969721006045?via%3Dihub" TargetMode="External"/><Relationship Id="rId181" Type="http://schemas.openxmlformats.org/officeDocument/2006/relationships/hyperlink" Target="https://doi.org/10.1016/j.jglr.2020.10.007" TargetMode="External"/><Relationship Id="rId402" Type="http://schemas.openxmlformats.org/officeDocument/2006/relationships/hyperlink" Target="https://doi.org/10.3389/frwa.2022.958130" TargetMode="External"/><Relationship Id="rId279" Type="http://schemas.openxmlformats.org/officeDocument/2006/relationships/hyperlink" Target="https://doi.org/10.1016/j.jglr.2018.07.014" TargetMode="External"/><Relationship Id="rId486" Type="http://schemas.openxmlformats.org/officeDocument/2006/relationships/hyperlink" Target="https://doi.org/10.1007/s10661-019-7297-3" TargetMode="External"/><Relationship Id="rId43" Type="http://schemas.openxmlformats.org/officeDocument/2006/relationships/hyperlink" Target="https://doi.org/10.1139/FACETS-2019-0042" TargetMode="External"/><Relationship Id="rId139" Type="http://schemas.openxmlformats.org/officeDocument/2006/relationships/hyperlink" Target="https://doi.org/10.1088/1748-9326/ac5714" TargetMode="External"/><Relationship Id="rId346" Type="http://schemas.openxmlformats.org/officeDocument/2006/relationships/hyperlink" Target="https://doi.org/10.1016/j.scitotenv.2020.140824" TargetMode="External"/><Relationship Id="rId553" Type="http://schemas.openxmlformats.org/officeDocument/2006/relationships/hyperlink" Target="https://doi.org/10.1098/rsta.2023.0023" TargetMode="External"/><Relationship Id="rId192" Type="http://schemas.openxmlformats.org/officeDocument/2006/relationships/hyperlink" Target="https://doi.org/10.1016/j.jglr.2020.10.007" TargetMode="External"/><Relationship Id="rId206" Type="http://schemas.openxmlformats.org/officeDocument/2006/relationships/hyperlink" Target="https://doi.org/10.1002/etc.5832" TargetMode="External"/><Relationship Id="rId413" Type="http://schemas.openxmlformats.org/officeDocument/2006/relationships/hyperlink" Target="https://doi.org/10.1139/facets-2022-0104" TargetMode="External"/><Relationship Id="rId497" Type="http://schemas.openxmlformats.org/officeDocument/2006/relationships/hyperlink" Target="https://doi.org/10.1007/s10661-019-7297-3" TargetMode="External"/><Relationship Id="rId620" Type="http://schemas.openxmlformats.org/officeDocument/2006/relationships/hyperlink" Target="https://doi.org/10.1021/acs.est.0c06087" TargetMode="External"/><Relationship Id="rId357" Type="http://schemas.openxmlformats.org/officeDocument/2006/relationships/hyperlink" Target="https://doi.org/10.1016/j.marpolbul.2022.114273" TargetMode="External"/><Relationship Id="rId54" Type="http://schemas.openxmlformats.org/officeDocument/2006/relationships/hyperlink" Target="https://doi.org/10.1016/j.marpolbul.2013.10.007" TargetMode="External"/><Relationship Id="rId217" Type="http://schemas.openxmlformats.org/officeDocument/2006/relationships/hyperlink" Target="https://doi.org/10.1016/j.jglr.2018.07.014" TargetMode="External"/><Relationship Id="rId564" Type="http://schemas.openxmlformats.org/officeDocument/2006/relationships/hyperlink" Target="https://doi.org/10.1021/acsestwater.2c00169" TargetMode="External"/><Relationship Id="rId424" Type="http://schemas.openxmlformats.org/officeDocument/2006/relationships/hyperlink" Target="https://doi.org/10.1139/facets-2022-0104" TargetMode="External"/><Relationship Id="rId631" Type="http://schemas.openxmlformats.org/officeDocument/2006/relationships/hyperlink" Target="https://doi.org/10.1021/acs.est.0c06087" TargetMode="External"/><Relationship Id="rId270" Type="http://schemas.openxmlformats.org/officeDocument/2006/relationships/hyperlink" Target="https://doi.org/10.1021/acsestwater.5c00080" TargetMode="External"/><Relationship Id="rId65" Type="http://schemas.openxmlformats.org/officeDocument/2006/relationships/hyperlink" Target="https://doi.org/10.1016/j.marpolbul.2013.10.007" TargetMode="External"/><Relationship Id="rId130" Type="http://schemas.openxmlformats.org/officeDocument/2006/relationships/hyperlink" Target="https://doi.org/10.1088/1748-9326/ac5714" TargetMode="External"/><Relationship Id="rId368" Type="http://schemas.openxmlformats.org/officeDocument/2006/relationships/hyperlink" Target="https://doi.org/10.1016/j.marpolbul.2022.114273" TargetMode="External"/><Relationship Id="rId575" Type="http://schemas.openxmlformats.org/officeDocument/2006/relationships/hyperlink" Target="https://www.sciencedirect.com/science/article/pii/S0048969721006045?via%3Dihub" TargetMode="External"/><Relationship Id="rId228" Type="http://schemas.openxmlformats.org/officeDocument/2006/relationships/hyperlink" Target="https://doi.org/10.1021/acsestwater.5c00080" TargetMode="External"/><Relationship Id="rId435" Type="http://schemas.openxmlformats.org/officeDocument/2006/relationships/hyperlink" Target="https://doi.org/10.1139/facets-2022-0104" TargetMode="External"/><Relationship Id="rId281" Type="http://schemas.openxmlformats.org/officeDocument/2006/relationships/hyperlink" Target="https://doi.org/10.1016/j.jglr.2018.07.014" TargetMode="External"/><Relationship Id="rId502" Type="http://schemas.openxmlformats.org/officeDocument/2006/relationships/hyperlink" Target="https://doi.org/10.1007/s10661-019-7297-3" TargetMode="External"/><Relationship Id="rId76" Type="http://schemas.openxmlformats.org/officeDocument/2006/relationships/hyperlink" Target="https://doi.org/10.1021/acs.est.7b05829" TargetMode="External"/><Relationship Id="rId141" Type="http://schemas.openxmlformats.org/officeDocument/2006/relationships/hyperlink" Target="https://doi.org/10.1088/1748-9326/ac5714" TargetMode="External"/><Relationship Id="rId379" Type="http://schemas.openxmlformats.org/officeDocument/2006/relationships/hyperlink" Target="https://doi.org/10.1016/j.marpolbul.2022.114273" TargetMode="External"/><Relationship Id="rId586" Type="http://schemas.openxmlformats.org/officeDocument/2006/relationships/hyperlink" Target="https://doi.org/10.3354/aei00316" TargetMode="External"/><Relationship Id="rId7" Type="http://schemas.openxmlformats.org/officeDocument/2006/relationships/hyperlink" Target="https://doi.org/10.1139/as-2023-0041" TargetMode="External"/><Relationship Id="rId239" Type="http://schemas.openxmlformats.org/officeDocument/2006/relationships/hyperlink" Target="https://doi.org/10.1021/acsestwater.5c00080" TargetMode="External"/><Relationship Id="rId446" Type="http://schemas.openxmlformats.org/officeDocument/2006/relationships/hyperlink" Target="https://doi.org/10.1139/facets-2022-0104" TargetMode="External"/><Relationship Id="rId292" Type="http://schemas.openxmlformats.org/officeDocument/2006/relationships/hyperlink" Target="https://doi.org/10.1016/j.jglr.2018.07.014" TargetMode="External"/><Relationship Id="rId306" Type="http://schemas.openxmlformats.org/officeDocument/2006/relationships/hyperlink" Target="https://doi.org/10.1002/etc.5832" TargetMode="External"/><Relationship Id="rId87" Type="http://schemas.openxmlformats.org/officeDocument/2006/relationships/hyperlink" Target="https://doi.org/10.1021/acs.est.4c02598" TargetMode="External"/><Relationship Id="rId513" Type="http://schemas.openxmlformats.org/officeDocument/2006/relationships/hyperlink" Target="https://doi.org/10.3354/meps13966" TargetMode="External"/><Relationship Id="rId597" Type="http://schemas.openxmlformats.org/officeDocument/2006/relationships/hyperlink" Target="https://doi.org/10.3354/aei00316" TargetMode="External"/><Relationship Id="rId152" Type="http://schemas.openxmlformats.org/officeDocument/2006/relationships/hyperlink" Target="https://doi.org/10.1088/1748-9326/ac5714" TargetMode="External"/><Relationship Id="rId457" Type="http://schemas.openxmlformats.org/officeDocument/2006/relationships/hyperlink" Target="https://doi.org/10.1139/facets-2022-0104" TargetMode="External"/><Relationship Id="rId14" Type="http://schemas.openxmlformats.org/officeDocument/2006/relationships/hyperlink" Target="https://doi.org/10.1139/FACETS-2019-0042" TargetMode="External"/><Relationship Id="rId317" Type="http://schemas.openxmlformats.org/officeDocument/2006/relationships/hyperlink" Target="https://doi.org/10.1016/j.marpolbul.2013.12.035" TargetMode="External"/><Relationship Id="rId524" Type="http://schemas.openxmlformats.org/officeDocument/2006/relationships/hyperlink" Target="https://doi.org/10.1016/j.scitotenv.2025.180762" TargetMode="External"/><Relationship Id="rId98" Type="http://schemas.openxmlformats.org/officeDocument/2006/relationships/hyperlink" Target="https://doi.org/10.1088/1748-9326/ac5714" TargetMode="External"/><Relationship Id="rId163" Type="http://schemas.openxmlformats.org/officeDocument/2006/relationships/hyperlink" Target="https://doi.org/10.1016/j.jglr.2020.10.007" TargetMode="External"/><Relationship Id="rId370" Type="http://schemas.openxmlformats.org/officeDocument/2006/relationships/hyperlink" Target="https://doi.org/10.1016/j.marpolbul.2022.114273" TargetMode="External"/><Relationship Id="rId230" Type="http://schemas.openxmlformats.org/officeDocument/2006/relationships/hyperlink" Target="https://doi.org/10.1021/acsestwater.5c00080" TargetMode="External"/><Relationship Id="rId468" Type="http://schemas.openxmlformats.org/officeDocument/2006/relationships/hyperlink" Target="https://doi.org/10.1139/facets-2022-0104" TargetMode="External"/><Relationship Id="rId25" Type="http://schemas.openxmlformats.org/officeDocument/2006/relationships/hyperlink" Target="https://doi.org/10.1139/FACETS-2019-0042" TargetMode="External"/><Relationship Id="rId328" Type="http://schemas.openxmlformats.org/officeDocument/2006/relationships/hyperlink" Target="https://doi.org/10.1016/j.marpolbul.2013.12.035" TargetMode="External"/><Relationship Id="rId535" Type="http://schemas.openxmlformats.org/officeDocument/2006/relationships/hyperlink" Target="https://doi.org/10.1016/j.scitotenv.2025.180762" TargetMode="External"/><Relationship Id="rId174" Type="http://schemas.openxmlformats.org/officeDocument/2006/relationships/hyperlink" Target="https://doi.org/10.1016/j.jglr.2020.10.007" TargetMode="External"/><Relationship Id="rId381" Type="http://schemas.openxmlformats.org/officeDocument/2006/relationships/hyperlink" Target="https://doi.org/10.1016/j.marpolbul.2022.114273" TargetMode="External"/><Relationship Id="rId602" Type="http://schemas.openxmlformats.org/officeDocument/2006/relationships/hyperlink" Target="https://doi.org/10.3354/aei00316" TargetMode="External"/><Relationship Id="rId241" Type="http://schemas.openxmlformats.org/officeDocument/2006/relationships/hyperlink" Target="https://doi.org/10.1021/acsestwater.5c00080" TargetMode="External"/><Relationship Id="rId479" Type="http://schemas.openxmlformats.org/officeDocument/2006/relationships/hyperlink" Target="https://doi.org/10.1007/s10661-019-7297-3" TargetMode="External"/><Relationship Id="rId36" Type="http://schemas.openxmlformats.org/officeDocument/2006/relationships/hyperlink" Target="https://doi.org/10.1139/FACETS-2019-0042" TargetMode="External"/><Relationship Id="rId339" Type="http://schemas.openxmlformats.org/officeDocument/2006/relationships/hyperlink" Target="https://doi.org/10.1021/acsestwater.3c00526" TargetMode="External"/><Relationship Id="rId546" Type="http://schemas.openxmlformats.org/officeDocument/2006/relationships/hyperlink" Target="https://www.sciencedirect.com/science/article/pii/S0048969721006045?via%3Dihub" TargetMode="External"/><Relationship Id="rId101" Type="http://schemas.openxmlformats.org/officeDocument/2006/relationships/hyperlink" Target="https://doi.org/10.1088/1748-9326/ac5714" TargetMode="External"/><Relationship Id="rId185" Type="http://schemas.openxmlformats.org/officeDocument/2006/relationships/hyperlink" Target="https://doi.org/10.1016/j.jglr.2020.10.007" TargetMode="External"/><Relationship Id="rId406" Type="http://schemas.openxmlformats.org/officeDocument/2006/relationships/hyperlink" Target="https://doi.org/10.3389/frwa.2022.958130" TargetMode="External"/><Relationship Id="rId392" Type="http://schemas.openxmlformats.org/officeDocument/2006/relationships/hyperlink" Target="https://doi.org/10.1139/cjfas-2014-0281" TargetMode="External"/><Relationship Id="rId613" Type="http://schemas.openxmlformats.org/officeDocument/2006/relationships/hyperlink" Target="https://doi.org/10.3354/aei00316" TargetMode="External"/><Relationship Id="rId252" Type="http://schemas.openxmlformats.org/officeDocument/2006/relationships/hyperlink" Target="https://doi.org/10.1021/acsestwater.5c00080" TargetMode="External"/><Relationship Id="rId294" Type="http://schemas.openxmlformats.org/officeDocument/2006/relationships/hyperlink" Target="https://doi.org/10.1016/j.jglr.2018.07.014" TargetMode="External"/><Relationship Id="rId308" Type="http://schemas.openxmlformats.org/officeDocument/2006/relationships/hyperlink" Target="https://doi.org/10.1016/j.marpolbul.2013.12.035" TargetMode="External"/><Relationship Id="rId515" Type="http://schemas.openxmlformats.org/officeDocument/2006/relationships/hyperlink" Target="https://doi.org/10.1016/j.scitotenv.2021.146809" TargetMode="External"/><Relationship Id="rId47" Type="http://schemas.openxmlformats.org/officeDocument/2006/relationships/hyperlink" Target="https://doi.org/10.1139/FACETS-2019-0042" TargetMode="External"/><Relationship Id="rId89" Type="http://schemas.openxmlformats.org/officeDocument/2006/relationships/hyperlink" Target="https://doi.org/10.1088/1748-9326/ac5714" TargetMode="External"/><Relationship Id="rId112" Type="http://schemas.openxmlformats.org/officeDocument/2006/relationships/hyperlink" Target="https://doi.org/10.1088/1748-9326/ac5714" TargetMode="External"/><Relationship Id="rId154" Type="http://schemas.openxmlformats.org/officeDocument/2006/relationships/hyperlink" Target="https://doi.org/10.1016/j.jglr.2020.10.007" TargetMode="External"/><Relationship Id="rId361" Type="http://schemas.openxmlformats.org/officeDocument/2006/relationships/hyperlink" Target="https://doi.org/10.1016/j.marpolbul.2022.114273" TargetMode="External"/><Relationship Id="rId557" Type="http://schemas.openxmlformats.org/officeDocument/2006/relationships/hyperlink" Target="https://doi.org/10.1021/acsestwater.2c00169" TargetMode="External"/><Relationship Id="rId599" Type="http://schemas.openxmlformats.org/officeDocument/2006/relationships/hyperlink" Target="https://doi.org/10.3354/aei00316" TargetMode="External"/><Relationship Id="rId196" Type="http://schemas.openxmlformats.org/officeDocument/2006/relationships/hyperlink" Target="https://doi.org/10.1016/j.jglr.2020.10.007" TargetMode="External"/><Relationship Id="rId417" Type="http://schemas.openxmlformats.org/officeDocument/2006/relationships/hyperlink" Target="https://doi.org/10.1139/facets-2022-0104" TargetMode="External"/><Relationship Id="rId459" Type="http://schemas.openxmlformats.org/officeDocument/2006/relationships/hyperlink" Target="https://doi.org/10.1139/facets-2022-0104" TargetMode="External"/><Relationship Id="rId624" Type="http://schemas.openxmlformats.org/officeDocument/2006/relationships/hyperlink" Target="https://doi.org/10.1021/acs.est.0c06087" TargetMode="External"/><Relationship Id="rId16" Type="http://schemas.openxmlformats.org/officeDocument/2006/relationships/hyperlink" Target="https://doi.org/10.1139/FACETS-2019-0042" TargetMode="External"/><Relationship Id="rId221" Type="http://schemas.openxmlformats.org/officeDocument/2006/relationships/hyperlink" Target="https://doi.org/10.1021/acsestwater.5c00080" TargetMode="External"/><Relationship Id="rId263" Type="http://schemas.openxmlformats.org/officeDocument/2006/relationships/hyperlink" Target="https://doi.org/10.1021/acsestwater.5c00080" TargetMode="External"/><Relationship Id="rId319" Type="http://schemas.openxmlformats.org/officeDocument/2006/relationships/hyperlink" Target="https://doi.org/10.1016/j.marpolbul.2013.12.035" TargetMode="External"/><Relationship Id="rId470" Type="http://schemas.openxmlformats.org/officeDocument/2006/relationships/hyperlink" Target="https://doi.org/10.1139/facets-2022-0104" TargetMode="External"/><Relationship Id="rId526" Type="http://schemas.openxmlformats.org/officeDocument/2006/relationships/hyperlink" Target="https://www.sciencedirect.com/science/article/pii/S0304389425038385?via%3Dihub" TargetMode="External"/><Relationship Id="rId58" Type="http://schemas.openxmlformats.org/officeDocument/2006/relationships/hyperlink" Target="https://doi.org/10.1016/j.marpolbul.2013.10.007" TargetMode="External"/><Relationship Id="rId123" Type="http://schemas.openxmlformats.org/officeDocument/2006/relationships/hyperlink" Target="https://doi.org/10.1088/1748-9326/ac5714" TargetMode="External"/><Relationship Id="rId330" Type="http://schemas.openxmlformats.org/officeDocument/2006/relationships/hyperlink" Target="https://doi.org/10.1016/j.marpolbul.2013.12.035" TargetMode="External"/><Relationship Id="rId568" Type="http://schemas.openxmlformats.org/officeDocument/2006/relationships/hyperlink" Target="https://doi.org/10.5203/pmuser.201730578" TargetMode="External"/><Relationship Id="rId165" Type="http://schemas.openxmlformats.org/officeDocument/2006/relationships/hyperlink" Target="https://doi.org/10.1016/j.jglr.2020.10.007" TargetMode="External"/><Relationship Id="rId372" Type="http://schemas.openxmlformats.org/officeDocument/2006/relationships/hyperlink" Target="https://doi.org/10.1016/j.marpolbul.2022.114273" TargetMode="External"/><Relationship Id="rId428" Type="http://schemas.openxmlformats.org/officeDocument/2006/relationships/hyperlink" Target="https://doi.org/10.1139/facets-2022-0104" TargetMode="External"/><Relationship Id="rId635" Type="http://schemas.openxmlformats.org/officeDocument/2006/relationships/hyperlink" Target="https://doi.org/10.1021/acs.est.0c06087" TargetMode="External"/><Relationship Id="rId232" Type="http://schemas.openxmlformats.org/officeDocument/2006/relationships/hyperlink" Target="https://doi.org/10.1021/acsestwater.5c00080" TargetMode="External"/><Relationship Id="rId274" Type="http://schemas.openxmlformats.org/officeDocument/2006/relationships/hyperlink" Target="https://doi.org/10.1021/acsestwater.5c00080" TargetMode="External"/><Relationship Id="rId481" Type="http://schemas.openxmlformats.org/officeDocument/2006/relationships/hyperlink" Target="https://doi.org/10.1007/s10661-019-7297-3" TargetMode="External"/><Relationship Id="rId27" Type="http://schemas.openxmlformats.org/officeDocument/2006/relationships/hyperlink" Target="https://doi.org/10.1139/FACETS-2019-0042" TargetMode="External"/><Relationship Id="rId69" Type="http://schemas.openxmlformats.org/officeDocument/2006/relationships/hyperlink" Target="https://doi.org/10.1016/j.marpolbul.2013.10.007" TargetMode="External"/><Relationship Id="rId134" Type="http://schemas.openxmlformats.org/officeDocument/2006/relationships/hyperlink" Target="https://doi.org/10.1088/1748-9326/ac5714" TargetMode="External"/><Relationship Id="rId537" Type="http://schemas.openxmlformats.org/officeDocument/2006/relationships/hyperlink" Target="https://doi.org/10.1016/j.scitotenv.2025.180762" TargetMode="External"/><Relationship Id="rId579" Type="http://schemas.openxmlformats.org/officeDocument/2006/relationships/hyperlink" Target="https://www.sciencedirect.com/science/article/pii/S0048969721006045?via%3Dihub" TargetMode="External"/><Relationship Id="rId80" Type="http://schemas.openxmlformats.org/officeDocument/2006/relationships/hyperlink" Target="https://doi.org/10.1021/acs.est.7b05829" TargetMode="External"/><Relationship Id="rId176" Type="http://schemas.openxmlformats.org/officeDocument/2006/relationships/hyperlink" Target="https://doi.org/10.1016/j.jglr.2020.10.007" TargetMode="External"/><Relationship Id="rId341" Type="http://schemas.openxmlformats.org/officeDocument/2006/relationships/hyperlink" Target="https://doi.org/10.1016/j.scitotenv.2020.140824" TargetMode="External"/><Relationship Id="rId383" Type="http://schemas.openxmlformats.org/officeDocument/2006/relationships/hyperlink" Target="https://doi.org/10.1016/j.marpolbul.2022.114273" TargetMode="External"/><Relationship Id="rId439" Type="http://schemas.openxmlformats.org/officeDocument/2006/relationships/hyperlink" Target="https://doi.org/10.1139/facets-2022-0104" TargetMode="External"/><Relationship Id="rId590" Type="http://schemas.openxmlformats.org/officeDocument/2006/relationships/hyperlink" Target="https://doi.org/10.3354/aei00316" TargetMode="External"/><Relationship Id="rId604" Type="http://schemas.openxmlformats.org/officeDocument/2006/relationships/hyperlink" Target="https://doi.org/10.3354/aei00316" TargetMode="External"/><Relationship Id="rId201" Type="http://schemas.openxmlformats.org/officeDocument/2006/relationships/hyperlink" Target="https://doi.org/10.1002/etc.5832" TargetMode="External"/><Relationship Id="rId243" Type="http://schemas.openxmlformats.org/officeDocument/2006/relationships/hyperlink" Target="https://doi.org/10.1021/acsestwater.5c00080" TargetMode="External"/><Relationship Id="rId285" Type="http://schemas.openxmlformats.org/officeDocument/2006/relationships/hyperlink" Target="https://doi.org/10.1016/j.jglr.2018.07.014" TargetMode="External"/><Relationship Id="rId450" Type="http://schemas.openxmlformats.org/officeDocument/2006/relationships/hyperlink" Target="https://doi.org/10.1139/facets-2022-0104" TargetMode="External"/><Relationship Id="rId506" Type="http://schemas.openxmlformats.org/officeDocument/2006/relationships/hyperlink" Target="https://doi.org/10.1021/acsestwater.2c00169" TargetMode="External"/><Relationship Id="rId38" Type="http://schemas.openxmlformats.org/officeDocument/2006/relationships/hyperlink" Target="https://doi.org/10.1139/FACETS-2019-0042" TargetMode="External"/><Relationship Id="rId103" Type="http://schemas.openxmlformats.org/officeDocument/2006/relationships/hyperlink" Target="https://doi.org/10.1088/1748-9326/ac5714" TargetMode="External"/><Relationship Id="rId310" Type="http://schemas.openxmlformats.org/officeDocument/2006/relationships/hyperlink" Target="https://doi.org/10.1016/j.marpolbul.2013.12.035" TargetMode="External"/><Relationship Id="rId492" Type="http://schemas.openxmlformats.org/officeDocument/2006/relationships/hyperlink" Target="https://doi.org/10.1007/s10661-019-7297-3" TargetMode="External"/><Relationship Id="rId548" Type="http://schemas.openxmlformats.org/officeDocument/2006/relationships/hyperlink" Target="https://www.sciencedirect.com/science/article/pii/S0048969721006045?via%3Dihub" TargetMode="External"/><Relationship Id="rId91" Type="http://schemas.openxmlformats.org/officeDocument/2006/relationships/hyperlink" Target="https://doi.org/10.1088/1748-9326/ac5714" TargetMode="External"/><Relationship Id="rId145" Type="http://schemas.openxmlformats.org/officeDocument/2006/relationships/hyperlink" Target="https://doi.org/10.1088/1748-9326/ac5714" TargetMode="External"/><Relationship Id="rId187" Type="http://schemas.openxmlformats.org/officeDocument/2006/relationships/hyperlink" Target="https://doi.org/10.1016/j.jglr.2020.10.007" TargetMode="External"/><Relationship Id="rId352" Type="http://schemas.openxmlformats.org/officeDocument/2006/relationships/hyperlink" Target="https://doi.org/10.1016/j.scitotenv.2020.140824" TargetMode="External"/><Relationship Id="rId394" Type="http://schemas.openxmlformats.org/officeDocument/2006/relationships/hyperlink" Target="https://doi.org/10.1139/cjfas-2014-0281" TargetMode="External"/><Relationship Id="rId408" Type="http://schemas.openxmlformats.org/officeDocument/2006/relationships/hyperlink" Target="https://doi.org/10.3389/frwa.2022.958130" TargetMode="External"/><Relationship Id="rId615" Type="http://schemas.openxmlformats.org/officeDocument/2006/relationships/hyperlink" Target="https://doi.org/10.1021/acs.est.0c06087" TargetMode="External"/><Relationship Id="rId212" Type="http://schemas.openxmlformats.org/officeDocument/2006/relationships/hyperlink" Target="https://doi.org/10.1007/s11270-011-0760-6" TargetMode="External"/><Relationship Id="rId254" Type="http://schemas.openxmlformats.org/officeDocument/2006/relationships/hyperlink" Target="https://doi.org/10.1021/acsestwater.5c00080" TargetMode="External"/><Relationship Id="rId49" Type="http://schemas.openxmlformats.org/officeDocument/2006/relationships/hyperlink" Target="https://doi.org/10.1139/FACETS-2019-0042" TargetMode="External"/><Relationship Id="rId114" Type="http://schemas.openxmlformats.org/officeDocument/2006/relationships/hyperlink" Target="https://doi.org/10.1088/1748-9326/ac5714" TargetMode="External"/><Relationship Id="rId296" Type="http://schemas.openxmlformats.org/officeDocument/2006/relationships/hyperlink" Target="https://doi.org/10.1016/j.jglr.2018.07.014" TargetMode="External"/><Relationship Id="rId461" Type="http://schemas.openxmlformats.org/officeDocument/2006/relationships/hyperlink" Target="https://doi.org/10.1139/facets-2022-0104" TargetMode="External"/><Relationship Id="rId517" Type="http://schemas.openxmlformats.org/officeDocument/2006/relationships/hyperlink" Target="https://doi.org/10.1016/j.scitotenv.2021.146809" TargetMode="External"/><Relationship Id="rId559" Type="http://schemas.openxmlformats.org/officeDocument/2006/relationships/hyperlink" Target="https://doi.org/10.1021/acsestwater.2c00169" TargetMode="External"/><Relationship Id="rId60" Type="http://schemas.openxmlformats.org/officeDocument/2006/relationships/hyperlink" Target="https://doi.org/10.1016/j.marpolbul.2013.10.007" TargetMode="External"/><Relationship Id="rId156" Type="http://schemas.openxmlformats.org/officeDocument/2006/relationships/hyperlink" Target="https://doi.org/10.1016/j.jglr.2020.10.007" TargetMode="External"/><Relationship Id="rId198" Type="http://schemas.openxmlformats.org/officeDocument/2006/relationships/hyperlink" Target="https://doi.org/10.1016/j.jglr.2020.10.007" TargetMode="External"/><Relationship Id="rId321" Type="http://schemas.openxmlformats.org/officeDocument/2006/relationships/hyperlink" Target="https://doi.org/10.1016/j.marpolbul.2013.12.035" TargetMode="External"/><Relationship Id="rId363" Type="http://schemas.openxmlformats.org/officeDocument/2006/relationships/hyperlink" Target="https://doi.org/10.1016/j.marpolbul.2022.114273" TargetMode="External"/><Relationship Id="rId419" Type="http://schemas.openxmlformats.org/officeDocument/2006/relationships/hyperlink" Target="https://doi.org/10.1139/facets-2022-0104" TargetMode="External"/><Relationship Id="rId570" Type="http://schemas.openxmlformats.org/officeDocument/2006/relationships/hyperlink" Target="https://doi.org/10.5203/pmuser.201730578" TargetMode="External"/><Relationship Id="rId626" Type="http://schemas.openxmlformats.org/officeDocument/2006/relationships/hyperlink" Target="https://doi.org/10.1021/acs.est.0c06087" TargetMode="External"/><Relationship Id="rId223" Type="http://schemas.openxmlformats.org/officeDocument/2006/relationships/hyperlink" Target="https://doi.org/10.1021/acsestwater.5c00080" TargetMode="External"/><Relationship Id="rId430" Type="http://schemas.openxmlformats.org/officeDocument/2006/relationships/hyperlink" Target="https://doi.org/10.1139/facets-2022-0104" TargetMode="External"/><Relationship Id="rId18" Type="http://schemas.openxmlformats.org/officeDocument/2006/relationships/hyperlink" Target="https://doi.org/10.1139/FACETS-2019-0042" TargetMode="External"/><Relationship Id="rId265" Type="http://schemas.openxmlformats.org/officeDocument/2006/relationships/hyperlink" Target="https://doi.org/10.1021/acsestwater.5c00080" TargetMode="External"/><Relationship Id="rId472" Type="http://schemas.openxmlformats.org/officeDocument/2006/relationships/hyperlink" Target="https://doi.org/10.1139/facets-2022-0104" TargetMode="External"/><Relationship Id="rId528" Type="http://schemas.openxmlformats.org/officeDocument/2006/relationships/hyperlink" Target="https://www.sciencedirect.com/science/article/pii/S0304389425038385?via%3Dihub" TargetMode="External"/><Relationship Id="rId125" Type="http://schemas.openxmlformats.org/officeDocument/2006/relationships/hyperlink" Target="https://doi.org/10.1088/1748-9326/ac5714" TargetMode="External"/><Relationship Id="rId167" Type="http://schemas.openxmlformats.org/officeDocument/2006/relationships/hyperlink" Target="https://doi.org/10.1016/j.jglr.2020.10.007" TargetMode="External"/><Relationship Id="rId332" Type="http://schemas.openxmlformats.org/officeDocument/2006/relationships/hyperlink" Target="https://doi.org/10.1021/acsestwater.3c00526" TargetMode="External"/><Relationship Id="rId374" Type="http://schemas.openxmlformats.org/officeDocument/2006/relationships/hyperlink" Target="https://doi.org/10.1016/j.marpolbul.2022.114273" TargetMode="External"/><Relationship Id="rId581" Type="http://schemas.openxmlformats.org/officeDocument/2006/relationships/hyperlink" Target="https://www.sciencedirect.com/science/article/pii/S0048969721006045?via%3Dihub" TargetMode="External"/><Relationship Id="rId71" Type="http://schemas.openxmlformats.org/officeDocument/2006/relationships/hyperlink" Target="https://doi.org/10.1021/acs.est.7b05829" TargetMode="External"/><Relationship Id="rId234" Type="http://schemas.openxmlformats.org/officeDocument/2006/relationships/hyperlink" Target="https://doi.org/10.1021/acsestwater.5c00080" TargetMode="External"/><Relationship Id="rId637" Type="http://schemas.openxmlformats.org/officeDocument/2006/relationships/hyperlink" Target="https://doi.org/10.1021/acs.est.0c06087" TargetMode="External"/><Relationship Id="rId2" Type="http://schemas.openxmlformats.org/officeDocument/2006/relationships/hyperlink" Target="https://doi.org/10.1139/as-2023-0041" TargetMode="External"/><Relationship Id="rId29" Type="http://schemas.openxmlformats.org/officeDocument/2006/relationships/hyperlink" Target="https://doi.org/10.1139/FACETS-2019-0042" TargetMode="External"/><Relationship Id="rId276" Type="http://schemas.openxmlformats.org/officeDocument/2006/relationships/hyperlink" Target="https://doi.org/10.1021/acsestwater.5c00080" TargetMode="External"/><Relationship Id="rId441" Type="http://schemas.openxmlformats.org/officeDocument/2006/relationships/hyperlink" Target="https://doi.org/10.1139/facets-2022-0104" TargetMode="External"/><Relationship Id="rId483" Type="http://schemas.openxmlformats.org/officeDocument/2006/relationships/hyperlink" Target="https://doi.org/10.1007/s10661-019-7297-3" TargetMode="External"/><Relationship Id="rId539" Type="http://schemas.openxmlformats.org/officeDocument/2006/relationships/hyperlink" Target="https://doi.org/10.1016/j.scitotenv.2025.180762" TargetMode="External"/><Relationship Id="rId40" Type="http://schemas.openxmlformats.org/officeDocument/2006/relationships/hyperlink" Target="https://doi.org/10.1139/FACETS-2019-0042" TargetMode="External"/><Relationship Id="rId136" Type="http://schemas.openxmlformats.org/officeDocument/2006/relationships/hyperlink" Target="https://doi.org/10.1088/1748-9326/ac5714" TargetMode="External"/><Relationship Id="rId178" Type="http://schemas.openxmlformats.org/officeDocument/2006/relationships/hyperlink" Target="https://doi.org/10.1016/j.jglr.2020.10.007" TargetMode="External"/><Relationship Id="rId301" Type="http://schemas.openxmlformats.org/officeDocument/2006/relationships/hyperlink" Target="https://doi.org/10.1016/j.scitotenv.2020.140824" TargetMode="External"/><Relationship Id="rId343" Type="http://schemas.openxmlformats.org/officeDocument/2006/relationships/hyperlink" Target="https://doi.org/10.1016/j.scitotenv.2020.140824" TargetMode="External"/><Relationship Id="rId550" Type="http://schemas.openxmlformats.org/officeDocument/2006/relationships/hyperlink" Target="https://www.sciencedirect.com/science/article/pii/S0048969721006045?via%3Dihub" TargetMode="External"/><Relationship Id="rId82" Type="http://schemas.openxmlformats.org/officeDocument/2006/relationships/hyperlink" Target="https://doi.org/10.1021/acs.est.7b05829" TargetMode="External"/><Relationship Id="rId203" Type="http://schemas.openxmlformats.org/officeDocument/2006/relationships/hyperlink" Target="https://doi.org/10.1002/etc.5832" TargetMode="External"/><Relationship Id="rId385" Type="http://schemas.openxmlformats.org/officeDocument/2006/relationships/hyperlink" Target="https://doi.org/10.1016/j.marpolbul.2022.114273" TargetMode="External"/><Relationship Id="rId592" Type="http://schemas.openxmlformats.org/officeDocument/2006/relationships/hyperlink" Target="https://doi.org/10.3354/aei00316" TargetMode="External"/><Relationship Id="rId606" Type="http://schemas.openxmlformats.org/officeDocument/2006/relationships/hyperlink" Target="https://doi.org/10.3354/aei00316" TargetMode="External"/><Relationship Id="rId245" Type="http://schemas.openxmlformats.org/officeDocument/2006/relationships/hyperlink" Target="https://doi.org/10.1021/acsestwater.5c00080" TargetMode="External"/><Relationship Id="rId287" Type="http://schemas.openxmlformats.org/officeDocument/2006/relationships/hyperlink" Target="https://doi.org/10.1016/j.jglr.2018.07.014" TargetMode="External"/><Relationship Id="rId410" Type="http://schemas.openxmlformats.org/officeDocument/2006/relationships/hyperlink" Target="https://doi.org/10.1139/facets-2022-0104" TargetMode="External"/><Relationship Id="rId452" Type="http://schemas.openxmlformats.org/officeDocument/2006/relationships/hyperlink" Target="https://doi.org/10.1139/facets-2022-0104" TargetMode="External"/><Relationship Id="rId494" Type="http://schemas.openxmlformats.org/officeDocument/2006/relationships/hyperlink" Target="https://doi.org/10.1007/s10661-019-7297-3" TargetMode="External"/><Relationship Id="rId508" Type="http://schemas.openxmlformats.org/officeDocument/2006/relationships/hyperlink" Target="https://doi.org/10.1021/acs.est.0c06087" TargetMode="External"/><Relationship Id="rId105" Type="http://schemas.openxmlformats.org/officeDocument/2006/relationships/hyperlink" Target="https://doi.org/10.1088/1748-9326/ac5714" TargetMode="External"/><Relationship Id="rId147" Type="http://schemas.openxmlformats.org/officeDocument/2006/relationships/hyperlink" Target="https://doi.org/10.1088/1748-9326/ac5714" TargetMode="External"/><Relationship Id="rId312" Type="http://schemas.openxmlformats.org/officeDocument/2006/relationships/hyperlink" Target="https://doi.org/10.1016/j.marpolbul.2013.12.035" TargetMode="External"/><Relationship Id="rId354" Type="http://schemas.openxmlformats.org/officeDocument/2006/relationships/hyperlink" Target="https://doi.org/10.1016/j.marpolbul.2022.114273" TargetMode="External"/><Relationship Id="rId51" Type="http://schemas.openxmlformats.org/officeDocument/2006/relationships/hyperlink" Target="https://doi.org/10.1016/j.marpolbul.2013.10.007" TargetMode="External"/><Relationship Id="rId93" Type="http://schemas.openxmlformats.org/officeDocument/2006/relationships/hyperlink" Target="https://doi.org/10.1088/1748-9326/ac5714" TargetMode="External"/><Relationship Id="rId189" Type="http://schemas.openxmlformats.org/officeDocument/2006/relationships/hyperlink" Target="https://doi.org/10.1016/j.jglr.2020.10.007" TargetMode="External"/><Relationship Id="rId396" Type="http://schemas.openxmlformats.org/officeDocument/2006/relationships/hyperlink" Target="https://doi.org/10.1139/cjfas-2014-0281" TargetMode="External"/><Relationship Id="rId561" Type="http://schemas.openxmlformats.org/officeDocument/2006/relationships/hyperlink" Target="https://doi.org/10.1021/acsestwater.2c00169" TargetMode="External"/><Relationship Id="rId617" Type="http://schemas.openxmlformats.org/officeDocument/2006/relationships/hyperlink" Target="https://doi.org/10.1021/acs.est.0c06087" TargetMode="External"/><Relationship Id="rId214" Type="http://schemas.openxmlformats.org/officeDocument/2006/relationships/hyperlink" Target="https://doi.org/10.1007/s11270-011-0760-6" TargetMode="External"/><Relationship Id="rId256" Type="http://schemas.openxmlformats.org/officeDocument/2006/relationships/hyperlink" Target="https://doi.org/10.1021/acsestwater.5c00080" TargetMode="External"/><Relationship Id="rId298" Type="http://schemas.openxmlformats.org/officeDocument/2006/relationships/hyperlink" Target="https://doi.org/10.1016/j.jglr.2018.07.014" TargetMode="External"/><Relationship Id="rId421" Type="http://schemas.openxmlformats.org/officeDocument/2006/relationships/hyperlink" Target="https://doi.org/10.1139/facets-2022-0104" TargetMode="External"/><Relationship Id="rId463" Type="http://schemas.openxmlformats.org/officeDocument/2006/relationships/hyperlink" Target="https://doi.org/10.1139/facets-2022-0104" TargetMode="External"/><Relationship Id="rId519" Type="http://schemas.openxmlformats.org/officeDocument/2006/relationships/hyperlink" Target="https://doi.org/10.1016/j.scitotenv.2021.146809" TargetMode="External"/><Relationship Id="rId116" Type="http://schemas.openxmlformats.org/officeDocument/2006/relationships/hyperlink" Target="https://doi.org/10.1088/1748-9326/ac5714" TargetMode="External"/><Relationship Id="rId158" Type="http://schemas.openxmlformats.org/officeDocument/2006/relationships/hyperlink" Target="https://doi.org/10.1016/j.jglr.2020.10.007" TargetMode="External"/><Relationship Id="rId323" Type="http://schemas.openxmlformats.org/officeDocument/2006/relationships/hyperlink" Target="https://doi.org/10.1016/j.marpolbul.2013.12.035" TargetMode="External"/><Relationship Id="rId530" Type="http://schemas.openxmlformats.org/officeDocument/2006/relationships/hyperlink" Target="https://cjur.ca/wp-content/uploads/2025/10/Volume-10-Issue-1-Tiet-et-al.pdf" TargetMode="External"/><Relationship Id="rId20" Type="http://schemas.openxmlformats.org/officeDocument/2006/relationships/hyperlink" Target="https://doi.org/10.1139/FACETS-2019-0042" TargetMode="External"/><Relationship Id="rId62" Type="http://schemas.openxmlformats.org/officeDocument/2006/relationships/hyperlink" Target="https://doi.org/10.1016/j.marpolbul.2013.10.007" TargetMode="External"/><Relationship Id="rId365" Type="http://schemas.openxmlformats.org/officeDocument/2006/relationships/hyperlink" Target="https://doi.org/10.1016/j.marpolbul.2022.114273" TargetMode="External"/><Relationship Id="rId572" Type="http://schemas.openxmlformats.org/officeDocument/2006/relationships/hyperlink" Target="https://doi.org/10.5203/pmuser.201730578" TargetMode="External"/><Relationship Id="rId628" Type="http://schemas.openxmlformats.org/officeDocument/2006/relationships/hyperlink" Target="https://doi.org/10.1021/acs.est.0c06087" TargetMode="External"/><Relationship Id="rId225" Type="http://schemas.openxmlformats.org/officeDocument/2006/relationships/hyperlink" Target="https://doi.org/10.1021/acsestwater.5c00080" TargetMode="External"/><Relationship Id="rId267" Type="http://schemas.openxmlformats.org/officeDocument/2006/relationships/hyperlink" Target="https://doi.org/10.1021/acsestwater.5c00080" TargetMode="External"/><Relationship Id="rId432" Type="http://schemas.openxmlformats.org/officeDocument/2006/relationships/hyperlink" Target="https://doi.org/10.1139/facets-2022-0104" TargetMode="External"/><Relationship Id="rId474" Type="http://schemas.openxmlformats.org/officeDocument/2006/relationships/hyperlink" Target="https://doi.org/10.1139/facets-2022-0104" TargetMode="External"/><Relationship Id="rId127" Type="http://schemas.openxmlformats.org/officeDocument/2006/relationships/hyperlink" Target="https://doi.org/10.1088/1748-9326/ac5714" TargetMode="External"/><Relationship Id="rId31" Type="http://schemas.openxmlformats.org/officeDocument/2006/relationships/hyperlink" Target="https://doi.org/10.1139/FACETS-2019-0042" TargetMode="External"/><Relationship Id="rId73" Type="http://schemas.openxmlformats.org/officeDocument/2006/relationships/hyperlink" Target="https://doi.org/10.1021/acs.est.7b05829" TargetMode="External"/><Relationship Id="rId169" Type="http://schemas.openxmlformats.org/officeDocument/2006/relationships/hyperlink" Target="https://doi.org/10.1016/j.jglr.2020.10.007" TargetMode="External"/><Relationship Id="rId334" Type="http://schemas.openxmlformats.org/officeDocument/2006/relationships/hyperlink" Target="https://doi.org/10.1021/acsestwater.3c00526" TargetMode="External"/><Relationship Id="rId376" Type="http://schemas.openxmlformats.org/officeDocument/2006/relationships/hyperlink" Target="https://doi.org/10.1016/j.marpolbul.2022.114273" TargetMode="External"/><Relationship Id="rId541" Type="http://schemas.openxmlformats.org/officeDocument/2006/relationships/hyperlink" Target="https://www.sciencedirect.com/science/article/pii/S0304389425038385?via%3Dihub" TargetMode="External"/><Relationship Id="rId583" Type="http://schemas.openxmlformats.org/officeDocument/2006/relationships/hyperlink" Target="https://doi.org/10.3354/aei00316" TargetMode="External"/><Relationship Id="rId4" Type="http://schemas.openxmlformats.org/officeDocument/2006/relationships/hyperlink" Target="https://doi.org/10.1139/as-2023-0041" TargetMode="External"/><Relationship Id="rId180" Type="http://schemas.openxmlformats.org/officeDocument/2006/relationships/hyperlink" Target="https://doi.org/10.1016/j.jglr.2020.10.007" TargetMode="External"/><Relationship Id="rId236" Type="http://schemas.openxmlformats.org/officeDocument/2006/relationships/hyperlink" Target="https://doi.org/10.1021/acsestwater.5c00080" TargetMode="External"/><Relationship Id="rId278" Type="http://schemas.openxmlformats.org/officeDocument/2006/relationships/hyperlink" Target="https://doi.org/10.1021/acsestwater.5c00080" TargetMode="External"/><Relationship Id="rId401" Type="http://schemas.openxmlformats.org/officeDocument/2006/relationships/hyperlink" Target="https://doi.org/10.3389/frwa.2022.958130" TargetMode="External"/><Relationship Id="rId443" Type="http://schemas.openxmlformats.org/officeDocument/2006/relationships/hyperlink" Target="https://doi.org/10.1139/facets-2022-0104" TargetMode="External"/><Relationship Id="rId303" Type="http://schemas.openxmlformats.org/officeDocument/2006/relationships/hyperlink" Target="https://doi.org/10.1002/etc.5832" TargetMode="External"/><Relationship Id="rId485" Type="http://schemas.openxmlformats.org/officeDocument/2006/relationships/hyperlink" Target="https://doi.org/10.1007/s10661-019-7297-3" TargetMode="External"/><Relationship Id="rId42" Type="http://schemas.openxmlformats.org/officeDocument/2006/relationships/hyperlink" Target="https://doi.org/10.1139/FACETS-2019-0042" TargetMode="External"/><Relationship Id="rId84" Type="http://schemas.openxmlformats.org/officeDocument/2006/relationships/hyperlink" Target="https://doi.org/10.1002/etc.5832" TargetMode="External"/><Relationship Id="rId138" Type="http://schemas.openxmlformats.org/officeDocument/2006/relationships/hyperlink" Target="https://doi.org/10.1088/1748-9326/ac5714" TargetMode="External"/><Relationship Id="rId345" Type="http://schemas.openxmlformats.org/officeDocument/2006/relationships/hyperlink" Target="https://doi.org/10.1016/j.scitotenv.2020.140824" TargetMode="External"/><Relationship Id="rId387" Type="http://schemas.openxmlformats.org/officeDocument/2006/relationships/hyperlink" Target="https://doi.org/10.1016/j.marpolbul.2022.114273" TargetMode="External"/><Relationship Id="rId510" Type="http://schemas.openxmlformats.org/officeDocument/2006/relationships/hyperlink" Target="https://doi.org/10.1002/eap.2654" TargetMode="External"/><Relationship Id="rId552" Type="http://schemas.openxmlformats.org/officeDocument/2006/relationships/hyperlink" Target="https://www.sciencedirect.com/science/article/pii/S0048969721006045?via%3Dihub" TargetMode="External"/><Relationship Id="rId594" Type="http://schemas.openxmlformats.org/officeDocument/2006/relationships/hyperlink" Target="https://doi.org/10.3354/aei00316" TargetMode="External"/><Relationship Id="rId608" Type="http://schemas.openxmlformats.org/officeDocument/2006/relationships/hyperlink" Target="https://doi.org/10.3354/aei00316" TargetMode="External"/><Relationship Id="rId191" Type="http://schemas.openxmlformats.org/officeDocument/2006/relationships/hyperlink" Target="https://doi.org/10.1016/j.jglr.2020.10.007" TargetMode="External"/><Relationship Id="rId205" Type="http://schemas.openxmlformats.org/officeDocument/2006/relationships/hyperlink" Target="https://doi.org/10.1002/etc.5832" TargetMode="External"/><Relationship Id="rId247" Type="http://schemas.openxmlformats.org/officeDocument/2006/relationships/hyperlink" Target="https://doi.org/10.1021/acsestwater.5c00080" TargetMode="External"/><Relationship Id="rId412" Type="http://schemas.openxmlformats.org/officeDocument/2006/relationships/hyperlink" Target="https://doi.org/10.1139/facets-2022-0104" TargetMode="External"/><Relationship Id="rId107" Type="http://schemas.openxmlformats.org/officeDocument/2006/relationships/hyperlink" Target="https://doi.org/10.1088/1748-9326/ac5714" TargetMode="External"/><Relationship Id="rId289" Type="http://schemas.openxmlformats.org/officeDocument/2006/relationships/hyperlink" Target="https://doi.org/10.1016/j.jglr.2018.07.014" TargetMode="External"/><Relationship Id="rId454" Type="http://schemas.openxmlformats.org/officeDocument/2006/relationships/hyperlink" Target="https://doi.org/10.1139/facets-2022-0104" TargetMode="External"/><Relationship Id="rId496" Type="http://schemas.openxmlformats.org/officeDocument/2006/relationships/hyperlink" Target="https://doi.org/10.1007/s10661-019-7297-3" TargetMode="External"/><Relationship Id="rId11" Type="http://schemas.openxmlformats.org/officeDocument/2006/relationships/hyperlink" Target="https://doi.org/10.1139/FACETS-2019-0042" TargetMode="External"/><Relationship Id="rId53" Type="http://schemas.openxmlformats.org/officeDocument/2006/relationships/hyperlink" Target="https://doi.org/10.1016/j.marpolbul.2013.10.007" TargetMode="External"/><Relationship Id="rId149" Type="http://schemas.openxmlformats.org/officeDocument/2006/relationships/hyperlink" Target="https://doi.org/10.1088/1748-9326/ac5714" TargetMode="External"/><Relationship Id="rId314" Type="http://schemas.openxmlformats.org/officeDocument/2006/relationships/hyperlink" Target="https://doi.org/10.1016/j.marpolbul.2013.12.035" TargetMode="External"/><Relationship Id="rId356" Type="http://schemas.openxmlformats.org/officeDocument/2006/relationships/hyperlink" Target="https://doi.org/10.1016/j.marpolbul.2022.114273" TargetMode="External"/><Relationship Id="rId398" Type="http://schemas.openxmlformats.org/officeDocument/2006/relationships/hyperlink" Target="https://doi.org/10.1139/cjfas-2014-0281" TargetMode="External"/><Relationship Id="rId521" Type="http://schemas.openxmlformats.org/officeDocument/2006/relationships/hyperlink" Target="https://doi.org/10.1016/j.scitotenv.2021.146809" TargetMode="External"/><Relationship Id="rId563" Type="http://schemas.openxmlformats.org/officeDocument/2006/relationships/hyperlink" Target="https://doi.org/10.1021/acsestwater.2c00169" TargetMode="External"/><Relationship Id="rId619" Type="http://schemas.openxmlformats.org/officeDocument/2006/relationships/hyperlink" Target="https://doi.org/10.1021/acs.est.0c06087" TargetMode="External"/><Relationship Id="rId95" Type="http://schemas.openxmlformats.org/officeDocument/2006/relationships/hyperlink" Target="https://doi.org/10.1088/1748-9326/ac5714" TargetMode="External"/><Relationship Id="rId160" Type="http://schemas.openxmlformats.org/officeDocument/2006/relationships/hyperlink" Target="https://doi.org/10.1016/j.jglr.2020.10.007" TargetMode="External"/><Relationship Id="rId216" Type="http://schemas.openxmlformats.org/officeDocument/2006/relationships/hyperlink" Target="https://doi.org/10.1021/acsestwater.5c00080" TargetMode="External"/><Relationship Id="rId423" Type="http://schemas.openxmlformats.org/officeDocument/2006/relationships/hyperlink" Target="https://doi.org/10.1139/facets-2022-0104" TargetMode="External"/><Relationship Id="rId258" Type="http://schemas.openxmlformats.org/officeDocument/2006/relationships/hyperlink" Target="https://doi.org/10.1021/acsestwater.5c00080" TargetMode="External"/><Relationship Id="rId465" Type="http://schemas.openxmlformats.org/officeDocument/2006/relationships/hyperlink" Target="https://doi.org/10.1139/facets-2022-0104" TargetMode="External"/><Relationship Id="rId630" Type="http://schemas.openxmlformats.org/officeDocument/2006/relationships/hyperlink" Target="https://doi.org/10.1021/acs.est.0c06087" TargetMode="External"/><Relationship Id="rId22" Type="http://schemas.openxmlformats.org/officeDocument/2006/relationships/hyperlink" Target="https://doi.org/10.1139/FACETS-2019-0042" TargetMode="External"/><Relationship Id="rId64" Type="http://schemas.openxmlformats.org/officeDocument/2006/relationships/hyperlink" Target="https://doi.org/10.1016/j.marpolbul.2013.10.007" TargetMode="External"/><Relationship Id="rId118" Type="http://schemas.openxmlformats.org/officeDocument/2006/relationships/hyperlink" Target="https://doi.org/10.1088/1748-9326/ac5714" TargetMode="External"/><Relationship Id="rId325" Type="http://schemas.openxmlformats.org/officeDocument/2006/relationships/hyperlink" Target="https://doi.org/10.1016/j.marpolbul.2013.12.035" TargetMode="External"/><Relationship Id="rId367" Type="http://schemas.openxmlformats.org/officeDocument/2006/relationships/hyperlink" Target="https://doi.org/10.1016/j.marpolbul.2022.114273" TargetMode="External"/><Relationship Id="rId532" Type="http://schemas.openxmlformats.org/officeDocument/2006/relationships/hyperlink" Target="https://doi.org/10.1016/j.scitotenv.2025.180762" TargetMode="External"/><Relationship Id="rId574" Type="http://schemas.openxmlformats.org/officeDocument/2006/relationships/hyperlink" Target="https://www.sciencedirect.com/science/article/pii/S0048969721006045?via%3Dihub" TargetMode="External"/><Relationship Id="rId171" Type="http://schemas.openxmlformats.org/officeDocument/2006/relationships/hyperlink" Target="https://doi.org/10.1016/j.jglr.2020.10.007" TargetMode="External"/><Relationship Id="rId227" Type="http://schemas.openxmlformats.org/officeDocument/2006/relationships/hyperlink" Target="https://doi.org/10.1021/acsestwater.5c00080" TargetMode="External"/><Relationship Id="rId269" Type="http://schemas.openxmlformats.org/officeDocument/2006/relationships/hyperlink" Target="https://doi.org/10.1021/acsestwater.5c00080" TargetMode="External"/><Relationship Id="rId434" Type="http://schemas.openxmlformats.org/officeDocument/2006/relationships/hyperlink" Target="https://doi.org/10.1139/facets-2022-0104" TargetMode="External"/><Relationship Id="rId476" Type="http://schemas.openxmlformats.org/officeDocument/2006/relationships/hyperlink" Target="https://doi.org/10.1371/journal.pone.0196005" TargetMode="External"/><Relationship Id="rId33" Type="http://schemas.openxmlformats.org/officeDocument/2006/relationships/hyperlink" Target="https://doi.org/10.1139/FACETS-2019-0042" TargetMode="External"/><Relationship Id="rId129" Type="http://schemas.openxmlformats.org/officeDocument/2006/relationships/hyperlink" Target="https://doi.org/10.1088/1748-9326/ac5714" TargetMode="External"/><Relationship Id="rId280" Type="http://schemas.openxmlformats.org/officeDocument/2006/relationships/hyperlink" Target="https://doi.org/10.1016/j.jglr.2018.07.014" TargetMode="External"/><Relationship Id="rId336" Type="http://schemas.openxmlformats.org/officeDocument/2006/relationships/hyperlink" Target="https://doi.org/10.1021/acsestwater.3c00526" TargetMode="External"/><Relationship Id="rId501" Type="http://schemas.openxmlformats.org/officeDocument/2006/relationships/hyperlink" Target="https://doi.org/10.1007/s10661-019-7297-3" TargetMode="External"/><Relationship Id="rId543" Type="http://schemas.openxmlformats.org/officeDocument/2006/relationships/hyperlink" Target="https://www.sciencedirect.com/science/article/pii/S0048969721006045?via%3Dihub" TargetMode="External"/><Relationship Id="rId75" Type="http://schemas.openxmlformats.org/officeDocument/2006/relationships/hyperlink" Target="https://doi.org/10.1021/acs.est.7b05829" TargetMode="External"/><Relationship Id="rId140" Type="http://schemas.openxmlformats.org/officeDocument/2006/relationships/hyperlink" Target="https://doi.org/10.1088/1748-9326/ac5714" TargetMode="External"/><Relationship Id="rId182" Type="http://schemas.openxmlformats.org/officeDocument/2006/relationships/hyperlink" Target="https://doi.org/10.1016/j.jglr.2020.10.007" TargetMode="External"/><Relationship Id="rId378" Type="http://schemas.openxmlformats.org/officeDocument/2006/relationships/hyperlink" Target="https://doi.org/10.1016/j.marpolbul.2022.114273" TargetMode="External"/><Relationship Id="rId403" Type="http://schemas.openxmlformats.org/officeDocument/2006/relationships/hyperlink" Target="https://doi.org/10.3389/frwa.2022.958130" TargetMode="External"/><Relationship Id="rId585" Type="http://schemas.openxmlformats.org/officeDocument/2006/relationships/hyperlink" Target="https://doi.org/10.3354/aei00316" TargetMode="External"/><Relationship Id="rId6" Type="http://schemas.openxmlformats.org/officeDocument/2006/relationships/hyperlink" Target="https://doi.org/10.1139/as-2023-0041" TargetMode="External"/><Relationship Id="rId238" Type="http://schemas.openxmlformats.org/officeDocument/2006/relationships/hyperlink" Target="https://doi.org/10.1021/acsestwater.5c00080" TargetMode="External"/><Relationship Id="rId445" Type="http://schemas.openxmlformats.org/officeDocument/2006/relationships/hyperlink" Target="https://doi.org/10.1139/facets-2022-0104" TargetMode="External"/><Relationship Id="rId487" Type="http://schemas.openxmlformats.org/officeDocument/2006/relationships/hyperlink" Target="https://doi.org/10.1007/s10661-019-7297-3" TargetMode="External"/><Relationship Id="rId610" Type="http://schemas.openxmlformats.org/officeDocument/2006/relationships/hyperlink" Target="https://doi.org/10.3354/aei00316" TargetMode="External"/><Relationship Id="rId291" Type="http://schemas.openxmlformats.org/officeDocument/2006/relationships/hyperlink" Target="https://doi.org/10.1016/j.jglr.2018.07.014" TargetMode="External"/><Relationship Id="rId305" Type="http://schemas.openxmlformats.org/officeDocument/2006/relationships/hyperlink" Target="https://doi.org/10.1002/etc.5832" TargetMode="External"/><Relationship Id="rId347" Type="http://schemas.openxmlformats.org/officeDocument/2006/relationships/hyperlink" Target="https://doi.org/10.1016/j.scitotenv.2020.140824" TargetMode="External"/><Relationship Id="rId512" Type="http://schemas.openxmlformats.org/officeDocument/2006/relationships/hyperlink" Target="https://doi.org/10.3354/meps13966" TargetMode="External"/><Relationship Id="rId44" Type="http://schemas.openxmlformats.org/officeDocument/2006/relationships/hyperlink" Target="https://doi.org/10.1139/FACETS-2019-0042" TargetMode="External"/><Relationship Id="rId86" Type="http://schemas.openxmlformats.org/officeDocument/2006/relationships/hyperlink" Target="https://doi.org/10.1016/j.jglr.2020.10.007" TargetMode="External"/><Relationship Id="rId151" Type="http://schemas.openxmlformats.org/officeDocument/2006/relationships/hyperlink" Target="https://doi.org/10.1088/1748-9326/ac5714" TargetMode="External"/><Relationship Id="rId389" Type="http://schemas.openxmlformats.org/officeDocument/2006/relationships/hyperlink" Target="https://doi.org/10.1139/cjfas-2014-0281" TargetMode="External"/><Relationship Id="rId554" Type="http://schemas.openxmlformats.org/officeDocument/2006/relationships/hyperlink" Target="https://doi.org/10.1098/rsta.2023.0023" TargetMode="External"/><Relationship Id="rId596" Type="http://schemas.openxmlformats.org/officeDocument/2006/relationships/hyperlink" Target="https://doi.org/10.3354/aei00316" TargetMode="External"/><Relationship Id="rId193" Type="http://schemas.openxmlformats.org/officeDocument/2006/relationships/hyperlink" Target="https://doi.org/10.1016/j.jglr.2020.10.007" TargetMode="External"/><Relationship Id="rId207" Type="http://schemas.openxmlformats.org/officeDocument/2006/relationships/hyperlink" Target="https://doi.org/10.1002/etc.5832" TargetMode="External"/><Relationship Id="rId249" Type="http://schemas.openxmlformats.org/officeDocument/2006/relationships/hyperlink" Target="https://doi.org/10.1021/acsestwater.5c00080" TargetMode="External"/><Relationship Id="rId414" Type="http://schemas.openxmlformats.org/officeDocument/2006/relationships/hyperlink" Target="https://doi.org/10.1139/facets-2022-0104" TargetMode="External"/><Relationship Id="rId456" Type="http://schemas.openxmlformats.org/officeDocument/2006/relationships/hyperlink" Target="https://doi.org/10.1139/facets-2022-0104" TargetMode="External"/><Relationship Id="rId498" Type="http://schemas.openxmlformats.org/officeDocument/2006/relationships/hyperlink" Target="https://doi.org/10.1007/s10661-019-7297-3" TargetMode="External"/><Relationship Id="rId621" Type="http://schemas.openxmlformats.org/officeDocument/2006/relationships/hyperlink" Target="https://doi.org/10.1021/acs.est.0c06087" TargetMode="External"/><Relationship Id="rId13" Type="http://schemas.openxmlformats.org/officeDocument/2006/relationships/hyperlink" Target="https://doi.org/10.1139/FACETS-2019-0042" TargetMode="External"/><Relationship Id="rId109" Type="http://schemas.openxmlformats.org/officeDocument/2006/relationships/hyperlink" Target="https://doi.org/10.1088/1748-9326/ac5714" TargetMode="External"/><Relationship Id="rId260" Type="http://schemas.openxmlformats.org/officeDocument/2006/relationships/hyperlink" Target="https://doi.org/10.1021/acsestwater.5c00080" TargetMode="External"/><Relationship Id="rId316" Type="http://schemas.openxmlformats.org/officeDocument/2006/relationships/hyperlink" Target="https://doi.org/10.1016/j.marpolbul.2013.12.035" TargetMode="External"/><Relationship Id="rId523" Type="http://schemas.openxmlformats.org/officeDocument/2006/relationships/hyperlink" Target="https://doi.org/10.1016/j.scitotenv.2025.180762" TargetMode="External"/><Relationship Id="rId55" Type="http://schemas.openxmlformats.org/officeDocument/2006/relationships/hyperlink" Target="https://doi.org/10.1016/j.marpolbul.2013.10.007" TargetMode="External"/><Relationship Id="rId97" Type="http://schemas.openxmlformats.org/officeDocument/2006/relationships/hyperlink" Target="https://doi.org/10.1088/1748-9326/ac5714" TargetMode="External"/><Relationship Id="rId120" Type="http://schemas.openxmlformats.org/officeDocument/2006/relationships/hyperlink" Target="https://doi.org/10.1088/1748-9326/ac5714" TargetMode="External"/><Relationship Id="rId358" Type="http://schemas.openxmlformats.org/officeDocument/2006/relationships/hyperlink" Target="https://doi.org/10.1016/j.marpolbul.2022.114273" TargetMode="External"/><Relationship Id="rId565" Type="http://schemas.openxmlformats.org/officeDocument/2006/relationships/hyperlink" Target="https://doi.org/10.1021/acsestwater.2c00169" TargetMode="External"/><Relationship Id="rId162" Type="http://schemas.openxmlformats.org/officeDocument/2006/relationships/hyperlink" Target="https://doi.org/10.1016/j.jglr.2020.10.007" TargetMode="External"/><Relationship Id="rId218" Type="http://schemas.openxmlformats.org/officeDocument/2006/relationships/hyperlink" Target="https://doi.org/10.1016/j.scitotenv.2020.140824" TargetMode="External"/><Relationship Id="rId425" Type="http://schemas.openxmlformats.org/officeDocument/2006/relationships/hyperlink" Target="https://doi.org/10.1139/facets-2022-0104" TargetMode="External"/><Relationship Id="rId467" Type="http://schemas.openxmlformats.org/officeDocument/2006/relationships/hyperlink" Target="https://doi.org/10.1139/facets-2022-0104" TargetMode="External"/><Relationship Id="rId632" Type="http://schemas.openxmlformats.org/officeDocument/2006/relationships/hyperlink" Target="https://doi.org/10.1021/acs.est.0c06087" TargetMode="External"/><Relationship Id="rId271" Type="http://schemas.openxmlformats.org/officeDocument/2006/relationships/hyperlink" Target="https://doi.org/10.1021/acsestwater.5c00080" TargetMode="External"/><Relationship Id="rId24" Type="http://schemas.openxmlformats.org/officeDocument/2006/relationships/hyperlink" Target="https://doi.org/10.1139/FACETS-2019-0042" TargetMode="External"/><Relationship Id="rId66" Type="http://schemas.openxmlformats.org/officeDocument/2006/relationships/hyperlink" Target="https://doi.org/10.1016/j.marpolbul.2013.10.007" TargetMode="External"/><Relationship Id="rId131" Type="http://schemas.openxmlformats.org/officeDocument/2006/relationships/hyperlink" Target="https://doi.org/10.1088/1748-9326/ac5714" TargetMode="External"/><Relationship Id="rId327" Type="http://schemas.openxmlformats.org/officeDocument/2006/relationships/hyperlink" Target="https://doi.org/10.1016/j.marpolbul.2013.12.035" TargetMode="External"/><Relationship Id="rId369" Type="http://schemas.openxmlformats.org/officeDocument/2006/relationships/hyperlink" Target="https://doi.org/10.1016/j.marpolbul.2022.114273" TargetMode="External"/><Relationship Id="rId534" Type="http://schemas.openxmlformats.org/officeDocument/2006/relationships/hyperlink" Target="https://doi.org/10.1016/j.scitotenv.2025.180762" TargetMode="External"/><Relationship Id="rId576" Type="http://schemas.openxmlformats.org/officeDocument/2006/relationships/hyperlink" Target="https://www.sciencedirect.com/science/article/pii/S0048969721006045?via%3Dihub" TargetMode="External"/><Relationship Id="rId173" Type="http://schemas.openxmlformats.org/officeDocument/2006/relationships/hyperlink" Target="https://doi.org/10.1016/j.jglr.2020.10.007" TargetMode="External"/><Relationship Id="rId229" Type="http://schemas.openxmlformats.org/officeDocument/2006/relationships/hyperlink" Target="https://doi.org/10.1021/acsestwater.5c00080" TargetMode="External"/><Relationship Id="rId380" Type="http://schemas.openxmlformats.org/officeDocument/2006/relationships/hyperlink" Target="https://doi.org/10.1016/j.marpolbul.2022.114273" TargetMode="External"/><Relationship Id="rId436" Type="http://schemas.openxmlformats.org/officeDocument/2006/relationships/hyperlink" Target="https://doi.org/10.1139/facets-2022-0104" TargetMode="External"/><Relationship Id="rId601" Type="http://schemas.openxmlformats.org/officeDocument/2006/relationships/hyperlink" Target="https://doi.org/10.3354/aei00316" TargetMode="External"/><Relationship Id="rId240" Type="http://schemas.openxmlformats.org/officeDocument/2006/relationships/hyperlink" Target="https://doi.org/10.1021/acsestwater.5c00080" TargetMode="External"/><Relationship Id="rId478" Type="http://schemas.openxmlformats.org/officeDocument/2006/relationships/hyperlink" Target="https://doi.org/10.1007/s10661-019-7297-3" TargetMode="External"/><Relationship Id="rId35" Type="http://schemas.openxmlformats.org/officeDocument/2006/relationships/hyperlink" Target="https://doi.org/10.1139/FACETS-2019-0042" TargetMode="External"/><Relationship Id="rId77" Type="http://schemas.openxmlformats.org/officeDocument/2006/relationships/hyperlink" Target="https://doi.org/10.1021/acs.est.7b05829" TargetMode="External"/><Relationship Id="rId100" Type="http://schemas.openxmlformats.org/officeDocument/2006/relationships/hyperlink" Target="https://doi.org/10.1088/1748-9326/ac5714" TargetMode="External"/><Relationship Id="rId282" Type="http://schemas.openxmlformats.org/officeDocument/2006/relationships/hyperlink" Target="https://doi.org/10.1016/j.jglr.2018.07.014" TargetMode="External"/><Relationship Id="rId338" Type="http://schemas.openxmlformats.org/officeDocument/2006/relationships/hyperlink" Target="https://doi.org/10.1021/acsestwater.3c00526" TargetMode="External"/><Relationship Id="rId503" Type="http://schemas.openxmlformats.org/officeDocument/2006/relationships/hyperlink" Target="https://doi.org/10.1016/j.scitotenv.2025.180762" TargetMode="External"/><Relationship Id="rId545" Type="http://schemas.openxmlformats.org/officeDocument/2006/relationships/hyperlink" Target="https://www.sciencedirect.com/science/article/pii/S0048969721006045?via%3Dihub" TargetMode="External"/><Relationship Id="rId587" Type="http://schemas.openxmlformats.org/officeDocument/2006/relationships/hyperlink" Target="https://doi.org/10.3354/aei00316" TargetMode="External"/><Relationship Id="rId8" Type="http://schemas.openxmlformats.org/officeDocument/2006/relationships/hyperlink" Target="https://doi.org/10.1139/FACETS-2019-0042" TargetMode="External"/><Relationship Id="rId142" Type="http://schemas.openxmlformats.org/officeDocument/2006/relationships/hyperlink" Target="https://doi.org/10.1088/1748-9326/ac5714" TargetMode="External"/><Relationship Id="rId184" Type="http://schemas.openxmlformats.org/officeDocument/2006/relationships/hyperlink" Target="https://doi.org/10.1016/j.jglr.2020.10.007" TargetMode="External"/><Relationship Id="rId391" Type="http://schemas.openxmlformats.org/officeDocument/2006/relationships/hyperlink" Target="https://doi.org/10.1139/cjfas-2014-0281" TargetMode="External"/><Relationship Id="rId405" Type="http://schemas.openxmlformats.org/officeDocument/2006/relationships/hyperlink" Target="https://doi.org/10.3389/frwa.2022.958130" TargetMode="External"/><Relationship Id="rId447" Type="http://schemas.openxmlformats.org/officeDocument/2006/relationships/hyperlink" Target="https://doi.org/10.1139/facets-2022-0104" TargetMode="External"/><Relationship Id="rId612" Type="http://schemas.openxmlformats.org/officeDocument/2006/relationships/hyperlink" Target="https://doi.org/10.3354/aei00316" TargetMode="External"/><Relationship Id="rId251" Type="http://schemas.openxmlformats.org/officeDocument/2006/relationships/hyperlink" Target="https://doi.org/10.1021/acsestwater.5c00080" TargetMode="External"/><Relationship Id="rId489" Type="http://schemas.openxmlformats.org/officeDocument/2006/relationships/hyperlink" Target="https://doi.org/10.1007/s10661-019-7297-3" TargetMode="External"/><Relationship Id="rId46" Type="http://schemas.openxmlformats.org/officeDocument/2006/relationships/hyperlink" Target="https://doi.org/10.1139/FACETS-2019-0042" TargetMode="External"/><Relationship Id="rId293" Type="http://schemas.openxmlformats.org/officeDocument/2006/relationships/hyperlink" Target="https://doi.org/10.1016/j.jglr.2018.07.014" TargetMode="External"/><Relationship Id="rId307" Type="http://schemas.openxmlformats.org/officeDocument/2006/relationships/hyperlink" Target="https://doi.org/10.1002/etc.5832" TargetMode="External"/><Relationship Id="rId349" Type="http://schemas.openxmlformats.org/officeDocument/2006/relationships/hyperlink" Target="https://doi.org/10.1016/j.scitotenv.2020.140824" TargetMode="External"/><Relationship Id="rId514" Type="http://schemas.openxmlformats.org/officeDocument/2006/relationships/hyperlink" Target="https://doi.org/10.1016/j.scitotenv.2021.146809" TargetMode="External"/><Relationship Id="rId556" Type="http://schemas.openxmlformats.org/officeDocument/2006/relationships/hyperlink" Target="https://doi.org/10.13140/RG.2.2.27753.98401" TargetMode="External"/><Relationship Id="rId88" Type="http://schemas.openxmlformats.org/officeDocument/2006/relationships/hyperlink" Target="https://doi.org/10.1088/1748-9326/ac5714" TargetMode="External"/><Relationship Id="rId111" Type="http://schemas.openxmlformats.org/officeDocument/2006/relationships/hyperlink" Target="https://doi.org/10.1088/1748-9326/ac5714" TargetMode="External"/><Relationship Id="rId153" Type="http://schemas.openxmlformats.org/officeDocument/2006/relationships/hyperlink" Target="https://doi.org/10.1016/j.jglr.2020.10.007" TargetMode="External"/><Relationship Id="rId195" Type="http://schemas.openxmlformats.org/officeDocument/2006/relationships/hyperlink" Target="https://doi.org/10.1016/j.jglr.2020.10.007" TargetMode="External"/><Relationship Id="rId209" Type="http://schemas.openxmlformats.org/officeDocument/2006/relationships/hyperlink" Target="https://doi.org/10.1093/etojnl/vgae044" TargetMode="External"/><Relationship Id="rId360" Type="http://schemas.openxmlformats.org/officeDocument/2006/relationships/hyperlink" Target="https://doi.org/10.1016/j.marpolbul.2022.114273" TargetMode="External"/><Relationship Id="rId416" Type="http://schemas.openxmlformats.org/officeDocument/2006/relationships/hyperlink" Target="https://doi.org/10.1139/facets-2022-0104" TargetMode="External"/><Relationship Id="rId598" Type="http://schemas.openxmlformats.org/officeDocument/2006/relationships/hyperlink" Target="https://doi.org/10.3354/aei00316" TargetMode="External"/><Relationship Id="rId220" Type="http://schemas.openxmlformats.org/officeDocument/2006/relationships/hyperlink" Target="https://doi.org/10.1021/acsestwater.5c00080" TargetMode="External"/><Relationship Id="rId458" Type="http://schemas.openxmlformats.org/officeDocument/2006/relationships/hyperlink" Target="https://doi.org/10.1139/facets-2022-0104" TargetMode="External"/><Relationship Id="rId623" Type="http://schemas.openxmlformats.org/officeDocument/2006/relationships/hyperlink" Target="https://doi.org/10.1021/acs.est.0c06087" TargetMode="External"/><Relationship Id="rId15" Type="http://schemas.openxmlformats.org/officeDocument/2006/relationships/hyperlink" Target="https://doi.org/10.1139/FACETS-2019-0042" TargetMode="External"/><Relationship Id="rId57" Type="http://schemas.openxmlformats.org/officeDocument/2006/relationships/hyperlink" Target="https://doi.org/10.1016/j.marpolbul.2013.10.007" TargetMode="External"/><Relationship Id="rId262" Type="http://schemas.openxmlformats.org/officeDocument/2006/relationships/hyperlink" Target="https://doi.org/10.1021/acsestwater.5c00080" TargetMode="External"/><Relationship Id="rId318" Type="http://schemas.openxmlformats.org/officeDocument/2006/relationships/hyperlink" Target="https://doi.org/10.1016/j.marpolbul.2013.12.035" TargetMode="External"/><Relationship Id="rId525" Type="http://schemas.openxmlformats.org/officeDocument/2006/relationships/hyperlink" Target="https://www.sciencedirect.com/science/article/pii/S0304389425038385?via%3Dihub" TargetMode="External"/><Relationship Id="rId567" Type="http://schemas.openxmlformats.org/officeDocument/2006/relationships/hyperlink" Target="https://doi.org/10.5203/pmuser.201730578" TargetMode="External"/><Relationship Id="rId99" Type="http://schemas.openxmlformats.org/officeDocument/2006/relationships/hyperlink" Target="https://doi.org/10.1088/1748-9326/ac5714" TargetMode="External"/><Relationship Id="rId122" Type="http://schemas.openxmlformats.org/officeDocument/2006/relationships/hyperlink" Target="https://doi.org/10.1088/1748-9326/ac5714" TargetMode="External"/><Relationship Id="rId164" Type="http://schemas.openxmlformats.org/officeDocument/2006/relationships/hyperlink" Target="https://doi.org/10.1016/j.jglr.2020.10.007" TargetMode="External"/><Relationship Id="rId371" Type="http://schemas.openxmlformats.org/officeDocument/2006/relationships/hyperlink" Target="https://doi.org/10.1016/j.marpolbul.2022.114273" TargetMode="External"/><Relationship Id="rId427" Type="http://schemas.openxmlformats.org/officeDocument/2006/relationships/hyperlink" Target="https://doi.org/10.1139/facets-2022-0104" TargetMode="External"/><Relationship Id="rId469" Type="http://schemas.openxmlformats.org/officeDocument/2006/relationships/hyperlink" Target="https://doi.org/10.1139/facets-2022-0104" TargetMode="External"/><Relationship Id="rId634" Type="http://schemas.openxmlformats.org/officeDocument/2006/relationships/hyperlink" Target="https://doi.org/10.1021/acs.est.0c06087" TargetMode="External"/><Relationship Id="rId26" Type="http://schemas.openxmlformats.org/officeDocument/2006/relationships/hyperlink" Target="https://doi.org/10.1139/FACETS-2019-0042" TargetMode="External"/><Relationship Id="rId231" Type="http://schemas.openxmlformats.org/officeDocument/2006/relationships/hyperlink" Target="https://doi.org/10.1021/acsestwater.5c00080" TargetMode="External"/><Relationship Id="rId273" Type="http://schemas.openxmlformats.org/officeDocument/2006/relationships/hyperlink" Target="https://doi.org/10.1021/acsestwater.5c00080" TargetMode="External"/><Relationship Id="rId329" Type="http://schemas.openxmlformats.org/officeDocument/2006/relationships/hyperlink" Target="https://doi.org/10.1016/j.marpolbul.2013.12.035" TargetMode="External"/><Relationship Id="rId480" Type="http://schemas.openxmlformats.org/officeDocument/2006/relationships/hyperlink" Target="https://doi.org/10.1007/s10661-019-7297-3" TargetMode="External"/><Relationship Id="rId536" Type="http://schemas.openxmlformats.org/officeDocument/2006/relationships/hyperlink" Target="https://doi.org/10.1016/j.scitotenv.2025.180762" TargetMode="External"/><Relationship Id="rId68" Type="http://schemas.openxmlformats.org/officeDocument/2006/relationships/hyperlink" Target="https://doi.org/10.1016/j.marpolbul.2013.10.007" TargetMode="External"/><Relationship Id="rId133" Type="http://schemas.openxmlformats.org/officeDocument/2006/relationships/hyperlink" Target="https://doi.org/10.1088/1748-9326/ac5714" TargetMode="External"/><Relationship Id="rId175" Type="http://schemas.openxmlformats.org/officeDocument/2006/relationships/hyperlink" Target="https://doi.org/10.1016/j.jglr.2020.10.007" TargetMode="External"/><Relationship Id="rId340" Type="http://schemas.openxmlformats.org/officeDocument/2006/relationships/hyperlink" Target="https://doi.org/10.1021/acsestwater.3c00526" TargetMode="External"/><Relationship Id="rId578" Type="http://schemas.openxmlformats.org/officeDocument/2006/relationships/hyperlink" Target="https://www.sciencedirect.com/science/article/pii/S0048969721006045?via%3Dihub" TargetMode="External"/><Relationship Id="rId200" Type="http://schemas.openxmlformats.org/officeDocument/2006/relationships/hyperlink" Target="https://doi.org/10.1002/etc.5832" TargetMode="External"/><Relationship Id="rId382" Type="http://schemas.openxmlformats.org/officeDocument/2006/relationships/hyperlink" Target="https://doi.org/10.1016/j.marpolbul.2022.114273" TargetMode="External"/><Relationship Id="rId438" Type="http://schemas.openxmlformats.org/officeDocument/2006/relationships/hyperlink" Target="https://doi.org/10.1139/facets-2022-0104" TargetMode="External"/><Relationship Id="rId603" Type="http://schemas.openxmlformats.org/officeDocument/2006/relationships/hyperlink" Target="https://doi.org/10.3354/aei00316" TargetMode="External"/><Relationship Id="rId242" Type="http://schemas.openxmlformats.org/officeDocument/2006/relationships/hyperlink" Target="https://doi.org/10.1021/acsestwater.5c00080" TargetMode="External"/><Relationship Id="rId284" Type="http://schemas.openxmlformats.org/officeDocument/2006/relationships/hyperlink" Target="https://doi.org/10.1016/j.jglr.2018.07.014" TargetMode="External"/><Relationship Id="rId491" Type="http://schemas.openxmlformats.org/officeDocument/2006/relationships/hyperlink" Target="https://doi.org/10.1007/s10661-019-7297-3" TargetMode="External"/><Relationship Id="rId505" Type="http://schemas.openxmlformats.org/officeDocument/2006/relationships/hyperlink" Target="https://doi.org/10.1098/rsta.2023.0023" TargetMode="External"/><Relationship Id="rId37" Type="http://schemas.openxmlformats.org/officeDocument/2006/relationships/hyperlink" Target="https://doi.org/10.1139/FACETS-2019-0042" TargetMode="External"/><Relationship Id="rId79" Type="http://schemas.openxmlformats.org/officeDocument/2006/relationships/hyperlink" Target="https://doi.org/10.1021/acs.est.7b05829" TargetMode="External"/><Relationship Id="rId102" Type="http://schemas.openxmlformats.org/officeDocument/2006/relationships/hyperlink" Target="https://doi.org/10.1088/1748-9326/ac5714" TargetMode="External"/><Relationship Id="rId144" Type="http://schemas.openxmlformats.org/officeDocument/2006/relationships/hyperlink" Target="https://doi.org/10.1088/1748-9326/ac5714" TargetMode="External"/><Relationship Id="rId547" Type="http://schemas.openxmlformats.org/officeDocument/2006/relationships/hyperlink" Target="https://www.sciencedirect.com/science/article/pii/S0048969721006045?via%3Dihub" TargetMode="External"/><Relationship Id="rId589" Type="http://schemas.openxmlformats.org/officeDocument/2006/relationships/hyperlink" Target="https://doi.org/10.3354/aei00316" TargetMode="External"/><Relationship Id="rId90" Type="http://schemas.openxmlformats.org/officeDocument/2006/relationships/hyperlink" Target="https://doi.org/10.1088/1748-9326/ac5714" TargetMode="External"/><Relationship Id="rId186" Type="http://schemas.openxmlformats.org/officeDocument/2006/relationships/hyperlink" Target="https://doi.org/10.1016/j.jglr.2020.10.007" TargetMode="External"/><Relationship Id="rId351" Type="http://schemas.openxmlformats.org/officeDocument/2006/relationships/hyperlink" Target="https://doi.org/10.1016/j.scitotenv.2020.140824" TargetMode="External"/><Relationship Id="rId393" Type="http://schemas.openxmlformats.org/officeDocument/2006/relationships/hyperlink" Target="https://doi.org/10.1139/cjfas-2014-0281" TargetMode="External"/><Relationship Id="rId407" Type="http://schemas.openxmlformats.org/officeDocument/2006/relationships/hyperlink" Target="https://doi.org/10.3389/frwa.2022.958130" TargetMode="External"/><Relationship Id="rId449" Type="http://schemas.openxmlformats.org/officeDocument/2006/relationships/hyperlink" Target="https://doi.org/10.1139/facets-2022-0104" TargetMode="External"/><Relationship Id="rId614" Type="http://schemas.openxmlformats.org/officeDocument/2006/relationships/hyperlink" Target="https://doi.org/10.1021/acs.est.0c06087" TargetMode="External"/><Relationship Id="rId211" Type="http://schemas.openxmlformats.org/officeDocument/2006/relationships/hyperlink" Target="https://doi.org/10.1007/s11270-011-0760-6" TargetMode="External"/><Relationship Id="rId253" Type="http://schemas.openxmlformats.org/officeDocument/2006/relationships/hyperlink" Target="https://doi.org/10.1021/acsestwater.5c00080" TargetMode="External"/><Relationship Id="rId295" Type="http://schemas.openxmlformats.org/officeDocument/2006/relationships/hyperlink" Target="https://doi.org/10.1016/j.jglr.2018.07.014" TargetMode="External"/><Relationship Id="rId309" Type="http://schemas.openxmlformats.org/officeDocument/2006/relationships/hyperlink" Target="https://doi.org/10.1016/j.marpolbul.2013.12.035" TargetMode="External"/><Relationship Id="rId460" Type="http://schemas.openxmlformats.org/officeDocument/2006/relationships/hyperlink" Target="https://doi.org/10.1139/facets-2022-0104" TargetMode="External"/><Relationship Id="rId516" Type="http://schemas.openxmlformats.org/officeDocument/2006/relationships/hyperlink" Target="https://doi.org/10.1016/j.scitotenv.2021.146809" TargetMode="External"/><Relationship Id="rId48" Type="http://schemas.openxmlformats.org/officeDocument/2006/relationships/hyperlink" Target="https://doi.org/10.1139/FACETS-2019-0042" TargetMode="External"/><Relationship Id="rId113" Type="http://schemas.openxmlformats.org/officeDocument/2006/relationships/hyperlink" Target="https://doi.org/10.1088/1748-9326/ac5714" TargetMode="External"/><Relationship Id="rId320" Type="http://schemas.openxmlformats.org/officeDocument/2006/relationships/hyperlink" Target="https://doi.org/10.1016/j.marpolbul.2013.12.035" TargetMode="External"/><Relationship Id="rId558" Type="http://schemas.openxmlformats.org/officeDocument/2006/relationships/hyperlink" Target="https://doi.org/10.1021/acsestwater.2c00169" TargetMode="External"/><Relationship Id="rId155" Type="http://schemas.openxmlformats.org/officeDocument/2006/relationships/hyperlink" Target="https://doi.org/10.1016/j.jglr.2020.10.007" TargetMode="External"/><Relationship Id="rId197" Type="http://schemas.openxmlformats.org/officeDocument/2006/relationships/hyperlink" Target="https://doi.org/10.1016/j.jglr.2020.10.007" TargetMode="External"/><Relationship Id="rId362" Type="http://schemas.openxmlformats.org/officeDocument/2006/relationships/hyperlink" Target="https://doi.org/10.1016/j.marpolbul.2022.114273" TargetMode="External"/><Relationship Id="rId418" Type="http://schemas.openxmlformats.org/officeDocument/2006/relationships/hyperlink" Target="https://doi.org/10.1139/facets-2022-0104" TargetMode="External"/><Relationship Id="rId625" Type="http://schemas.openxmlformats.org/officeDocument/2006/relationships/hyperlink" Target="https://doi.org/10.1021/acs.est.0c06087" TargetMode="External"/><Relationship Id="rId222" Type="http://schemas.openxmlformats.org/officeDocument/2006/relationships/hyperlink" Target="https://doi.org/10.1021/acsestwater.5c00080" TargetMode="External"/><Relationship Id="rId264" Type="http://schemas.openxmlformats.org/officeDocument/2006/relationships/hyperlink" Target="https://doi.org/10.1021/acsestwater.5c00080" TargetMode="External"/><Relationship Id="rId471" Type="http://schemas.openxmlformats.org/officeDocument/2006/relationships/hyperlink" Target="https://doi.org/10.1139/facets-2022-0104" TargetMode="External"/><Relationship Id="rId17" Type="http://schemas.openxmlformats.org/officeDocument/2006/relationships/hyperlink" Target="https://doi.org/10.1139/FACETS-2019-0042" TargetMode="External"/><Relationship Id="rId59" Type="http://schemas.openxmlformats.org/officeDocument/2006/relationships/hyperlink" Target="https://doi.org/10.1016/j.marpolbul.2013.10.007" TargetMode="External"/><Relationship Id="rId124" Type="http://schemas.openxmlformats.org/officeDocument/2006/relationships/hyperlink" Target="https://doi.org/10.1088/1748-9326/ac5714" TargetMode="External"/><Relationship Id="rId527" Type="http://schemas.openxmlformats.org/officeDocument/2006/relationships/hyperlink" Target="https://www.sciencedirect.com/science/article/pii/S0304389425038385?via%3Dihub" TargetMode="External"/><Relationship Id="rId569" Type="http://schemas.openxmlformats.org/officeDocument/2006/relationships/hyperlink" Target="https://doi.org/10.5203/pmuser.201730578" TargetMode="External"/><Relationship Id="rId70" Type="http://schemas.openxmlformats.org/officeDocument/2006/relationships/hyperlink" Target="https://doi.org/10.1016/j.marpolbul.2013.10.007" TargetMode="External"/><Relationship Id="rId166" Type="http://schemas.openxmlformats.org/officeDocument/2006/relationships/hyperlink" Target="https://doi.org/10.1016/j.jglr.2020.10.007" TargetMode="External"/><Relationship Id="rId331" Type="http://schemas.openxmlformats.org/officeDocument/2006/relationships/hyperlink" Target="https://doi.org/10.1016/j.marpolbul.2013.12.035" TargetMode="External"/><Relationship Id="rId373" Type="http://schemas.openxmlformats.org/officeDocument/2006/relationships/hyperlink" Target="https://doi.org/10.1016/j.marpolbul.2022.114273" TargetMode="External"/><Relationship Id="rId429" Type="http://schemas.openxmlformats.org/officeDocument/2006/relationships/hyperlink" Target="https://doi.org/10.1139/facets-2022-0104" TargetMode="External"/><Relationship Id="rId580" Type="http://schemas.openxmlformats.org/officeDocument/2006/relationships/hyperlink" Target="https://www.sciencedirect.com/science/article/pii/S0048969721006045?via%3Dihub" TargetMode="External"/><Relationship Id="rId636" Type="http://schemas.openxmlformats.org/officeDocument/2006/relationships/hyperlink" Target="https://doi.org/10.1021/acs.est.0c06087" TargetMode="External"/><Relationship Id="rId1" Type="http://schemas.openxmlformats.org/officeDocument/2006/relationships/hyperlink" Target="https://doi.org/10.1016/j.marpolbul.2022.113869" TargetMode="External"/><Relationship Id="rId233" Type="http://schemas.openxmlformats.org/officeDocument/2006/relationships/hyperlink" Target="https://doi.org/10.1021/acsestwater.5c00080" TargetMode="External"/><Relationship Id="rId440" Type="http://schemas.openxmlformats.org/officeDocument/2006/relationships/hyperlink" Target="https://doi.org/10.1139/facets-2022-0104" TargetMode="External"/><Relationship Id="rId28" Type="http://schemas.openxmlformats.org/officeDocument/2006/relationships/hyperlink" Target="https://doi.org/10.1139/FACETS-2019-0042" TargetMode="External"/><Relationship Id="rId275" Type="http://schemas.openxmlformats.org/officeDocument/2006/relationships/hyperlink" Target="https://doi.org/10.1021/acsestwater.5c00080" TargetMode="External"/><Relationship Id="rId300" Type="http://schemas.openxmlformats.org/officeDocument/2006/relationships/hyperlink" Target="https://doi.org/10.1016/j.jglr.2018.07.014" TargetMode="External"/><Relationship Id="rId482" Type="http://schemas.openxmlformats.org/officeDocument/2006/relationships/hyperlink" Target="https://doi.org/10.1007/s10661-019-7297-3" TargetMode="External"/><Relationship Id="rId538" Type="http://schemas.openxmlformats.org/officeDocument/2006/relationships/hyperlink" Target="https://doi.org/10.1016/j.scitotenv.2025.180762" TargetMode="External"/><Relationship Id="rId81" Type="http://schemas.openxmlformats.org/officeDocument/2006/relationships/hyperlink" Target="https://doi.org/10.1021/acs.est.7b05829" TargetMode="External"/><Relationship Id="rId135" Type="http://schemas.openxmlformats.org/officeDocument/2006/relationships/hyperlink" Target="https://doi.org/10.1088/1748-9326/ac5714" TargetMode="External"/><Relationship Id="rId177" Type="http://schemas.openxmlformats.org/officeDocument/2006/relationships/hyperlink" Target="https://doi.org/10.1016/j.jglr.2020.10.007" TargetMode="External"/><Relationship Id="rId342" Type="http://schemas.openxmlformats.org/officeDocument/2006/relationships/hyperlink" Target="https://doi.org/10.1016/j.scitotenv.2020.140824" TargetMode="External"/><Relationship Id="rId384" Type="http://schemas.openxmlformats.org/officeDocument/2006/relationships/hyperlink" Target="https://doi.org/10.1016/j.marpolbul.2022.114273" TargetMode="External"/><Relationship Id="rId591" Type="http://schemas.openxmlformats.org/officeDocument/2006/relationships/hyperlink" Target="https://doi.org/10.3354/aei00316" TargetMode="External"/><Relationship Id="rId605" Type="http://schemas.openxmlformats.org/officeDocument/2006/relationships/hyperlink" Target="https://doi.org/10.3354/aei00316" TargetMode="External"/><Relationship Id="rId202" Type="http://schemas.openxmlformats.org/officeDocument/2006/relationships/hyperlink" Target="https://doi.org/10.1002/etc.5832" TargetMode="External"/><Relationship Id="rId244" Type="http://schemas.openxmlformats.org/officeDocument/2006/relationships/hyperlink" Target="https://doi.org/10.1021/acsestwater.5c00080" TargetMode="External"/><Relationship Id="rId39" Type="http://schemas.openxmlformats.org/officeDocument/2006/relationships/hyperlink" Target="https://doi.org/10.1139/FACETS-2019-0042" TargetMode="External"/><Relationship Id="rId286" Type="http://schemas.openxmlformats.org/officeDocument/2006/relationships/hyperlink" Target="https://doi.org/10.1016/j.jglr.2018.07.014" TargetMode="External"/><Relationship Id="rId451" Type="http://schemas.openxmlformats.org/officeDocument/2006/relationships/hyperlink" Target="https://doi.org/10.1139/facets-2022-0104" TargetMode="External"/><Relationship Id="rId493" Type="http://schemas.openxmlformats.org/officeDocument/2006/relationships/hyperlink" Target="https://doi.org/10.1007/s10661-019-7297-3" TargetMode="External"/><Relationship Id="rId507" Type="http://schemas.openxmlformats.org/officeDocument/2006/relationships/hyperlink" Target="https://doi.org/10.5203/pmuser.201730578" TargetMode="External"/><Relationship Id="rId549" Type="http://schemas.openxmlformats.org/officeDocument/2006/relationships/hyperlink" Target="https://www.sciencedirect.com/science/article/pii/S0048969721006045?via%3Dihub" TargetMode="External"/><Relationship Id="rId50" Type="http://schemas.openxmlformats.org/officeDocument/2006/relationships/hyperlink" Target="https://doi.org/10.1016/j.marpolbul.2013.10.007" TargetMode="External"/><Relationship Id="rId104" Type="http://schemas.openxmlformats.org/officeDocument/2006/relationships/hyperlink" Target="https://doi.org/10.1088/1748-9326/ac5714" TargetMode="External"/><Relationship Id="rId146" Type="http://schemas.openxmlformats.org/officeDocument/2006/relationships/hyperlink" Target="https://doi.org/10.1088/1748-9326/ac5714" TargetMode="External"/><Relationship Id="rId188" Type="http://schemas.openxmlformats.org/officeDocument/2006/relationships/hyperlink" Target="https://doi.org/10.1016/j.jglr.2020.10.007" TargetMode="External"/><Relationship Id="rId311" Type="http://schemas.openxmlformats.org/officeDocument/2006/relationships/hyperlink" Target="https://doi.org/10.1016/j.marpolbul.2013.12.035" TargetMode="External"/><Relationship Id="rId353" Type="http://schemas.openxmlformats.org/officeDocument/2006/relationships/hyperlink" Target="https://doi.org/10.1016/j.marpolbul.2022.114273" TargetMode="External"/><Relationship Id="rId395" Type="http://schemas.openxmlformats.org/officeDocument/2006/relationships/hyperlink" Target="https://doi.org/10.1139/cjfas-2014-0281" TargetMode="External"/><Relationship Id="rId409" Type="http://schemas.openxmlformats.org/officeDocument/2006/relationships/hyperlink" Target="https://doi.org/10.1139/facets-2022-0104" TargetMode="External"/><Relationship Id="rId560" Type="http://schemas.openxmlformats.org/officeDocument/2006/relationships/hyperlink" Target="https://doi.org/10.1021/acsestwater.2c00169" TargetMode="External"/><Relationship Id="rId92" Type="http://schemas.openxmlformats.org/officeDocument/2006/relationships/hyperlink" Target="https://doi.org/10.1088/1748-9326/ac5714" TargetMode="External"/><Relationship Id="rId213" Type="http://schemas.openxmlformats.org/officeDocument/2006/relationships/hyperlink" Target="https://doi.org/10.1007/s11270-011-0760-6" TargetMode="External"/><Relationship Id="rId420" Type="http://schemas.openxmlformats.org/officeDocument/2006/relationships/hyperlink" Target="https://doi.org/10.1139/facets-2022-0104" TargetMode="External"/><Relationship Id="rId616" Type="http://schemas.openxmlformats.org/officeDocument/2006/relationships/hyperlink" Target="https://doi.org/10.1021/acs.est.0c06087" TargetMode="External"/><Relationship Id="rId255" Type="http://schemas.openxmlformats.org/officeDocument/2006/relationships/hyperlink" Target="https://doi.org/10.1021/acsestwater.5c00080" TargetMode="External"/><Relationship Id="rId297" Type="http://schemas.openxmlformats.org/officeDocument/2006/relationships/hyperlink" Target="https://doi.org/10.1016/j.jglr.2018.07.014" TargetMode="External"/><Relationship Id="rId462" Type="http://schemas.openxmlformats.org/officeDocument/2006/relationships/hyperlink" Target="https://doi.org/10.1139/facets-2022-0104" TargetMode="External"/><Relationship Id="rId518" Type="http://schemas.openxmlformats.org/officeDocument/2006/relationships/hyperlink" Target="https://doi.org/10.1016/j.scitotenv.2021.146809" TargetMode="External"/><Relationship Id="rId115" Type="http://schemas.openxmlformats.org/officeDocument/2006/relationships/hyperlink" Target="https://doi.org/10.1088/1748-9326/ac5714" TargetMode="External"/><Relationship Id="rId157" Type="http://schemas.openxmlformats.org/officeDocument/2006/relationships/hyperlink" Target="https://doi.org/10.1016/j.jglr.2020.10.007" TargetMode="External"/><Relationship Id="rId322" Type="http://schemas.openxmlformats.org/officeDocument/2006/relationships/hyperlink" Target="https://doi.org/10.1016/j.marpolbul.2013.12.035" TargetMode="External"/><Relationship Id="rId364" Type="http://schemas.openxmlformats.org/officeDocument/2006/relationships/hyperlink" Target="https://doi.org/10.1016/j.marpolbul.2022.114273" TargetMode="External"/><Relationship Id="rId61" Type="http://schemas.openxmlformats.org/officeDocument/2006/relationships/hyperlink" Target="https://doi.org/10.1016/j.marpolbul.2013.10.007" TargetMode="External"/><Relationship Id="rId199" Type="http://schemas.openxmlformats.org/officeDocument/2006/relationships/hyperlink" Target="https://doi.org/10.1016/j.jglr.2020.10.007" TargetMode="External"/><Relationship Id="rId571" Type="http://schemas.openxmlformats.org/officeDocument/2006/relationships/hyperlink" Target="https://doi.org/10.5203/pmuser.201730578" TargetMode="External"/><Relationship Id="rId627" Type="http://schemas.openxmlformats.org/officeDocument/2006/relationships/hyperlink" Target="https://doi.org/10.1021/acs.est.0c06087" TargetMode="External"/><Relationship Id="rId19" Type="http://schemas.openxmlformats.org/officeDocument/2006/relationships/hyperlink" Target="https://doi.org/10.1139/FACETS-2019-0042" TargetMode="External"/><Relationship Id="rId224" Type="http://schemas.openxmlformats.org/officeDocument/2006/relationships/hyperlink" Target="https://doi.org/10.1021/acsestwater.5c00080" TargetMode="External"/><Relationship Id="rId266" Type="http://schemas.openxmlformats.org/officeDocument/2006/relationships/hyperlink" Target="https://doi.org/10.1021/acsestwater.5c00080" TargetMode="External"/><Relationship Id="rId431" Type="http://schemas.openxmlformats.org/officeDocument/2006/relationships/hyperlink" Target="https://doi.org/10.1139/facets-2022-0104" TargetMode="External"/><Relationship Id="rId473" Type="http://schemas.openxmlformats.org/officeDocument/2006/relationships/hyperlink" Target="https://doi.org/10.1139/facets-2022-0104" TargetMode="External"/><Relationship Id="rId529" Type="http://schemas.openxmlformats.org/officeDocument/2006/relationships/hyperlink" Target="https://www.sciencedirect.com/science/article/pii/S0304389425038385?via%3Dihub" TargetMode="External"/><Relationship Id="rId30" Type="http://schemas.openxmlformats.org/officeDocument/2006/relationships/hyperlink" Target="https://doi.org/10.1139/FACETS-2019-0042" TargetMode="External"/><Relationship Id="rId126" Type="http://schemas.openxmlformats.org/officeDocument/2006/relationships/hyperlink" Target="https://doi.org/10.1088/1748-9326/ac5714" TargetMode="External"/><Relationship Id="rId168" Type="http://schemas.openxmlformats.org/officeDocument/2006/relationships/hyperlink" Target="https://doi.org/10.1016/j.jglr.2020.10.007" TargetMode="External"/><Relationship Id="rId333" Type="http://schemas.openxmlformats.org/officeDocument/2006/relationships/hyperlink" Target="https://doi.org/10.1021/acsestwater.3c00526" TargetMode="External"/><Relationship Id="rId540" Type="http://schemas.openxmlformats.org/officeDocument/2006/relationships/hyperlink" Target="https://doi.org/10.1016/j.scitotenv.2025.180762" TargetMode="External"/><Relationship Id="rId72" Type="http://schemas.openxmlformats.org/officeDocument/2006/relationships/hyperlink" Target="https://doi.org/10.1021/acs.est.7b05829" TargetMode="External"/><Relationship Id="rId375" Type="http://schemas.openxmlformats.org/officeDocument/2006/relationships/hyperlink" Target="https://doi.org/10.1016/j.marpolbul.2022.114273" TargetMode="External"/><Relationship Id="rId582" Type="http://schemas.openxmlformats.org/officeDocument/2006/relationships/hyperlink" Target="https://www.sciencedirect.com/science/article/pii/S0048969721006045?via%3Dihub" TargetMode="External"/><Relationship Id="rId638" Type="http://schemas.openxmlformats.org/officeDocument/2006/relationships/printerSettings" Target="../printerSettings/printerSettings1.bin"/><Relationship Id="rId3" Type="http://schemas.openxmlformats.org/officeDocument/2006/relationships/hyperlink" Target="https://doi.org/10.1093/etojnl/vgae044" TargetMode="External"/><Relationship Id="rId235" Type="http://schemas.openxmlformats.org/officeDocument/2006/relationships/hyperlink" Target="https://doi.org/10.1021/acsestwater.5c00080" TargetMode="External"/><Relationship Id="rId277" Type="http://schemas.openxmlformats.org/officeDocument/2006/relationships/hyperlink" Target="https://doi.org/10.1021/acsestwater.5c00080" TargetMode="External"/><Relationship Id="rId400" Type="http://schemas.openxmlformats.org/officeDocument/2006/relationships/hyperlink" Target="https://doi.org/10.3389/frwa.2022.958130" TargetMode="External"/><Relationship Id="rId442" Type="http://schemas.openxmlformats.org/officeDocument/2006/relationships/hyperlink" Target="https://doi.org/10.1139/facets-2022-0104" TargetMode="External"/><Relationship Id="rId484" Type="http://schemas.openxmlformats.org/officeDocument/2006/relationships/hyperlink" Target="https://doi.org/10.1007/s10661-019-7297-3" TargetMode="External"/><Relationship Id="rId137" Type="http://schemas.openxmlformats.org/officeDocument/2006/relationships/hyperlink" Target="https://doi.org/10.1088/1748-9326/ac5714" TargetMode="External"/><Relationship Id="rId302" Type="http://schemas.openxmlformats.org/officeDocument/2006/relationships/hyperlink" Target="https://doi.org/10.1016/j.scitotenv.2020.140824" TargetMode="External"/><Relationship Id="rId344" Type="http://schemas.openxmlformats.org/officeDocument/2006/relationships/hyperlink" Target="https://doi.org/10.1016/j.scitotenv.2020.140824" TargetMode="External"/><Relationship Id="rId41" Type="http://schemas.openxmlformats.org/officeDocument/2006/relationships/hyperlink" Target="https://doi.org/10.1139/FACETS-2019-0042" TargetMode="External"/><Relationship Id="rId83" Type="http://schemas.openxmlformats.org/officeDocument/2006/relationships/hyperlink" Target="https://doi.org/10.1007/s11270-011-0760-6" TargetMode="External"/><Relationship Id="rId179" Type="http://schemas.openxmlformats.org/officeDocument/2006/relationships/hyperlink" Target="https://doi.org/10.1016/j.jglr.2020.10.007" TargetMode="External"/><Relationship Id="rId386" Type="http://schemas.openxmlformats.org/officeDocument/2006/relationships/hyperlink" Target="https://doi.org/10.1016/j.marpolbul.2022.114273" TargetMode="External"/><Relationship Id="rId551" Type="http://schemas.openxmlformats.org/officeDocument/2006/relationships/hyperlink" Target="https://www.sciencedirect.com/science/article/pii/S0048969721006045?via%3Dihub" TargetMode="External"/><Relationship Id="rId593" Type="http://schemas.openxmlformats.org/officeDocument/2006/relationships/hyperlink" Target="https://doi.org/10.3354/aei00316" TargetMode="External"/><Relationship Id="rId607" Type="http://schemas.openxmlformats.org/officeDocument/2006/relationships/hyperlink" Target="https://doi.org/10.3354/aei00316" TargetMode="External"/><Relationship Id="rId190" Type="http://schemas.openxmlformats.org/officeDocument/2006/relationships/hyperlink" Target="https://doi.org/10.1016/j.jglr.2020.10.007" TargetMode="External"/><Relationship Id="rId204" Type="http://schemas.openxmlformats.org/officeDocument/2006/relationships/hyperlink" Target="https://doi.org/10.1002/etc.5832" TargetMode="External"/><Relationship Id="rId246" Type="http://schemas.openxmlformats.org/officeDocument/2006/relationships/hyperlink" Target="https://doi.org/10.1021/acsestwater.5c00080" TargetMode="External"/><Relationship Id="rId288" Type="http://schemas.openxmlformats.org/officeDocument/2006/relationships/hyperlink" Target="https://doi.org/10.1016/j.jglr.2018.07.014" TargetMode="External"/><Relationship Id="rId411" Type="http://schemas.openxmlformats.org/officeDocument/2006/relationships/hyperlink" Target="https://doi.org/10.1139/facets-2022-0104" TargetMode="External"/><Relationship Id="rId453" Type="http://schemas.openxmlformats.org/officeDocument/2006/relationships/hyperlink" Target="https://doi.org/10.1139/facets-2022-0104" TargetMode="External"/><Relationship Id="rId509" Type="http://schemas.openxmlformats.org/officeDocument/2006/relationships/hyperlink" Target="https://doi.org/10.3354/aei00316" TargetMode="External"/><Relationship Id="rId106" Type="http://schemas.openxmlformats.org/officeDocument/2006/relationships/hyperlink" Target="https://doi.org/10.1088/1748-9326/ac5714" TargetMode="External"/><Relationship Id="rId313" Type="http://schemas.openxmlformats.org/officeDocument/2006/relationships/hyperlink" Target="https://doi.org/10.1016/j.marpolbul.2013.12.035" TargetMode="External"/><Relationship Id="rId495" Type="http://schemas.openxmlformats.org/officeDocument/2006/relationships/hyperlink" Target="https://doi.org/10.1007/s10661-019-7297-3" TargetMode="External"/><Relationship Id="rId10" Type="http://schemas.openxmlformats.org/officeDocument/2006/relationships/hyperlink" Target="https://doi.org/10.1139/FACETS-2019-0042" TargetMode="External"/><Relationship Id="rId52" Type="http://schemas.openxmlformats.org/officeDocument/2006/relationships/hyperlink" Target="https://doi.org/10.1016/j.marpolbul.2013.10.007" TargetMode="External"/><Relationship Id="rId94" Type="http://schemas.openxmlformats.org/officeDocument/2006/relationships/hyperlink" Target="https://doi.org/10.1088/1748-9326/ac5714" TargetMode="External"/><Relationship Id="rId148" Type="http://schemas.openxmlformats.org/officeDocument/2006/relationships/hyperlink" Target="https://doi.org/10.1088/1748-9326/ac5714" TargetMode="External"/><Relationship Id="rId355" Type="http://schemas.openxmlformats.org/officeDocument/2006/relationships/hyperlink" Target="https://doi.org/10.1016/j.marpolbul.2022.114273" TargetMode="External"/><Relationship Id="rId397" Type="http://schemas.openxmlformats.org/officeDocument/2006/relationships/hyperlink" Target="https://doi.org/10.1139/cjfas-2014-0281" TargetMode="External"/><Relationship Id="rId520" Type="http://schemas.openxmlformats.org/officeDocument/2006/relationships/hyperlink" Target="https://doi.org/10.1016/j.scitotenv.2021.146809" TargetMode="External"/><Relationship Id="rId562" Type="http://schemas.openxmlformats.org/officeDocument/2006/relationships/hyperlink" Target="https://doi.org/10.1021/acsestwater.2c00169" TargetMode="External"/><Relationship Id="rId618" Type="http://schemas.openxmlformats.org/officeDocument/2006/relationships/hyperlink" Target="https://doi.org/10.1021/acs.est.0c06087" TargetMode="External"/><Relationship Id="rId215" Type="http://schemas.openxmlformats.org/officeDocument/2006/relationships/hyperlink" Target="https://doi.org/10.1007/s11270-011-0760-6" TargetMode="External"/><Relationship Id="rId257" Type="http://schemas.openxmlformats.org/officeDocument/2006/relationships/hyperlink" Target="https://doi.org/10.1021/acsestwater.5c00080" TargetMode="External"/><Relationship Id="rId422" Type="http://schemas.openxmlformats.org/officeDocument/2006/relationships/hyperlink" Target="https://doi.org/10.1139/facets-2022-0104" TargetMode="External"/><Relationship Id="rId464" Type="http://schemas.openxmlformats.org/officeDocument/2006/relationships/hyperlink" Target="https://doi.org/10.1139/facets-2022-0104" TargetMode="External"/><Relationship Id="rId299" Type="http://schemas.openxmlformats.org/officeDocument/2006/relationships/hyperlink" Target="https://doi.org/10.1016/j.jglr.2018.07.014" TargetMode="External"/><Relationship Id="rId63" Type="http://schemas.openxmlformats.org/officeDocument/2006/relationships/hyperlink" Target="https://doi.org/10.1016/j.marpolbul.2013.10.007" TargetMode="External"/><Relationship Id="rId159" Type="http://schemas.openxmlformats.org/officeDocument/2006/relationships/hyperlink" Target="https://doi.org/10.1016/j.jglr.2020.10.007" TargetMode="External"/><Relationship Id="rId366" Type="http://schemas.openxmlformats.org/officeDocument/2006/relationships/hyperlink" Target="https://doi.org/10.1016/j.marpolbul.2022.114273" TargetMode="External"/><Relationship Id="rId573" Type="http://schemas.openxmlformats.org/officeDocument/2006/relationships/hyperlink" Target="https://www.sciencedirect.com/science/article/pii/S0048969721006045?via%3Dihub" TargetMode="External"/><Relationship Id="rId226" Type="http://schemas.openxmlformats.org/officeDocument/2006/relationships/hyperlink" Target="https://doi.org/10.1021/acsestwater.5c00080" TargetMode="External"/><Relationship Id="rId433" Type="http://schemas.openxmlformats.org/officeDocument/2006/relationships/hyperlink" Target="https://doi.org/10.1139/facets-2022-0104" TargetMode="External"/><Relationship Id="rId74" Type="http://schemas.openxmlformats.org/officeDocument/2006/relationships/hyperlink" Target="https://doi.org/10.1021/acs.est.7b05829" TargetMode="External"/><Relationship Id="rId377" Type="http://schemas.openxmlformats.org/officeDocument/2006/relationships/hyperlink" Target="https://doi.org/10.1016/j.marpolbul.2022.114273" TargetMode="External"/><Relationship Id="rId500" Type="http://schemas.openxmlformats.org/officeDocument/2006/relationships/hyperlink" Target="https://doi.org/10.1007/s10661-019-7297-3" TargetMode="External"/><Relationship Id="rId584" Type="http://schemas.openxmlformats.org/officeDocument/2006/relationships/hyperlink" Target="https://doi.org/10.3354/aei00316" TargetMode="External"/><Relationship Id="rId5" Type="http://schemas.openxmlformats.org/officeDocument/2006/relationships/hyperlink" Target="https://doi.org/10.1139/as-2023-0041" TargetMode="External"/><Relationship Id="rId237" Type="http://schemas.openxmlformats.org/officeDocument/2006/relationships/hyperlink" Target="https://doi.org/10.1021/acsestwater.5c00080" TargetMode="External"/><Relationship Id="rId444" Type="http://schemas.openxmlformats.org/officeDocument/2006/relationships/hyperlink" Target="https://doi.org/10.1139/facets-2022-0104" TargetMode="External"/><Relationship Id="rId290" Type="http://schemas.openxmlformats.org/officeDocument/2006/relationships/hyperlink" Target="https://doi.org/10.1016/j.jglr.2018.07.014" TargetMode="External"/><Relationship Id="rId304" Type="http://schemas.openxmlformats.org/officeDocument/2006/relationships/hyperlink" Target="https://doi.org/10.1002/etc.5832" TargetMode="External"/><Relationship Id="rId388" Type="http://schemas.openxmlformats.org/officeDocument/2006/relationships/hyperlink" Target="https://doi.org/10.1016/j.marpolbul.2022.114273" TargetMode="External"/><Relationship Id="rId511" Type="http://schemas.openxmlformats.org/officeDocument/2006/relationships/hyperlink" Target="https://doi.org/10.3354/meps13966" TargetMode="External"/><Relationship Id="rId609" Type="http://schemas.openxmlformats.org/officeDocument/2006/relationships/hyperlink" Target="https://doi.org/10.3354/aei00316" TargetMode="External"/><Relationship Id="rId85" Type="http://schemas.openxmlformats.org/officeDocument/2006/relationships/hyperlink" Target="https://doi.org/10.1088/1748-9326/ac5714" TargetMode="External"/><Relationship Id="rId150" Type="http://schemas.openxmlformats.org/officeDocument/2006/relationships/hyperlink" Target="https://doi.org/10.1088/1748-9326/ac5714" TargetMode="External"/><Relationship Id="rId595" Type="http://schemas.openxmlformats.org/officeDocument/2006/relationships/hyperlink" Target="https://doi.org/10.3354/aei00316" TargetMode="External"/><Relationship Id="rId248" Type="http://schemas.openxmlformats.org/officeDocument/2006/relationships/hyperlink" Target="https://doi.org/10.1021/acsestwater.5c00080" TargetMode="External"/><Relationship Id="rId455" Type="http://schemas.openxmlformats.org/officeDocument/2006/relationships/hyperlink" Target="https://doi.org/10.1139/facets-2022-0104" TargetMode="External"/><Relationship Id="rId12" Type="http://schemas.openxmlformats.org/officeDocument/2006/relationships/hyperlink" Target="https://doi.org/10.1139/FACETS-2019-0042" TargetMode="External"/><Relationship Id="rId108" Type="http://schemas.openxmlformats.org/officeDocument/2006/relationships/hyperlink" Target="https://doi.org/10.1088/1748-9326/ac5714" TargetMode="External"/><Relationship Id="rId315" Type="http://schemas.openxmlformats.org/officeDocument/2006/relationships/hyperlink" Target="https://doi.org/10.1016/j.marpolbul.2013.12.035" TargetMode="External"/><Relationship Id="rId522" Type="http://schemas.openxmlformats.org/officeDocument/2006/relationships/hyperlink" Target="https://doi.org/10.1016/j.scitotenv.2025.180762" TargetMode="External"/><Relationship Id="rId96" Type="http://schemas.openxmlformats.org/officeDocument/2006/relationships/hyperlink" Target="https://doi.org/10.1088/1748-9326/ac5714" TargetMode="External"/><Relationship Id="rId161" Type="http://schemas.openxmlformats.org/officeDocument/2006/relationships/hyperlink" Target="https://doi.org/10.1016/j.jglr.2020.10.007" TargetMode="External"/><Relationship Id="rId399" Type="http://schemas.openxmlformats.org/officeDocument/2006/relationships/hyperlink" Target="https://doi.org/10.3389/frwa.2022.958130" TargetMode="External"/><Relationship Id="rId259" Type="http://schemas.openxmlformats.org/officeDocument/2006/relationships/hyperlink" Target="https://doi.org/10.1021/acsestwater.5c00080" TargetMode="External"/><Relationship Id="rId466" Type="http://schemas.openxmlformats.org/officeDocument/2006/relationships/hyperlink" Target="https://doi.org/10.1139/facets-2022-0104" TargetMode="External"/><Relationship Id="rId23" Type="http://schemas.openxmlformats.org/officeDocument/2006/relationships/hyperlink" Target="https://doi.org/10.1139/FACETS-2019-0042" TargetMode="External"/><Relationship Id="rId119" Type="http://schemas.openxmlformats.org/officeDocument/2006/relationships/hyperlink" Target="https://doi.org/10.1088/1748-9326/ac5714" TargetMode="External"/><Relationship Id="rId326" Type="http://schemas.openxmlformats.org/officeDocument/2006/relationships/hyperlink" Target="https://doi.org/10.1016/j.marpolbul.2013.12.035" TargetMode="External"/><Relationship Id="rId533" Type="http://schemas.openxmlformats.org/officeDocument/2006/relationships/hyperlink" Target="https://doi.org/10.1016/j.scitotenv.2025.180762" TargetMode="External"/><Relationship Id="rId172" Type="http://schemas.openxmlformats.org/officeDocument/2006/relationships/hyperlink" Target="https://doi.org/10.1016/j.jglr.2020.10.007" TargetMode="External"/><Relationship Id="rId477" Type="http://schemas.openxmlformats.org/officeDocument/2006/relationships/hyperlink" Target="https://doi.org/10.1007/s10661-019-7297-3" TargetMode="External"/><Relationship Id="rId600" Type="http://schemas.openxmlformats.org/officeDocument/2006/relationships/hyperlink" Target="https://doi.org/10.3354/aei00316" TargetMode="External"/><Relationship Id="rId337" Type="http://schemas.openxmlformats.org/officeDocument/2006/relationships/hyperlink" Target="https://doi.org/10.1021/acsestwater.3c00526" TargetMode="External"/><Relationship Id="rId34" Type="http://schemas.openxmlformats.org/officeDocument/2006/relationships/hyperlink" Target="https://doi.org/10.1139/FACETS-2019-0042" TargetMode="External"/><Relationship Id="rId544" Type="http://schemas.openxmlformats.org/officeDocument/2006/relationships/hyperlink" Target="https://www.sciencedirect.com/science/article/pii/S0048969721006045?via%3Dihub" TargetMode="External"/><Relationship Id="rId183" Type="http://schemas.openxmlformats.org/officeDocument/2006/relationships/hyperlink" Target="https://doi.org/10.1016/j.jglr.2020.10.007" TargetMode="External"/><Relationship Id="rId390" Type="http://schemas.openxmlformats.org/officeDocument/2006/relationships/hyperlink" Target="https://doi.org/10.1139/cjfas-2014-0281" TargetMode="External"/><Relationship Id="rId404" Type="http://schemas.openxmlformats.org/officeDocument/2006/relationships/hyperlink" Target="https://doi.org/10.3389/frwa.2022.958130" TargetMode="External"/><Relationship Id="rId611" Type="http://schemas.openxmlformats.org/officeDocument/2006/relationships/hyperlink" Target="https://doi.org/10.3354/aei00316" TargetMode="External"/><Relationship Id="rId250" Type="http://schemas.openxmlformats.org/officeDocument/2006/relationships/hyperlink" Target="https://doi.org/10.1021/acsestwater.5c00080" TargetMode="External"/><Relationship Id="rId488" Type="http://schemas.openxmlformats.org/officeDocument/2006/relationships/hyperlink" Target="https://doi.org/10.1007/s10661-019-7297-3" TargetMode="External"/><Relationship Id="rId45" Type="http://schemas.openxmlformats.org/officeDocument/2006/relationships/hyperlink" Target="https://doi.org/10.1139/FACETS-2019-0042" TargetMode="External"/><Relationship Id="rId110" Type="http://schemas.openxmlformats.org/officeDocument/2006/relationships/hyperlink" Target="https://doi.org/10.1088/1748-9326/ac5714" TargetMode="External"/><Relationship Id="rId348" Type="http://schemas.openxmlformats.org/officeDocument/2006/relationships/hyperlink" Target="https://doi.org/10.1016/j.scitotenv.2020.140824" TargetMode="External"/><Relationship Id="rId555" Type="http://schemas.openxmlformats.org/officeDocument/2006/relationships/hyperlink" Target="https://doi.org/10.1098/rsta.2023.0023" TargetMode="External"/><Relationship Id="rId194" Type="http://schemas.openxmlformats.org/officeDocument/2006/relationships/hyperlink" Target="https://doi.org/10.1016/j.jglr.2020.10.007" TargetMode="External"/><Relationship Id="rId208" Type="http://schemas.openxmlformats.org/officeDocument/2006/relationships/hyperlink" Target="https://doi.org/10.1021/acs.est.4c02598" TargetMode="External"/><Relationship Id="rId415" Type="http://schemas.openxmlformats.org/officeDocument/2006/relationships/hyperlink" Target="https://doi.org/10.1139/facets-2022-0104" TargetMode="External"/><Relationship Id="rId622" Type="http://schemas.openxmlformats.org/officeDocument/2006/relationships/hyperlink" Target="https://doi.org/10.1021/acs.est.0c06087" TargetMode="External"/><Relationship Id="rId261" Type="http://schemas.openxmlformats.org/officeDocument/2006/relationships/hyperlink" Target="https://doi.org/10.1021/acsestwater.5c00080" TargetMode="External"/><Relationship Id="rId499" Type="http://schemas.openxmlformats.org/officeDocument/2006/relationships/hyperlink" Target="https://doi.org/10.1007/s10661-019-7297-3" TargetMode="External"/><Relationship Id="rId56" Type="http://schemas.openxmlformats.org/officeDocument/2006/relationships/hyperlink" Target="https://doi.org/10.1016/j.marpolbul.2013.10.007" TargetMode="External"/><Relationship Id="rId359" Type="http://schemas.openxmlformats.org/officeDocument/2006/relationships/hyperlink" Target="https://doi.org/10.1016/j.marpolbul.2022.114273" TargetMode="External"/><Relationship Id="rId566" Type="http://schemas.openxmlformats.org/officeDocument/2006/relationships/hyperlink" Target="https://doi.org/10.1021/acsestwater.2c00169" TargetMode="External"/><Relationship Id="rId121" Type="http://schemas.openxmlformats.org/officeDocument/2006/relationships/hyperlink" Target="https://doi.org/10.1088/1748-9326/ac5714" TargetMode="External"/><Relationship Id="rId219" Type="http://schemas.openxmlformats.org/officeDocument/2006/relationships/hyperlink" Target="https://doi.org/10.1021/acsestwater.5c00080" TargetMode="External"/><Relationship Id="rId426" Type="http://schemas.openxmlformats.org/officeDocument/2006/relationships/hyperlink" Target="https://doi.org/10.1139/facets-2022-0104" TargetMode="External"/><Relationship Id="rId633" Type="http://schemas.openxmlformats.org/officeDocument/2006/relationships/hyperlink" Target="https://doi.org/10.1021/acs.est.0c06087" TargetMode="External"/><Relationship Id="rId67" Type="http://schemas.openxmlformats.org/officeDocument/2006/relationships/hyperlink" Target="https://doi.org/10.1016/j.marpolbul.2013.10.007" TargetMode="External"/><Relationship Id="rId272" Type="http://schemas.openxmlformats.org/officeDocument/2006/relationships/hyperlink" Target="https://doi.org/10.1021/acsestwater.5c00080" TargetMode="External"/><Relationship Id="rId577" Type="http://schemas.openxmlformats.org/officeDocument/2006/relationships/hyperlink" Target="https://www.sciencedirect.com/science/article/pii/S0048969721006045?via%3Dihub" TargetMode="External"/><Relationship Id="rId132" Type="http://schemas.openxmlformats.org/officeDocument/2006/relationships/hyperlink" Target="https://doi.org/10.1088/1748-9326/ac5714" TargetMode="External"/><Relationship Id="rId437" Type="http://schemas.openxmlformats.org/officeDocument/2006/relationships/hyperlink" Target="https://doi.org/10.1139/facets-2022-0104" TargetMode="External"/><Relationship Id="rId283" Type="http://schemas.openxmlformats.org/officeDocument/2006/relationships/hyperlink" Target="https://doi.org/10.1016/j.jglr.2018.07.014" TargetMode="External"/><Relationship Id="rId490" Type="http://schemas.openxmlformats.org/officeDocument/2006/relationships/hyperlink" Target="https://doi.org/10.1007/s10661-019-7297-3" TargetMode="External"/><Relationship Id="rId504" Type="http://schemas.openxmlformats.org/officeDocument/2006/relationships/hyperlink" Target="https://www.sciencedirect.com/science/article/pii/S0048969721006045?via%3Dihub" TargetMode="External"/><Relationship Id="rId78" Type="http://schemas.openxmlformats.org/officeDocument/2006/relationships/hyperlink" Target="https://doi.org/10.1021/acs.est.7b05829" TargetMode="External"/><Relationship Id="rId143" Type="http://schemas.openxmlformats.org/officeDocument/2006/relationships/hyperlink" Target="https://doi.org/10.1088/1748-9326/ac5714" TargetMode="External"/><Relationship Id="rId350" Type="http://schemas.openxmlformats.org/officeDocument/2006/relationships/hyperlink" Target="https://doi.org/10.1016/j.scitotenv.2020.140824" TargetMode="External"/><Relationship Id="rId588" Type="http://schemas.openxmlformats.org/officeDocument/2006/relationships/hyperlink" Target="https://doi.org/10.3354/aei00316" TargetMode="External"/><Relationship Id="rId9" Type="http://schemas.openxmlformats.org/officeDocument/2006/relationships/hyperlink" Target="https://doi.org/10.1139/FACETS-2019-0042" TargetMode="External"/><Relationship Id="rId210" Type="http://schemas.openxmlformats.org/officeDocument/2006/relationships/hyperlink" Target="https://doi.org/10.1007/s11270-011-0760-6" TargetMode="External"/><Relationship Id="rId448" Type="http://schemas.openxmlformats.org/officeDocument/2006/relationships/hyperlink" Target="https://doi.org/10.1139/facets-2022-0104"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doi.org/10.1088/1748-9326/ac5714" TargetMode="External"/><Relationship Id="rId21" Type="http://schemas.openxmlformats.org/officeDocument/2006/relationships/hyperlink" Target="https://doi.org/10.1139/FACETS-2019-0042" TargetMode="External"/><Relationship Id="rId324" Type="http://schemas.openxmlformats.org/officeDocument/2006/relationships/hyperlink" Target="https://doi.org/10.3389/frwa.2022.958130" TargetMode="External"/><Relationship Id="rId170" Type="http://schemas.openxmlformats.org/officeDocument/2006/relationships/hyperlink" Target="https://doi.org/10.1016/j.jglr.2020.10.007" TargetMode="External"/><Relationship Id="rId268" Type="http://schemas.openxmlformats.org/officeDocument/2006/relationships/hyperlink" Target="https://doi.org/10.1016/j.scitotenv.2020.140824" TargetMode="External"/><Relationship Id="rId475" Type="http://schemas.openxmlformats.org/officeDocument/2006/relationships/hyperlink" Target="https://doi.org/10.5203/pmuser.201730578" TargetMode="External"/><Relationship Id="rId32" Type="http://schemas.openxmlformats.org/officeDocument/2006/relationships/hyperlink" Target="https://doi.org/10.1139/FACETS-2019-0042" TargetMode="External"/><Relationship Id="rId74" Type="http://schemas.openxmlformats.org/officeDocument/2006/relationships/hyperlink" Target="https://doi.org/10.1021/acs.est.7b05829" TargetMode="External"/><Relationship Id="rId128" Type="http://schemas.openxmlformats.org/officeDocument/2006/relationships/hyperlink" Target="https://doi.org/10.1088/1748-9326/ac5714" TargetMode="External"/><Relationship Id="rId335" Type="http://schemas.openxmlformats.org/officeDocument/2006/relationships/hyperlink" Target="https://doi.org/10.1139/facets-2022-0104" TargetMode="External"/><Relationship Id="rId377" Type="http://schemas.openxmlformats.org/officeDocument/2006/relationships/hyperlink" Target="https://doi.org/10.1139/facets-2022-0104" TargetMode="External"/><Relationship Id="rId500" Type="http://schemas.openxmlformats.org/officeDocument/2006/relationships/hyperlink" Target="https://doi.org/10.3354/aei00316" TargetMode="External"/><Relationship Id="rId5" Type="http://schemas.openxmlformats.org/officeDocument/2006/relationships/hyperlink" Target="https://doi.org/10.1139/as-2023-0041" TargetMode="External"/><Relationship Id="rId181" Type="http://schemas.openxmlformats.org/officeDocument/2006/relationships/hyperlink" Target="https://doi.org/10.1016/j.jglr.2020.10.007" TargetMode="External"/><Relationship Id="rId237" Type="http://schemas.openxmlformats.org/officeDocument/2006/relationships/hyperlink" Target="https://doi.org/10.1016/j.jglr.2018.07.014" TargetMode="External"/><Relationship Id="rId402" Type="http://schemas.openxmlformats.org/officeDocument/2006/relationships/hyperlink" Target="https://doi.org/10.1007/s10661-019-7297-3" TargetMode="External"/><Relationship Id="rId279" Type="http://schemas.openxmlformats.org/officeDocument/2006/relationships/hyperlink" Target="https://doi.org/10.1016/j.marpolbul.2022.114273" TargetMode="External"/><Relationship Id="rId444" Type="http://schemas.openxmlformats.org/officeDocument/2006/relationships/hyperlink" Target="https://www.sciencedirect.com/science/article/pii/S0304389425038385?via%3Dihub" TargetMode="External"/><Relationship Id="rId486" Type="http://schemas.openxmlformats.org/officeDocument/2006/relationships/hyperlink" Target="https://doi.org/10.3354/aei00316" TargetMode="External"/><Relationship Id="rId43" Type="http://schemas.openxmlformats.org/officeDocument/2006/relationships/hyperlink" Target="https://doi.org/10.1139/FACETS-2019-0042" TargetMode="External"/><Relationship Id="rId139" Type="http://schemas.openxmlformats.org/officeDocument/2006/relationships/hyperlink" Target="https://doi.org/10.1088/1748-9326/ac5714" TargetMode="External"/><Relationship Id="rId290" Type="http://schemas.openxmlformats.org/officeDocument/2006/relationships/hyperlink" Target="https://doi.org/10.1016/j.marpolbul.2022.114273" TargetMode="External"/><Relationship Id="rId304" Type="http://schemas.openxmlformats.org/officeDocument/2006/relationships/hyperlink" Target="https://doi.org/10.1016/j.marpolbul.2022.114273" TargetMode="External"/><Relationship Id="rId346" Type="http://schemas.openxmlformats.org/officeDocument/2006/relationships/hyperlink" Target="https://doi.org/10.1139/facets-2022-0104" TargetMode="External"/><Relationship Id="rId388" Type="http://schemas.openxmlformats.org/officeDocument/2006/relationships/hyperlink" Target="https://doi.org/10.1139/facets-2022-0104" TargetMode="External"/><Relationship Id="rId511" Type="http://schemas.openxmlformats.org/officeDocument/2006/relationships/hyperlink" Target="https://doi.org/10.1021/acs.est.0c06087" TargetMode="External"/><Relationship Id="rId85" Type="http://schemas.openxmlformats.org/officeDocument/2006/relationships/hyperlink" Target="https://doi.org/10.1088/1748-9326/ac5714" TargetMode="External"/><Relationship Id="rId150" Type="http://schemas.openxmlformats.org/officeDocument/2006/relationships/hyperlink" Target="https://doi.org/10.1088/1748-9326/ac5714" TargetMode="External"/><Relationship Id="rId192" Type="http://schemas.openxmlformats.org/officeDocument/2006/relationships/hyperlink" Target="https://doi.org/10.1016/j.jglr.2020.10.007" TargetMode="External"/><Relationship Id="rId206" Type="http://schemas.openxmlformats.org/officeDocument/2006/relationships/hyperlink" Target="https://doi.org/10.1002/etc.5832" TargetMode="External"/><Relationship Id="rId413" Type="http://schemas.openxmlformats.org/officeDocument/2006/relationships/hyperlink" Target="https://doi.org/10.1007/s10661-019-7297-3" TargetMode="External"/><Relationship Id="rId248" Type="http://schemas.openxmlformats.org/officeDocument/2006/relationships/hyperlink" Target="https://doi.org/10.1016/j.scitotenv.2020.140824" TargetMode="External"/><Relationship Id="rId455" Type="http://schemas.openxmlformats.org/officeDocument/2006/relationships/hyperlink" Target="https://doi.org/10.1016/j.scitotenv.2025.180762" TargetMode="External"/><Relationship Id="rId497" Type="http://schemas.openxmlformats.org/officeDocument/2006/relationships/hyperlink" Target="https://doi.org/10.3354/aei00316" TargetMode="External"/><Relationship Id="rId12" Type="http://schemas.openxmlformats.org/officeDocument/2006/relationships/hyperlink" Target="https://doi.org/10.1139/FACETS-2019-0042" TargetMode="External"/><Relationship Id="rId108" Type="http://schemas.openxmlformats.org/officeDocument/2006/relationships/hyperlink" Target="https://doi.org/10.1088/1748-9326/ac5714" TargetMode="External"/><Relationship Id="rId315" Type="http://schemas.openxmlformats.org/officeDocument/2006/relationships/hyperlink" Target="https://doi.org/10.1139/cjfas-2014-0281" TargetMode="External"/><Relationship Id="rId357" Type="http://schemas.openxmlformats.org/officeDocument/2006/relationships/hyperlink" Target="https://doi.org/10.1139/facets-2022-0104" TargetMode="External"/><Relationship Id="rId522" Type="http://schemas.openxmlformats.org/officeDocument/2006/relationships/hyperlink" Target="https://doi.org/10.13140/RG.2.2.27753.98410" TargetMode="External"/><Relationship Id="rId54" Type="http://schemas.openxmlformats.org/officeDocument/2006/relationships/hyperlink" Target="https://doi.org/10.1016/j.marpolbul.2013.10.007" TargetMode="External"/><Relationship Id="rId96" Type="http://schemas.openxmlformats.org/officeDocument/2006/relationships/hyperlink" Target="https://doi.org/10.1088/1748-9326/ac5714" TargetMode="External"/><Relationship Id="rId161" Type="http://schemas.openxmlformats.org/officeDocument/2006/relationships/hyperlink" Target="https://doi.org/10.1016/j.jglr.2020.10.007" TargetMode="External"/><Relationship Id="rId217" Type="http://schemas.openxmlformats.org/officeDocument/2006/relationships/hyperlink" Target="https://doi.org/10.1016/j.jglr.2018.07.014" TargetMode="External"/><Relationship Id="rId399" Type="http://schemas.openxmlformats.org/officeDocument/2006/relationships/hyperlink" Target="https://doi.org/10.1007/s10661-019-7297-3" TargetMode="External"/><Relationship Id="rId259" Type="http://schemas.openxmlformats.org/officeDocument/2006/relationships/hyperlink" Target="https://doi.org/10.1021/acsestwater.3c00526" TargetMode="External"/><Relationship Id="rId424" Type="http://schemas.openxmlformats.org/officeDocument/2006/relationships/hyperlink" Target="https://www.sciencedirect.com/science/article/pii/S0048969721006045?via%3Dihub" TargetMode="External"/><Relationship Id="rId466" Type="http://schemas.openxmlformats.org/officeDocument/2006/relationships/hyperlink" Target="https://doi.org/10.1021/acsestwater.2c00169" TargetMode="External"/><Relationship Id="rId23" Type="http://schemas.openxmlformats.org/officeDocument/2006/relationships/hyperlink" Target="https://doi.org/10.1139/FACETS-2019-0042" TargetMode="External"/><Relationship Id="rId119" Type="http://schemas.openxmlformats.org/officeDocument/2006/relationships/hyperlink" Target="https://doi.org/10.1088/1748-9326/ac5714" TargetMode="External"/><Relationship Id="rId270" Type="http://schemas.openxmlformats.org/officeDocument/2006/relationships/hyperlink" Target="https://doi.org/10.1016/j.scitotenv.2020.140824" TargetMode="External"/><Relationship Id="rId326" Type="http://schemas.openxmlformats.org/officeDocument/2006/relationships/hyperlink" Target="https://doi.org/10.3389/frwa.2022.958130" TargetMode="External"/><Relationship Id="rId65" Type="http://schemas.openxmlformats.org/officeDocument/2006/relationships/hyperlink" Target="https://doi.org/10.1016/j.marpolbul.2013.10.007" TargetMode="External"/><Relationship Id="rId130" Type="http://schemas.openxmlformats.org/officeDocument/2006/relationships/hyperlink" Target="https://doi.org/10.1088/1748-9326/ac5714" TargetMode="External"/><Relationship Id="rId368" Type="http://schemas.openxmlformats.org/officeDocument/2006/relationships/hyperlink" Target="https://doi.org/10.1139/facets-2022-0104" TargetMode="External"/><Relationship Id="rId172" Type="http://schemas.openxmlformats.org/officeDocument/2006/relationships/hyperlink" Target="https://doi.org/10.1016/j.jglr.2020.10.007" TargetMode="External"/><Relationship Id="rId228" Type="http://schemas.openxmlformats.org/officeDocument/2006/relationships/hyperlink" Target="https://doi.org/10.1016/j.jglr.2018.07.014" TargetMode="External"/><Relationship Id="rId435" Type="http://schemas.openxmlformats.org/officeDocument/2006/relationships/hyperlink" Target="https://doi.org/10.1016/j.scitotenv.2021.146809" TargetMode="External"/><Relationship Id="rId477" Type="http://schemas.openxmlformats.org/officeDocument/2006/relationships/hyperlink" Target="https://doi.org/10.3354/aei00316" TargetMode="External"/><Relationship Id="rId281" Type="http://schemas.openxmlformats.org/officeDocument/2006/relationships/hyperlink" Target="https://doi.org/10.1016/j.marpolbul.2022.114273" TargetMode="External"/><Relationship Id="rId337" Type="http://schemas.openxmlformats.org/officeDocument/2006/relationships/hyperlink" Target="https://doi.org/10.1139/facets-2022-0104" TargetMode="External"/><Relationship Id="rId502" Type="http://schemas.openxmlformats.org/officeDocument/2006/relationships/hyperlink" Target="https://doi.org/10.3354/aei00316" TargetMode="External"/><Relationship Id="rId34" Type="http://schemas.openxmlformats.org/officeDocument/2006/relationships/hyperlink" Target="https://doi.org/10.1139/FACETS-2019-0042" TargetMode="External"/><Relationship Id="rId76" Type="http://schemas.openxmlformats.org/officeDocument/2006/relationships/hyperlink" Target="https://doi.org/10.1021/acs.est.7b05829" TargetMode="External"/><Relationship Id="rId141" Type="http://schemas.openxmlformats.org/officeDocument/2006/relationships/hyperlink" Target="https://doi.org/10.1088/1748-9326/ac5714" TargetMode="External"/><Relationship Id="rId379" Type="http://schemas.openxmlformats.org/officeDocument/2006/relationships/hyperlink" Target="https://doi.org/10.1139/facets-2022-0104" TargetMode="External"/><Relationship Id="rId7" Type="http://schemas.openxmlformats.org/officeDocument/2006/relationships/hyperlink" Target="https://doi.org/10.1139/as-2023-0041" TargetMode="External"/><Relationship Id="rId183" Type="http://schemas.openxmlformats.org/officeDocument/2006/relationships/hyperlink" Target="https://doi.org/10.1016/j.jglr.2020.10.007" TargetMode="External"/><Relationship Id="rId239" Type="http://schemas.openxmlformats.org/officeDocument/2006/relationships/hyperlink" Target="https://doi.org/10.1016/j.jglr.2018.07.014" TargetMode="External"/><Relationship Id="rId390" Type="http://schemas.openxmlformats.org/officeDocument/2006/relationships/hyperlink" Target="https://doi.org/10.1139/facets-2022-0104" TargetMode="External"/><Relationship Id="rId404" Type="http://schemas.openxmlformats.org/officeDocument/2006/relationships/hyperlink" Target="https://doi.org/10.1007/s10661-019-7297-3" TargetMode="External"/><Relationship Id="rId446" Type="http://schemas.openxmlformats.org/officeDocument/2006/relationships/hyperlink" Target="https://www.sciencedirect.com/science/article/pii/S0304389425038385?via%3Dihub" TargetMode="External"/><Relationship Id="rId250" Type="http://schemas.openxmlformats.org/officeDocument/2006/relationships/hyperlink" Target="https://doi.org/10.1002/etc.5832" TargetMode="External"/><Relationship Id="rId292" Type="http://schemas.openxmlformats.org/officeDocument/2006/relationships/hyperlink" Target="https://doi.org/10.1016/j.marpolbul.2022.114273" TargetMode="External"/><Relationship Id="rId306" Type="http://schemas.openxmlformats.org/officeDocument/2006/relationships/hyperlink" Target="https://doi.org/10.1016/j.marpolbul.2022.114273" TargetMode="External"/><Relationship Id="rId488" Type="http://schemas.openxmlformats.org/officeDocument/2006/relationships/hyperlink" Target="https://doi.org/10.3354/aei00316" TargetMode="External"/><Relationship Id="rId45" Type="http://schemas.openxmlformats.org/officeDocument/2006/relationships/hyperlink" Target="https://doi.org/10.1139/FACETS-2019-0042" TargetMode="External"/><Relationship Id="rId87" Type="http://schemas.openxmlformats.org/officeDocument/2006/relationships/hyperlink" Target="https://doi.org/10.1021/acs.est.4c02598" TargetMode="External"/><Relationship Id="rId110" Type="http://schemas.openxmlformats.org/officeDocument/2006/relationships/hyperlink" Target="https://doi.org/10.1088/1748-9326/ac5714" TargetMode="External"/><Relationship Id="rId348" Type="http://schemas.openxmlformats.org/officeDocument/2006/relationships/hyperlink" Target="https://doi.org/10.1139/facets-2022-0104" TargetMode="External"/><Relationship Id="rId513" Type="http://schemas.openxmlformats.org/officeDocument/2006/relationships/hyperlink" Target="https://doi.org/10.1021/acs.est.0c06087" TargetMode="External"/><Relationship Id="rId152" Type="http://schemas.openxmlformats.org/officeDocument/2006/relationships/hyperlink" Target="https://doi.org/10.1088/1748-9326/ac5714" TargetMode="External"/><Relationship Id="rId194" Type="http://schemas.openxmlformats.org/officeDocument/2006/relationships/hyperlink" Target="https://doi.org/10.1016/j.jglr.2020.10.007" TargetMode="External"/><Relationship Id="rId208" Type="http://schemas.openxmlformats.org/officeDocument/2006/relationships/hyperlink" Target="https://doi.org/10.1021/acs.est.4c02598" TargetMode="External"/><Relationship Id="rId415" Type="http://schemas.openxmlformats.org/officeDocument/2006/relationships/hyperlink" Target="https://doi.org/10.1007/s10661-019-7297-3" TargetMode="External"/><Relationship Id="rId457" Type="http://schemas.openxmlformats.org/officeDocument/2006/relationships/hyperlink" Target="https://doi.org/10.1016/j.scitotenv.2025.180762" TargetMode="External"/><Relationship Id="rId261" Type="http://schemas.openxmlformats.org/officeDocument/2006/relationships/hyperlink" Target="https://doi.org/10.1021/acsestwater.3c00526" TargetMode="External"/><Relationship Id="rId499" Type="http://schemas.openxmlformats.org/officeDocument/2006/relationships/hyperlink" Target="https://doi.org/10.3354/aei00316" TargetMode="External"/><Relationship Id="rId14" Type="http://schemas.openxmlformats.org/officeDocument/2006/relationships/hyperlink" Target="https://doi.org/10.1139/FACETS-2019-0042" TargetMode="External"/><Relationship Id="rId56" Type="http://schemas.openxmlformats.org/officeDocument/2006/relationships/hyperlink" Target="https://doi.org/10.1016/j.marpolbul.2013.10.007" TargetMode="External"/><Relationship Id="rId317" Type="http://schemas.openxmlformats.org/officeDocument/2006/relationships/hyperlink" Target="https://doi.org/10.1139/cjfas-2014-0281" TargetMode="External"/><Relationship Id="rId359" Type="http://schemas.openxmlformats.org/officeDocument/2006/relationships/hyperlink" Target="https://doi.org/10.1139/facets-2022-0104" TargetMode="External"/><Relationship Id="rId524" Type="http://schemas.openxmlformats.org/officeDocument/2006/relationships/hyperlink" Target="https://esajournals.onlinelibrary.wiley.com/doi/10.1002/eap.2656" TargetMode="External"/><Relationship Id="rId98" Type="http://schemas.openxmlformats.org/officeDocument/2006/relationships/hyperlink" Target="https://doi.org/10.1088/1748-9326/ac5714" TargetMode="External"/><Relationship Id="rId121" Type="http://schemas.openxmlformats.org/officeDocument/2006/relationships/hyperlink" Target="https://doi.org/10.1088/1748-9326/ac5714" TargetMode="External"/><Relationship Id="rId163" Type="http://schemas.openxmlformats.org/officeDocument/2006/relationships/hyperlink" Target="https://doi.org/10.1016/j.jglr.2020.10.007" TargetMode="External"/><Relationship Id="rId219" Type="http://schemas.openxmlformats.org/officeDocument/2006/relationships/hyperlink" Target="https://doi.org/10.1021/acsestwater.5c00080" TargetMode="External"/><Relationship Id="rId370" Type="http://schemas.openxmlformats.org/officeDocument/2006/relationships/hyperlink" Target="https://doi.org/10.1139/facets-2022-0104" TargetMode="External"/><Relationship Id="rId426" Type="http://schemas.openxmlformats.org/officeDocument/2006/relationships/hyperlink" Target="https://doi.org/10.1021/acs.est.0c06087" TargetMode="External"/><Relationship Id="rId230" Type="http://schemas.openxmlformats.org/officeDocument/2006/relationships/hyperlink" Target="https://doi.org/10.1016/j.jglr.2018.07.014" TargetMode="External"/><Relationship Id="rId468" Type="http://schemas.openxmlformats.org/officeDocument/2006/relationships/hyperlink" Target="https://doi.org/10.1021/acsestwater.2c00169" TargetMode="External"/><Relationship Id="rId25" Type="http://schemas.openxmlformats.org/officeDocument/2006/relationships/hyperlink" Target="https://doi.org/10.1139/FACETS-2019-0042" TargetMode="External"/><Relationship Id="rId67" Type="http://schemas.openxmlformats.org/officeDocument/2006/relationships/hyperlink" Target="https://doi.org/10.1016/j.marpolbul.2013.10.007" TargetMode="External"/><Relationship Id="rId272" Type="http://schemas.openxmlformats.org/officeDocument/2006/relationships/hyperlink" Target="https://doi.org/10.1016/j.scitotenv.2020.140824" TargetMode="External"/><Relationship Id="rId328" Type="http://schemas.openxmlformats.org/officeDocument/2006/relationships/hyperlink" Target="https://doi.org/10.3389/frwa.2022.958130" TargetMode="External"/><Relationship Id="rId132" Type="http://schemas.openxmlformats.org/officeDocument/2006/relationships/hyperlink" Target="https://doi.org/10.1088/1748-9326/ac5714" TargetMode="External"/><Relationship Id="rId174" Type="http://schemas.openxmlformats.org/officeDocument/2006/relationships/hyperlink" Target="https://doi.org/10.1016/j.jglr.2020.10.007" TargetMode="External"/><Relationship Id="rId381" Type="http://schemas.openxmlformats.org/officeDocument/2006/relationships/hyperlink" Target="https://doi.org/10.1139/facets-2022-0104" TargetMode="External"/><Relationship Id="rId241" Type="http://schemas.openxmlformats.org/officeDocument/2006/relationships/hyperlink" Target="https://doi.org/10.1016/j.jglr.2018.07.014" TargetMode="External"/><Relationship Id="rId437" Type="http://schemas.openxmlformats.org/officeDocument/2006/relationships/hyperlink" Target="https://doi.org/10.1016/j.scitotenv.2021.146809" TargetMode="External"/><Relationship Id="rId479" Type="http://schemas.openxmlformats.org/officeDocument/2006/relationships/hyperlink" Target="https://doi.org/10.3354/aei00316" TargetMode="External"/><Relationship Id="rId36" Type="http://schemas.openxmlformats.org/officeDocument/2006/relationships/hyperlink" Target="https://doi.org/10.1139/FACETS-2019-0042" TargetMode="External"/><Relationship Id="rId283" Type="http://schemas.openxmlformats.org/officeDocument/2006/relationships/hyperlink" Target="https://doi.org/10.1016/j.marpolbul.2022.114273" TargetMode="External"/><Relationship Id="rId339" Type="http://schemas.openxmlformats.org/officeDocument/2006/relationships/hyperlink" Target="https://doi.org/10.1139/facets-2022-0104" TargetMode="External"/><Relationship Id="rId490" Type="http://schemas.openxmlformats.org/officeDocument/2006/relationships/hyperlink" Target="https://doi.org/10.3354/aei00316" TargetMode="External"/><Relationship Id="rId504" Type="http://schemas.openxmlformats.org/officeDocument/2006/relationships/hyperlink" Target="https://doi.org/10.3354/aei00316" TargetMode="External"/><Relationship Id="rId78" Type="http://schemas.openxmlformats.org/officeDocument/2006/relationships/hyperlink" Target="https://doi.org/10.1021/acs.est.7b05829" TargetMode="External"/><Relationship Id="rId101" Type="http://schemas.openxmlformats.org/officeDocument/2006/relationships/hyperlink" Target="https://doi.org/10.1088/1748-9326/ac5714" TargetMode="External"/><Relationship Id="rId143" Type="http://schemas.openxmlformats.org/officeDocument/2006/relationships/hyperlink" Target="https://doi.org/10.1088/1748-9326/ac5714" TargetMode="External"/><Relationship Id="rId185" Type="http://schemas.openxmlformats.org/officeDocument/2006/relationships/hyperlink" Target="https://doi.org/10.1016/j.jglr.2020.10.007" TargetMode="External"/><Relationship Id="rId350" Type="http://schemas.openxmlformats.org/officeDocument/2006/relationships/hyperlink" Target="https://doi.org/10.1139/facets-2022-0104" TargetMode="External"/><Relationship Id="rId406" Type="http://schemas.openxmlformats.org/officeDocument/2006/relationships/hyperlink" Target="https://doi.org/10.1007/s10661-019-7297-3" TargetMode="External"/><Relationship Id="rId9" Type="http://schemas.openxmlformats.org/officeDocument/2006/relationships/hyperlink" Target="https://doi.org/10.1139/FACETS-2019-0042" TargetMode="External"/><Relationship Id="rId210" Type="http://schemas.openxmlformats.org/officeDocument/2006/relationships/hyperlink" Target="https://doi.org/10.1007/s11270-011-0760-6" TargetMode="External"/><Relationship Id="rId392" Type="http://schemas.openxmlformats.org/officeDocument/2006/relationships/hyperlink" Target="https://doi.org/10.1139/facets-2022-0104" TargetMode="External"/><Relationship Id="rId448" Type="http://schemas.openxmlformats.org/officeDocument/2006/relationships/hyperlink" Target="https://www.sciencedirect.com/science/article/pii/S0304389425038385?via%3Dihub" TargetMode="External"/><Relationship Id="rId252" Type="http://schemas.openxmlformats.org/officeDocument/2006/relationships/hyperlink" Target="https://doi.org/10.1002/etc.5832" TargetMode="External"/><Relationship Id="rId294" Type="http://schemas.openxmlformats.org/officeDocument/2006/relationships/hyperlink" Target="https://doi.org/10.1016/j.marpolbul.2022.114273" TargetMode="External"/><Relationship Id="rId308" Type="http://schemas.openxmlformats.org/officeDocument/2006/relationships/hyperlink" Target="https://doi.org/10.1016/j.marpolbul.2022.114273" TargetMode="External"/><Relationship Id="rId515" Type="http://schemas.openxmlformats.org/officeDocument/2006/relationships/hyperlink" Target="https://doi.org/10.1021/acs.est.0c06087" TargetMode="External"/><Relationship Id="rId47" Type="http://schemas.openxmlformats.org/officeDocument/2006/relationships/hyperlink" Target="https://doi.org/10.1139/FACETS-2019-0042" TargetMode="External"/><Relationship Id="rId89" Type="http://schemas.openxmlformats.org/officeDocument/2006/relationships/hyperlink" Target="https://doi.org/10.1088/1748-9326/ac5714" TargetMode="External"/><Relationship Id="rId112" Type="http://schemas.openxmlformats.org/officeDocument/2006/relationships/hyperlink" Target="https://doi.org/10.1088/1748-9326/ac5714" TargetMode="External"/><Relationship Id="rId154" Type="http://schemas.openxmlformats.org/officeDocument/2006/relationships/hyperlink" Target="https://doi.org/10.1016/j.jglr.2020.10.007" TargetMode="External"/><Relationship Id="rId361" Type="http://schemas.openxmlformats.org/officeDocument/2006/relationships/hyperlink" Target="https://doi.org/10.1139/facets-2022-0104" TargetMode="External"/><Relationship Id="rId196" Type="http://schemas.openxmlformats.org/officeDocument/2006/relationships/hyperlink" Target="https://doi.org/10.1016/j.jglr.2020.10.007" TargetMode="External"/><Relationship Id="rId417" Type="http://schemas.openxmlformats.org/officeDocument/2006/relationships/hyperlink" Target="https://doi.org/10.1007/s10661-019-7297-3" TargetMode="External"/><Relationship Id="rId459" Type="http://schemas.openxmlformats.org/officeDocument/2006/relationships/hyperlink" Target="https://doi.org/10.1016/j.scitotenv.2025.180762" TargetMode="External"/><Relationship Id="rId16" Type="http://schemas.openxmlformats.org/officeDocument/2006/relationships/hyperlink" Target="https://doi.org/10.1139/FACETS-2019-0042" TargetMode="External"/><Relationship Id="rId221" Type="http://schemas.openxmlformats.org/officeDocument/2006/relationships/hyperlink" Target="https://doi.org/10.1021/acsestwater.5c00080" TargetMode="External"/><Relationship Id="rId263" Type="http://schemas.openxmlformats.org/officeDocument/2006/relationships/hyperlink" Target="https://doi.org/10.1016/j.scitotenv.2020.140824" TargetMode="External"/><Relationship Id="rId319" Type="http://schemas.openxmlformats.org/officeDocument/2006/relationships/hyperlink" Target="https://doi.org/10.1139/cjfas-2014-0281" TargetMode="External"/><Relationship Id="rId470" Type="http://schemas.openxmlformats.org/officeDocument/2006/relationships/hyperlink" Target="https://doi.org/10.1021/acsestwater.2c00169" TargetMode="External"/><Relationship Id="rId58" Type="http://schemas.openxmlformats.org/officeDocument/2006/relationships/hyperlink" Target="https://doi.org/10.1016/j.marpolbul.2013.10.007" TargetMode="External"/><Relationship Id="rId123" Type="http://schemas.openxmlformats.org/officeDocument/2006/relationships/hyperlink" Target="https://doi.org/10.1088/1748-9326/ac5714" TargetMode="External"/><Relationship Id="rId330" Type="http://schemas.openxmlformats.org/officeDocument/2006/relationships/hyperlink" Target="https://doi.org/10.3389/frwa.2022.958130" TargetMode="External"/><Relationship Id="rId165" Type="http://schemas.openxmlformats.org/officeDocument/2006/relationships/hyperlink" Target="https://doi.org/10.1016/j.jglr.2020.10.007" TargetMode="External"/><Relationship Id="rId372" Type="http://schemas.openxmlformats.org/officeDocument/2006/relationships/hyperlink" Target="https://doi.org/10.1139/facets-2022-0104" TargetMode="External"/><Relationship Id="rId428" Type="http://schemas.openxmlformats.org/officeDocument/2006/relationships/hyperlink" Target="https://doi.org/10.13140/RG.2.2.27753.98401" TargetMode="External"/><Relationship Id="rId232" Type="http://schemas.openxmlformats.org/officeDocument/2006/relationships/hyperlink" Target="https://doi.org/10.1016/j.jglr.2018.07.014" TargetMode="External"/><Relationship Id="rId274" Type="http://schemas.openxmlformats.org/officeDocument/2006/relationships/hyperlink" Target="https://doi.org/10.1016/j.scitotenv.2020.140824" TargetMode="External"/><Relationship Id="rId481" Type="http://schemas.openxmlformats.org/officeDocument/2006/relationships/hyperlink" Target="https://doi.org/10.3354/aei00316" TargetMode="External"/><Relationship Id="rId27" Type="http://schemas.openxmlformats.org/officeDocument/2006/relationships/hyperlink" Target="https://doi.org/10.1139/FACETS-2019-0042" TargetMode="External"/><Relationship Id="rId69" Type="http://schemas.openxmlformats.org/officeDocument/2006/relationships/hyperlink" Target="https://doi.org/10.1016/j.marpolbul.2013.10.007" TargetMode="External"/><Relationship Id="rId134" Type="http://schemas.openxmlformats.org/officeDocument/2006/relationships/hyperlink" Target="https://doi.org/10.1088/1748-9326/ac5714" TargetMode="External"/><Relationship Id="rId80" Type="http://schemas.openxmlformats.org/officeDocument/2006/relationships/hyperlink" Target="https://doi.org/10.1021/acs.est.7b05829" TargetMode="External"/><Relationship Id="rId176" Type="http://schemas.openxmlformats.org/officeDocument/2006/relationships/hyperlink" Target="https://doi.org/10.1016/j.jglr.2020.10.007" TargetMode="External"/><Relationship Id="rId341" Type="http://schemas.openxmlformats.org/officeDocument/2006/relationships/hyperlink" Target="https://doi.org/10.1139/facets-2022-0104" TargetMode="External"/><Relationship Id="rId383" Type="http://schemas.openxmlformats.org/officeDocument/2006/relationships/hyperlink" Target="https://doi.org/10.1139/facets-2022-0104" TargetMode="External"/><Relationship Id="rId439" Type="http://schemas.openxmlformats.org/officeDocument/2006/relationships/hyperlink" Target="https://doi.org/10.1016/j.scitotenv.2021.146809" TargetMode="External"/><Relationship Id="rId201" Type="http://schemas.openxmlformats.org/officeDocument/2006/relationships/hyperlink" Target="https://doi.org/10.1002/etc.5832" TargetMode="External"/><Relationship Id="rId243" Type="http://schemas.openxmlformats.org/officeDocument/2006/relationships/hyperlink" Target="https://doi.org/10.1016/j.jglr.2018.07.014" TargetMode="External"/><Relationship Id="rId285" Type="http://schemas.openxmlformats.org/officeDocument/2006/relationships/hyperlink" Target="https://doi.org/10.1016/j.marpolbul.2022.114273" TargetMode="External"/><Relationship Id="rId450" Type="http://schemas.openxmlformats.org/officeDocument/2006/relationships/hyperlink" Target="https://doi.org/10.1016/j.scitotenv.2025.180762" TargetMode="External"/><Relationship Id="rId506" Type="http://schemas.openxmlformats.org/officeDocument/2006/relationships/hyperlink" Target="https://doi.org/10.3354/aei00316" TargetMode="External"/><Relationship Id="rId38" Type="http://schemas.openxmlformats.org/officeDocument/2006/relationships/hyperlink" Target="https://doi.org/10.1139/FACETS-2019-0042" TargetMode="External"/><Relationship Id="rId103" Type="http://schemas.openxmlformats.org/officeDocument/2006/relationships/hyperlink" Target="https://doi.org/10.1088/1748-9326/ac5714" TargetMode="External"/><Relationship Id="rId310" Type="http://schemas.openxmlformats.org/officeDocument/2006/relationships/hyperlink" Target="https://doi.org/10.1016/j.marpolbul.2022.114273" TargetMode="External"/><Relationship Id="rId492" Type="http://schemas.openxmlformats.org/officeDocument/2006/relationships/hyperlink" Target="https://doi.org/10.3354/aei00316" TargetMode="External"/><Relationship Id="rId91" Type="http://schemas.openxmlformats.org/officeDocument/2006/relationships/hyperlink" Target="https://doi.org/10.1088/1748-9326/ac5714" TargetMode="External"/><Relationship Id="rId145" Type="http://schemas.openxmlformats.org/officeDocument/2006/relationships/hyperlink" Target="https://doi.org/10.1088/1748-9326/ac5714" TargetMode="External"/><Relationship Id="rId187" Type="http://schemas.openxmlformats.org/officeDocument/2006/relationships/hyperlink" Target="https://doi.org/10.1016/j.jglr.2020.10.007" TargetMode="External"/><Relationship Id="rId352" Type="http://schemas.openxmlformats.org/officeDocument/2006/relationships/hyperlink" Target="https://doi.org/10.1139/facets-2022-0104" TargetMode="External"/><Relationship Id="rId394" Type="http://schemas.openxmlformats.org/officeDocument/2006/relationships/hyperlink" Target="https://doi.org/10.1139/facets-2022-0104" TargetMode="External"/><Relationship Id="rId408" Type="http://schemas.openxmlformats.org/officeDocument/2006/relationships/hyperlink" Target="https://doi.org/10.1007/s10661-019-7297-3" TargetMode="External"/><Relationship Id="rId212" Type="http://schemas.openxmlformats.org/officeDocument/2006/relationships/hyperlink" Target="https://doi.org/10.1007/s11270-011-0760-6" TargetMode="External"/><Relationship Id="rId254" Type="http://schemas.openxmlformats.org/officeDocument/2006/relationships/hyperlink" Target="https://doi.org/10.1016/j.marpolbul.2013.12.035" TargetMode="External"/><Relationship Id="rId49" Type="http://schemas.openxmlformats.org/officeDocument/2006/relationships/hyperlink" Target="https://doi.org/10.1139/FACETS-2019-0042" TargetMode="External"/><Relationship Id="rId114" Type="http://schemas.openxmlformats.org/officeDocument/2006/relationships/hyperlink" Target="https://doi.org/10.1088/1748-9326/ac5714" TargetMode="External"/><Relationship Id="rId296" Type="http://schemas.openxmlformats.org/officeDocument/2006/relationships/hyperlink" Target="https://doi.org/10.1016/j.marpolbul.2022.114273" TargetMode="External"/><Relationship Id="rId461" Type="http://schemas.openxmlformats.org/officeDocument/2006/relationships/hyperlink" Target="https://www.sciencedirect.com/science/article/pii/S0048969721006045?via%3Dihub" TargetMode="External"/><Relationship Id="rId517" Type="http://schemas.openxmlformats.org/officeDocument/2006/relationships/hyperlink" Target="https://doi.org/10.1021/acs.est.0c06087" TargetMode="External"/><Relationship Id="rId60" Type="http://schemas.openxmlformats.org/officeDocument/2006/relationships/hyperlink" Target="https://doi.org/10.1016/j.marpolbul.2013.10.007" TargetMode="External"/><Relationship Id="rId156" Type="http://schemas.openxmlformats.org/officeDocument/2006/relationships/hyperlink" Target="https://doi.org/10.1016/j.jglr.2020.10.007" TargetMode="External"/><Relationship Id="rId198" Type="http://schemas.openxmlformats.org/officeDocument/2006/relationships/hyperlink" Target="https://doi.org/10.1016/j.jglr.2020.10.007" TargetMode="External"/><Relationship Id="rId321" Type="http://schemas.openxmlformats.org/officeDocument/2006/relationships/hyperlink" Target="https://doi.org/10.3389/frwa.2022.958130" TargetMode="External"/><Relationship Id="rId363" Type="http://schemas.openxmlformats.org/officeDocument/2006/relationships/hyperlink" Target="https://doi.org/10.1139/facets-2022-0104" TargetMode="External"/><Relationship Id="rId419" Type="http://schemas.openxmlformats.org/officeDocument/2006/relationships/hyperlink" Target="https://doi.org/10.1007/s10661-019-7297-3" TargetMode="External"/><Relationship Id="rId223" Type="http://schemas.openxmlformats.org/officeDocument/2006/relationships/hyperlink" Target="https://doi.org/10.1021/acsestwater.5c00080" TargetMode="External"/><Relationship Id="rId430" Type="http://schemas.openxmlformats.org/officeDocument/2006/relationships/hyperlink" Target="https://doi.org/10.3354/meps13966" TargetMode="External"/><Relationship Id="rId18" Type="http://schemas.openxmlformats.org/officeDocument/2006/relationships/hyperlink" Target="https://doi.org/10.1139/FACETS-2019-0042" TargetMode="External"/><Relationship Id="rId265" Type="http://schemas.openxmlformats.org/officeDocument/2006/relationships/hyperlink" Target="https://doi.org/10.1016/j.scitotenv.2020.140824" TargetMode="External"/><Relationship Id="rId472" Type="http://schemas.openxmlformats.org/officeDocument/2006/relationships/hyperlink" Target="https://doi.org/10.1021/acsestwater.2c00169" TargetMode="External"/><Relationship Id="rId125" Type="http://schemas.openxmlformats.org/officeDocument/2006/relationships/hyperlink" Target="https://doi.org/10.1088/1748-9326/ac5714" TargetMode="External"/><Relationship Id="rId167" Type="http://schemas.openxmlformats.org/officeDocument/2006/relationships/hyperlink" Target="https://doi.org/10.1016/j.jglr.2020.10.007" TargetMode="External"/><Relationship Id="rId332" Type="http://schemas.openxmlformats.org/officeDocument/2006/relationships/hyperlink" Target="https://doi.org/10.1139/facets-2022-0104" TargetMode="External"/><Relationship Id="rId374" Type="http://schemas.openxmlformats.org/officeDocument/2006/relationships/hyperlink" Target="https://doi.org/10.1139/facets-2022-0104" TargetMode="External"/><Relationship Id="rId71" Type="http://schemas.openxmlformats.org/officeDocument/2006/relationships/hyperlink" Target="https://doi.org/10.1021/acs.est.7b05829" TargetMode="External"/><Relationship Id="rId234" Type="http://schemas.openxmlformats.org/officeDocument/2006/relationships/hyperlink" Target="https://doi.org/10.1016/j.jglr.2018.07.014" TargetMode="External"/><Relationship Id="rId2" Type="http://schemas.openxmlformats.org/officeDocument/2006/relationships/hyperlink" Target="https://doi.org/10.1139/as-2023-0041" TargetMode="External"/><Relationship Id="rId29" Type="http://schemas.openxmlformats.org/officeDocument/2006/relationships/hyperlink" Target="https://doi.org/10.1139/FACETS-2019-0042" TargetMode="External"/><Relationship Id="rId276" Type="http://schemas.openxmlformats.org/officeDocument/2006/relationships/hyperlink" Target="https://doi.org/10.1016/j.marpolbul.2022.114273" TargetMode="External"/><Relationship Id="rId441" Type="http://schemas.openxmlformats.org/officeDocument/2006/relationships/hyperlink" Target="https://doi.org/10.1016/j.scitotenv.2025.180762" TargetMode="External"/><Relationship Id="rId483" Type="http://schemas.openxmlformats.org/officeDocument/2006/relationships/hyperlink" Target="https://doi.org/10.3354/aei00316" TargetMode="External"/><Relationship Id="rId40" Type="http://schemas.openxmlformats.org/officeDocument/2006/relationships/hyperlink" Target="https://doi.org/10.1139/FACETS-2019-0042" TargetMode="External"/><Relationship Id="rId136" Type="http://schemas.openxmlformats.org/officeDocument/2006/relationships/hyperlink" Target="https://doi.org/10.1088/1748-9326/ac5714" TargetMode="External"/><Relationship Id="rId178" Type="http://schemas.openxmlformats.org/officeDocument/2006/relationships/hyperlink" Target="https://doi.org/10.1016/j.jglr.2020.10.007" TargetMode="External"/><Relationship Id="rId301" Type="http://schemas.openxmlformats.org/officeDocument/2006/relationships/hyperlink" Target="https://doi.org/10.1016/j.marpolbul.2022.114273" TargetMode="External"/><Relationship Id="rId343" Type="http://schemas.openxmlformats.org/officeDocument/2006/relationships/hyperlink" Target="https://doi.org/10.1139/facets-2022-0104" TargetMode="External"/><Relationship Id="rId82" Type="http://schemas.openxmlformats.org/officeDocument/2006/relationships/hyperlink" Target="https://doi.org/10.1021/acs.est.7b05829" TargetMode="External"/><Relationship Id="rId203" Type="http://schemas.openxmlformats.org/officeDocument/2006/relationships/hyperlink" Target="https://doi.org/10.1002/etc.5832" TargetMode="External"/><Relationship Id="rId385" Type="http://schemas.openxmlformats.org/officeDocument/2006/relationships/hyperlink" Target="https://doi.org/10.1139/facets-2022-0104" TargetMode="External"/><Relationship Id="rId245" Type="http://schemas.openxmlformats.org/officeDocument/2006/relationships/hyperlink" Target="https://doi.org/10.1016/j.jglr.2018.07.014" TargetMode="External"/><Relationship Id="rId287" Type="http://schemas.openxmlformats.org/officeDocument/2006/relationships/hyperlink" Target="https://doi.org/10.1016/j.marpolbul.2022.114273" TargetMode="External"/><Relationship Id="rId410" Type="http://schemas.openxmlformats.org/officeDocument/2006/relationships/hyperlink" Target="https://doi.org/10.1007/s10661-019-7297-3" TargetMode="External"/><Relationship Id="rId452" Type="http://schemas.openxmlformats.org/officeDocument/2006/relationships/hyperlink" Target="https://doi.org/10.1016/j.scitotenv.2025.180762" TargetMode="External"/><Relationship Id="rId494" Type="http://schemas.openxmlformats.org/officeDocument/2006/relationships/hyperlink" Target="https://doi.org/10.3354/aei00316" TargetMode="External"/><Relationship Id="rId508" Type="http://schemas.openxmlformats.org/officeDocument/2006/relationships/hyperlink" Target="https://doi.org/10.1021/acs.est.0c06087" TargetMode="External"/><Relationship Id="rId105" Type="http://schemas.openxmlformats.org/officeDocument/2006/relationships/hyperlink" Target="https://doi.org/10.1088/1748-9326/ac5714" TargetMode="External"/><Relationship Id="rId147" Type="http://schemas.openxmlformats.org/officeDocument/2006/relationships/hyperlink" Target="https://doi.org/10.1088/1748-9326/ac5714" TargetMode="External"/><Relationship Id="rId312" Type="http://schemas.openxmlformats.org/officeDocument/2006/relationships/hyperlink" Target="https://doi.org/10.1139/cjfas-2014-0281" TargetMode="External"/><Relationship Id="rId354" Type="http://schemas.openxmlformats.org/officeDocument/2006/relationships/hyperlink" Target="https://doi.org/10.1139/facets-2022-0104" TargetMode="External"/><Relationship Id="rId51" Type="http://schemas.openxmlformats.org/officeDocument/2006/relationships/hyperlink" Target="https://doi.org/10.1016/j.marpolbul.2013.10.007" TargetMode="External"/><Relationship Id="rId93" Type="http://schemas.openxmlformats.org/officeDocument/2006/relationships/hyperlink" Target="https://doi.org/10.1088/1748-9326/ac5714" TargetMode="External"/><Relationship Id="rId189" Type="http://schemas.openxmlformats.org/officeDocument/2006/relationships/hyperlink" Target="https://doi.org/10.1016/j.jglr.2020.10.007" TargetMode="External"/><Relationship Id="rId396" Type="http://schemas.openxmlformats.org/officeDocument/2006/relationships/hyperlink" Target="https://doi.org/10.1139/facets-2022-0104" TargetMode="External"/><Relationship Id="rId214" Type="http://schemas.openxmlformats.org/officeDocument/2006/relationships/hyperlink" Target="https://doi.org/10.1007/s11270-011-0760-6" TargetMode="External"/><Relationship Id="rId256" Type="http://schemas.openxmlformats.org/officeDocument/2006/relationships/hyperlink" Target="https://doi.org/10.1016/j.marpolbul.2013.12.035" TargetMode="External"/><Relationship Id="rId298" Type="http://schemas.openxmlformats.org/officeDocument/2006/relationships/hyperlink" Target="https://doi.org/10.1016/j.marpolbul.2022.114273" TargetMode="External"/><Relationship Id="rId421" Type="http://schemas.openxmlformats.org/officeDocument/2006/relationships/hyperlink" Target="https://doi.org/10.1007/s10661-019-7297-3" TargetMode="External"/><Relationship Id="rId463" Type="http://schemas.openxmlformats.org/officeDocument/2006/relationships/hyperlink" Target="https://doi.org/10.1098/rsta.2023.0023" TargetMode="External"/><Relationship Id="rId519" Type="http://schemas.openxmlformats.org/officeDocument/2006/relationships/hyperlink" Target="https://doi.org/10.1021/acs.est.0c06087" TargetMode="External"/><Relationship Id="rId116" Type="http://schemas.openxmlformats.org/officeDocument/2006/relationships/hyperlink" Target="https://doi.org/10.1088/1748-9326/ac5714" TargetMode="External"/><Relationship Id="rId158" Type="http://schemas.openxmlformats.org/officeDocument/2006/relationships/hyperlink" Target="https://doi.org/10.1016/j.jglr.2020.10.007" TargetMode="External"/><Relationship Id="rId323" Type="http://schemas.openxmlformats.org/officeDocument/2006/relationships/hyperlink" Target="https://doi.org/10.3389/frwa.2022.958130" TargetMode="External"/><Relationship Id="rId20" Type="http://schemas.openxmlformats.org/officeDocument/2006/relationships/hyperlink" Target="https://doi.org/10.1139/FACETS-2019-0042" TargetMode="External"/><Relationship Id="rId62" Type="http://schemas.openxmlformats.org/officeDocument/2006/relationships/hyperlink" Target="https://doi.org/10.1016/j.marpolbul.2013.10.007" TargetMode="External"/><Relationship Id="rId365" Type="http://schemas.openxmlformats.org/officeDocument/2006/relationships/hyperlink" Target="https://doi.org/10.1139/facets-2022-0104" TargetMode="External"/><Relationship Id="rId225" Type="http://schemas.openxmlformats.org/officeDocument/2006/relationships/hyperlink" Target="https://doi.org/10.1016/j.jglr.2018.07.014" TargetMode="External"/><Relationship Id="rId267" Type="http://schemas.openxmlformats.org/officeDocument/2006/relationships/hyperlink" Target="https://doi.org/10.1016/j.scitotenv.2020.140824" TargetMode="External"/><Relationship Id="rId432" Type="http://schemas.openxmlformats.org/officeDocument/2006/relationships/hyperlink" Target="https://doi.org/10.3354/meps13966" TargetMode="External"/><Relationship Id="rId474" Type="http://schemas.openxmlformats.org/officeDocument/2006/relationships/hyperlink" Target="https://doi.org/10.5203/pmuser.201730578" TargetMode="External"/><Relationship Id="rId127" Type="http://schemas.openxmlformats.org/officeDocument/2006/relationships/hyperlink" Target="https://doi.org/10.1088/1748-9326/ac5714" TargetMode="External"/><Relationship Id="rId31" Type="http://schemas.openxmlformats.org/officeDocument/2006/relationships/hyperlink" Target="https://doi.org/10.1139/FACETS-2019-0042" TargetMode="External"/><Relationship Id="rId73" Type="http://schemas.openxmlformats.org/officeDocument/2006/relationships/hyperlink" Target="https://doi.org/10.1021/acs.est.7b05829" TargetMode="External"/><Relationship Id="rId169" Type="http://schemas.openxmlformats.org/officeDocument/2006/relationships/hyperlink" Target="https://doi.org/10.1016/j.jglr.2020.10.007" TargetMode="External"/><Relationship Id="rId334" Type="http://schemas.openxmlformats.org/officeDocument/2006/relationships/hyperlink" Target="https://doi.org/10.1139/facets-2022-0104" TargetMode="External"/><Relationship Id="rId376" Type="http://schemas.openxmlformats.org/officeDocument/2006/relationships/hyperlink" Target="https://doi.org/10.1139/facets-2022-0104" TargetMode="External"/><Relationship Id="rId4" Type="http://schemas.openxmlformats.org/officeDocument/2006/relationships/hyperlink" Target="https://doi.org/10.1139/as-2023-0041" TargetMode="External"/><Relationship Id="rId180" Type="http://schemas.openxmlformats.org/officeDocument/2006/relationships/hyperlink" Target="https://doi.org/10.1016/j.jglr.2020.10.007" TargetMode="External"/><Relationship Id="rId236" Type="http://schemas.openxmlformats.org/officeDocument/2006/relationships/hyperlink" Target="https://doi.org/10.1016/j.jglr.2018.07.014" TargetMode="External"/><Relationship Id="rId278" Type="http://schemas.openxmlformats.org/officeDocument/2006/relationships/hyperlink" Target="https://doi.org/10.1016/j.marpolbul.2022.114273" TargetMode="External"/><Relationship Id="rId401" Type="http://schemas.openxmlformats.org/officeDocument/2006/relationships/hyperlink" Target="https://doi.org/10.1007/s10661-019-7297-3" TargetMode="External"/><Relationship Id="rId443" Type="http://schemas.openxmlformats.org/officeDocument/2006/relationships/hyperlink" Target="https://doi.org/10.1016/j.scitotenv.2025.180762" TargetMode="External"/><Relationship Id="rId303" Type="http://schemas.openxmlformats.org/officeDocument/2006/relationships/hyperlink" Target="https://doi.org/10.1016/j.marpolbul.2022.114273" TargetMode="External"/><Relationship Id="rId485" Type="http://schemas.openxmlformats.org/officeDocument/2006/relationships/hyperlink" Target="https://doi.org/10.3354/aei00316" TargetMode="External"/><Relationship Id="rId42" Type="http://schemas.openxmlformats.org/officeDocument/2006/relationships/hyperlink" Target="https://doi.org/10.1139/FACETS-2019-0042" TargetMode="External"/><Relationship Id="rId84" Type="http://schemas.openxmlformats.org/officeDocument/2006/relationships/hyperlink" Target="https://doi.org/10.1002/etc.5832" TargetMode="External"/><Relationship Id="rId138" Type="http://schemas.openxmlformats.org/officeDocument/2006/relationships/hyperlink" Target="https://doi.org/10.1088/1748-9326/ac5714" TargetMode="External"/><Relationship Id="rId345" Type="http://schemas.openxmlformats.org/officeDocument/2006/relationships/hyperlink" Target="https://doi.org/10.1139/facets-2022-0104" TargetMode="External"/><Relationship Id="rId387" Type="http://schemas.openxmlformats.org/officeDocument/2006/relationships/hyperlink" Target="https://doi.org/10.1139/facets-2022-0104" TargetMode="External"/><Relationship Id="rId510" Type="http://schemas.openxmlformats.org/officeDocument/2006/relationships/hyperlink" Target="https://doi.org/10.1021/acs.est.0c06087" TargetMode="External"/><Relationship Id="rId191" Type="http://schemas.openxmlformats.org/officeDocument/2006/relationships/hyperlink" Target="https://doi.org/10.1016/j.jglr.2020.10.007" TargetMode="External"/><Relationship Id="rId205" Type="http://schemas.openxmlformats.org/officeDocument/2006/relationships/hyperlink" Target="https://doi.org/10.1002/etc.5832" TargetMode="External"/><Relationship Id="rId247" Type="http://schemas.openxmlformats.org/officeDocument/2006/relationships/hyperlink" Target="https://doi.org/10.1016/j.scitotenv.2020.140824" TargetMode="External"/><Relationship Id="rId412" Type="http://schemas.openxmlformats.org/officeDocument/2006/relationships/hyperlink" Target="https://doi.org/10.1007/s10661-019-7297-3" TargetMode="External"/><Relationship Id="rId107" Type="http://schemas.openxmlformats.org/officeDocument/2006/relationships/hyperlink" Target="https://doi.org/10.1088/1748-9326/ac5714" TargetMode="External"/><Relationship Id="rId289" Type="http://schemas.openxmlformats.org/officeDocument/2006/relationships/hyperlink" Target="https://doi.org/10.1016/j.marpolbul.2022.114273" TargetMode="External"/><Relationship Id="rId454" Type="http://schemas.openxmlformats.org/officeDocument/2006/relationships/hyperlink" Target="https://doi.org/10.1016/j.scitotenv.2025.180762" TargetMode="External"/><Relationship Id="rId496" Type="http://schemas.openxmlformats.org/officeDocument/2006/relationships/hyperlink" Target="https://doi.org/10.3354/aei00316" TargetMode="External"/><Relationship Id="rId11" Type="http://schemas.openxmlformats.org/officeDocument/2006/relationships/hyperlink" Target="https://doi.org/10.1139/FACETS-2019-0042" TargetMode="External"/><Relationship Id="rId53" Type="http://schemas.openxmlformats.org/officeDocument/2006/relationships/hyperlink" Target="https://doi.org/10.1016/j.marpolbul.2013.10.007" TargetMode="External"/><Relationship Id="rId149" Type="http://schemas.openxmlformats.org/officeDocument/2006/relationships/hyperlink" Target="https://doi.org/10.1088/1748-9326/ac5714" TargetMode="External"/><Relationship Id="rId314" Type="http://schemas.openxmlformats.org/officeDocument/2006/relationships/hyperlink" Target="https://doi.org/10.1139/cjfas-2014-0281" TargetMode="External"/><Relationship Id="rId356" Type="http://schemas.openxmlformats.org/officeDocument/2006/relationships/hyperlink" Target="https://doi.org/10.1139/facets-2022-0104" TargetMode="External"/><Relationship Id="rId398" Type="http://schemas.openxmlformats.org/officeDocument/2006/relationships/hyperlink" Target="https://doi.org/10.1007/s10661-019-7297-3" TargetMode="External"/><Relationship Id="rId521" Type="http://schemas.openxmlformats.org/officeDocument/2006/relationships/hyperlink" Target="https://doi.org/10.13140/RG.2.2.27753.98411" TargetMode="External"/><Relationship Id="rId95" Type="http://schemas.openxmlformats.org/officeDocument/2006/relationships/hyperlink" Target="https://doi.org/10.1088/1748-9326/ac5714" TargetMode="External"/><Relationship Id="rId160" Type="http://schemas.openxmlformats.org/officeDocument/2006/relationships/hyperlink" Target="https://doi.org/10.1016/j.jglr.2020.10.007" TargetMode="External"/><Relationship Id="rId216" Type="http://schemas.openxmlformats.org/officeDocument/2006/relationships/hyperlink" Target="https://doi.org/10.1021/acsestwater.5c00080" TargetMode="External"/><Relationship Id="rId423" Type="http://schemas.openxmlformats.org/officeDocument/2006/relationships/hyperlink" Target="https://doi.org/10.1016/j.scitotenv.2025.180762" TargetMode="External"/><Relationship Id="rId258" Type="http://schemas.openxmlformats.org/officeDocument/2006/relationships/hyperlink" Target="https://doi.org/10.1021/acsestwater.3c00526" TargetMode="External"/><Relationship Id="rId465" Type="http://schemas.openxmlformats.org/officeDocument/2006/relationships/hyperlink" Target="https://doi.org/10.13140/RG.2.2.27753.98401" TargetMode="External"/><Relationship Id="rId22" Type="http://schemas.openxmlformats.org/officeDocument/2006/relationships/hyperlink" Target="https://doi.org/10.1139/FACETS-2019-0042" TargetMode="External"/><Relationship Id="rId64" Type="http://schemas.openxmlformats.org/officeDocument/2006/relationships/hyperlink" Target="https://doi.org/10.1016/j.marpolbul.2013.10.007" TargetMode="External"/><Relationship Id="rId118" Type="http://schemas.openxmlformats.org/officeDocument/2006/relationships/hyperlink" Target="https://doi.org/10.1088/1748-9326/ac5714" TargetMode="External"/><Relationship Id="rId325" Type="http://schemas.openxmlformats.org/officeDocument/2006/relationships/hyperlink" Target="https://doi.org/10.3389/frwa.2022.958130" TargetMode="External"/><Relationship Id="rId367" Type="http://schemas.openxmlformats.org/officeDocument/2006/relationships/hyperlink" Target="https://doi.org/10.1139/facets-2022-0104" TargetMode="External"/><Relationship Id="rId171" Type="http://schemas.openxmlformats.org/officeDocument/2006/relationships/hyperlink" Target="https://doi.org/10.1016/j.jglr.2020.10.007" TargetMode="External"/><Relationship Id="rId227" Type="http://schemas.openxmlformats.org/officeDocument/2006/relationships/hyperlink" Target="https://doi.org/10.1016/j.jglr.2018.07.014" TargetMode="External"/><Relationship Id="rId269" Type="http://schemas.openxmlformats.org/officeDocument/2006/relationships/hyperlink" Target="https://doi.org/10.1016/j.scitotenv.2020.140824" TargetMode="External"/><Relationship Id="rId434" Type="http://schemas.openxmlformats.org/officeDocument/2006/relationships/hyperlink" Target="https://doi.org/10.1016/j.scitotenv.2021.146809" TargetMode="External"/><Relationship Id="rId476" Type="http://schemas.openxmlformats.org/officeDocument/2006/relationships/hyperlink" Target="https://doi.org/10.5203/pmuser.201730578" TargetMode="External"/><Relationship Id="rId33" Type="http://schemas.openxmlformats.org/officeDocument/2006/relationships/hyperlink" Target="https://doi.org/10.1139/FACETS-2019-0042" TargetMode="External"/><Relationship Id="rId129" Type="http://schemas.openxmlformats.org/officeDocument/2006/relationships/hyperlink" Target="https://doi.org/10.1088/1748-9326/ac5714" TargetMode="External"/><Relationship Id="rId280" Type="http://schemas.openxmlformats.org/officeDocument/2006/relationships/hyperlink" Target="https://doi.org/10.1016/j.marpolbul.2022.114273" TargetMode="External"/><Relationship Id="rId336" Type="http://schemas.openxmlformats.org/officeDocument/2006/relationships/hyperlink" Target="https://doi.org/10.1139/facets-2022-0104" TargetMode="External"/><Relationship Id="rId501" Type="http://schemas.openxmlformats.org/officeDocument/2006/relationships/hyperlink" Target="https://doi.org/10.3354/aei00316" TargetMode="External"/><Relationship Id="rId75" Type="http://schemas.openxmlformats.org/officeDocument/2006/relationships/hyperlink" Target="https://doi.org/10.1021/acs.est.7b05829" TargetMode="External"/><Relationship Id="rId140" Type="http://schemas.openxmlformats.org/officeDocument/2006/relationships/hyperlink" Target="https://doi.org/10.1088/1748-9326/ac5714" TargetMode="External"/><Relationship Id="rId182" Type="http://schemas.openxmlformats.org/officeDocument/2006/relationships/hyperlink" Target="https://doi.org/10.1016/j.jglr.2020.10.007" TargetMode="External"/><Relationship Id="rId378" Type="http://schemas.openxmlformats.org/officeDocument/2006/relationships/hyperlink" Target="https://doi.org/10.1139/facets-2022-0104" TargetMode="External"/><Relationship Id="rId403" Type="http://schemas.openxmlformats.org/officeDocument/2006/relationships/hyperlink" Target="https://doi.org/10.1007/s10661-019-7297-3" TargetMode="External"/><Relationship Id="rId6" Type="http://schemas.openxmlformats.org/officeDocument/2006/relationships/hyperlink" Target="https://doi.org/10.1139/as-2023-0041" TargetMode="External"/><Relationship Id="rId238" Type="http://schemas.openxmlformats.org/officeDocument/2006/relationships/hyperlink" Target="https://doi.org/10.1016/j.jglr.2018.07.014" TargetMode="External"/><Relationship Id="rId445" Type="http://schemas.openxmlformats.org/officeDocument/2006/relationships/hyperlink" Target="https://www.sciencedirect.com/science/article/pii/S0304389425038385?via%3Dihub" TargetMode="External"/><Relationship Id="rId487" Type="http://schemas.openxmlformats.org/officeDocument/2006/relationships/hyperlink" Target="https://doi.org/10.3354/aei00316" TargetMode="External"/><Relationship Id="rId291" Type="http://schemas.openxmlformats.org/officeDocument/2006/relationships/hyperlink" Target="https://doi.org/10.1016/j.marpolbul.2022.114273" TargetMode="External"/><Relationship Id="rId305" Type="http://schemas.openxmlformats.org/officeDocument/2006/relationships/hyperlink" Target="https://doi.org/10.1016/j.marpolbul.2022.114273" TargetMode="External"/><Relationship Id="rId347" Type="http://schemas.openxmlformats.org/officeDocument/2006/relationships/hyperlink" Target="https://doi.org/10.1139/facets-2022-0104" TargetMode="External"/><Relationship Id="rId512" Type="http://schemas.openxmlformats.org/officeDocument/2006/relationships/hyperlink" Target="https://doi.org/10.1021/acs.est.0c06087" TargetMode="External"/><Relationship Id="rId44" Type="http://schemas.openxmlformats.org/officeDocument/2006/relationships/hyperlink" Target="https://doi.org/10.1139/FACETS-2019-0042" TargetMode="External"/><Relationship Id="rId86" Type="http://schemas.openxmlformats.org/officeDocument/2006/relationships/hyperlink" Target="https://doi.org/10.1016/j.jglr.2020.10.007" TargetMode="External"/><Relationship Id="rId151" Type="http://schemas.openxmlformats.org/officeDocument/2006/relationships/hyperlink" Target="https://doi.org/10.1088/1748-9326/ac5714" TargetMode="External"/><Relationship Id="rId389" Type="http://schemas.openxmlformats.org/officeDocument/2006/relationships/hyperlink" Target="https://doi.org/10.1139/facets-2022-0104" TargetMode="External"/><Relationship Id="rId193" Type="http://schemas.openxmlformats.org/officeDocument/2006/relationships/hyperlink" Target="https://doi.org/10.1016/j.jglr.2020.10.007" TargetMode="External"/><Relationship Id="rId207" Type="http://schemas.openxmlformats.org/officeDocument/2006/relationships/hyperlink" Target="https://doi.org/10.1002/etc.5832" TargetMode="External"/><Relationship Id="rId249" Type="http://schemas.openxmlformats.org/officeDocument/2006/relationships/hyperlink" Target="https://doi.org/10.1002/etc.5832" TargetMode="External"/><Relationship Id="rId414" Type="http://schemas.openxmlformats.org/officeDocument/2006/relationships/hyperlink" Target="https://doi.org/10.1007/s10661-019-7297-3" TargetMode="External"/><Relationship Id="rId456" Type="http://schemas.openxmlformats.org/officeDocument/2006/relationships/hyperlink" Target="https://doi.org/10.1016/j.scitotenv.2025.180762" TargetMode="External"/><Relationship Id="rId498" Type="http://schemas.openxmlformats.org/officeDocument/2006/relationships/hyperlink" Target="https://doi.org/10.3354/aei00316" TargetMode="External"/><Relationship Id="rId13" Type="http://schemas.openxmlformats.org/officeDocument/2006/relationships/hyperlink" Target="https://doi.org/10.1139/FACETS-2019-0042" TargetMode="External"/><Relationship Id="rId109" Type="http://schemas.openxmlformats.org/officeDocument/2006/relationships/hyperlink" Target="https://doi.org/10.1088/1748-9326/ac5714" TargetMode="External"/><Relationship Id="rId260" Type="http://schemas.openxmlformats.org/officeDocument/2006/relationships/hyperlink" Target="https://doi.org/10.1021/acsestwater.3c00526" TargetMode="External"/><Relationship Id="rId316" Type="http://schemas.openxmlformats.org/officeDocument/2006/relationships/hyperlink" Target="https://doi.org/10.1139/cjfas-2014-0281" TargetMode="External"/><Relationship Id="rId523" Type="http://schemas.openxmlformats.org/officeDocument/2006/relationships/hyperlink" Target="https://esajournals.onlinelibrary.wiley.com/doi/10.1002/eap.2654" TargetMode="External"/><Relationship Id="rId55" Type="http://schemas.openxmlformats.org/officeDocument/2006/relationships/hyperlink" Target="https://doi.org/10.1016/j.marpolbul.2013.10.007" TargetMode="External"/><Relationship Id="rId97" Type="http://schemas.openxmlformats.org/officeDocument/2006/relationships/hyperlink" Target="https://doi.org/10.1088/1748-9326/ac5714" TargetMode="External"/><Relationship Id="rId120" Type="http://schemas.openxmlformats.org/officeDocument/2006/relationships/hyperlink" Target="https://doi.org/10.1088/1748-9326/ac5714" TargetMode="External"/><Relationship Id="rId358" Type="http://schemas.openxmlformats.org/officeDocument/2006/relationships/hyperlink" Target="https://doi.org/10.1139/facets-2022-0104" TargetMode="External"/><Relationship Id="rId162" Type="http://schemas.openxmlformats.org/officeDocument/2006/relationships/hyperlink" Target="https://doi.org/10.1016/j.jglr.2020.10.007" TargetMode="External"/><Relationship Id="rId218" Type="http://schemas.openxmlformats.org/officeDocument/2006/relationships/hyperlink" Target="https://doi.org/10.1016/j.scitotenv.2020.140824" TargetMode="External"/><Relationship Id="rId425" Type="http://schemas.openxmlformats.org/officeDocument/2006/relationships/hyperlink" Target="https://doi.org/10.1098/rsta.2023.0023" TargetMode="External"/><Relationship Id="rId467" Type="http://schemas.openxmlformats.org/officeDocument/2006/relationships/hyperlink" Target="https://doi.org/10.1021/acsestwater.2c00169" TargetMode="External"/><Relationship Id="rId271" Type="http://schemas.openxmlformats.org/officeDocument/2006/relationships/hyperlink" Target="https://doi.org/10.1016/j.scitotenv.2020.140824" TargetMode="External"/><Relationship Id="rId24" Type="http://schemas.openxmlformats.org/officeDocument/2006/relationships/hyperlink" Target="https://doi.org/10.1139/FACETS-2019-0042" TargetMode="External"/><Relationship Id="rId66" Type="http://schemas.openxmlformats.org/officeDocument/2006/relationships/hyperlink" Target="https://doi.org/10.1016/j.marpolbul.2013.10.007" TargetMode="External"/><Relationship Id="rId131" Type="http://schemas.openxmlformats.org/officeDocument/2006/relationships/hyperlink" Target="https://doi.org/10.1088/1748-9326/ac5714" TargetMode="External"/><Relationship Id="rId327" Type="http://schemas.openxmlformats.org/officeDocument/2006/relationships/hyperlink" Target="https://doi.org/10.3389/frwa.2022.958130" TargetMode="External"/><Relationship Id="rId369" Type="http://schemas.openxmlformats.org/officeDocument/2006/relationships/hyperlink" Target="https://doi.org/10.1139/facets-2022-0104" TargetMode="External"/><Relationship Id="rId173" Type="http://schemas.openxmlformats.org/officeDocument/2006/relationships/hyperlink" Target="https://doi.org/10.1016/j.jglr.2020.10.007" TargetMode="External"/><Relationship Id="rId229" Type="http://schemas.openxmlformats.org/officeDocument/2006/relationships/hyperlink" Target="https://doi.org/10.1016/j.jglr.2018.07.014" TargetMode="External"/><Relationship Id="rId380" Type="http://schemas.openxmlformats.org/officeDocument/2006/relationships/hyperlink" Target="https://doi.org/10.1139/facets-2022-0104" TargetMode="External"/><Relationship Id="rId436" Type="http://schemas.openxmlformats.org/officeDocument/2006/relationships/hyperlink" Target="https://doi.org/10.1016/j.scitotenv.2021.146809" TargetMode="External"/><Relationship Id="rId240" Type="http://schemas.openxmlformats.org/officeDocument/2006/relationships/hyperlink" Target="https://doi.org/10.1016/j.jglr.2018.07.014" TargetMode="External"/><Relationship Id="rId478" Type="http://schemas.openxmlformats.org/officeDocument/2006/relationships/hyperlink" Target="https://doi.org/10.3354/aei00316" TargetMode="External"/><Relationship Id="rId35" Type="http://schemas.openxmlformats.org/officeDocument/2006/relationships/hyperlink" Target="https://doi.org/10.1139/FACETS-2019-0042" TargetMode="External"/><Relationship Id="rId77" Type="http://schemas.openxmlformats.org/officeDocument/2006/relationships/hyperlink" Target="https://doi.org/10.1021/acs.est.7b05829" TargetMode="External"/><Relationship Id="rId100" Type="http://schemas.openxmlformats.org/officeDocument/2006/relationships/hyperlink" Target="https://doi.org/10.1088/1748-9326/ac5714" TargetMode="External"/><Relationship Id="rId282" Type="http://schemas.openxmlformats.org/officeDocument/2006/relationships/hyperlink" Target="https://doi.org/10.1016/j.marpolbul.2022.114273" TargetMode="External"/><Relationship Id="rId338" Type="http://schemas.openxmlformats.org/officeDocument/2006/relationships/hyperlink" Target="https://doi.org/10.1139/facets-2022-0104" TargetMode="External"/><Relationship Id="rId503" Type="http://schemas.openxmlformats.org/officeDocument/2006/relationships/hyperlink" Target="https://doi.org/10.3354/aei00316" TargetMode="External"/><Relationship Id="rId8" Type="http://schemas.openxmlformats.org/officeDocument/2006/relationships/hyperlink" Target="https://doi.org/10.1139/FACETS-2019-0042" TargetMode="External"/><Relationship Id="rId142" Type="http://schemas.openxmlformats.org/officeDocument/2006/relationships/hyperlink" Target="https://doi.org/10.1088/1748-9326/ac5714" TargetMode="External"/><Relationship Id="rId184" Type="http://schemas.openxmlformats.org/officeDocument/2006/relationships/hyperlink" Target="https://doi.org/10.1016/j.jglr.2020.10.007" TargetMode="External"/><Relationship Id="rId391" Type="http://schemas.openxmlformats.org/officeDocument/2006/relationships/hyperlink" Target="https://doi.org/10.1139/facets-2022-0104" TargetMode="External"/><Relationship Id="rId405" Type="http://schemas.openxmlformats.org/officeDocument/2006/relationships/hyperlink" Target="https://doi.org/10.1007/s10661-019-7297-3" TargetMode="External"/><Relationship Id="rId447" Type="http://schemas.openxmlformats.org/officeDocument/2006/relationships/hyperlink" Target="https://www.sciencedirect.com/science/article/pii/S0304389425038385?via%3Dihub" TargetMode="External"/><Relationship Id="rId251" Type="http://schemas.openxmlformats.org/officeDocument/2006/relationships/hyperlink" Target="https://doi.org/10.1002/etc.5832" TargetMode="External"/><Relationship Id="rId489" Type="http://schemas.openxmlformats.org/officeDocument/2006/relationships/hyperlink" Target="https://doi.org/10.3354/aei00316" TargetMode="External"/><Relationship Id="rId46" Type="http://schemas.openxmlformats.org/officeDocument/2006/relationships/hyperlink" Target="https://doi.org/10.1139/FACETS-2019-0042" TargetMode="External"/><Relationship Id="rId293" Type="http://schemas.openxmlformats.org/officeDocument/2006/relationships/hyperlink" Target="https://doi.org/10.1016/j.marpolbul.2022.114273" TargetMode="External"/><Relationship Id="rId307" Type="http://schemas.openxmlformats.org/officeDocument/2006/relationships/hyperlink" Target="https://doi.org/10.1016/j.marpolbul.2022.114273" TargetMode="External"/><Relationship Id="rId349" Type="http://schemas.openxmlformats.org/officeDocument/2006/relationships/hyperlink" Target="https://doi.org/10.1139/facets-2022-0104" TargetMode="External"/><Relationship Id="rId514" Type="http://schemas.openxmlformats.org/officeDocument/2006/relationships/hyperlink" Target="https://doi.org/10.1021/acs.est.0c06087" TargetMode="External"/><Relationship Id="rId88" Type="http://schemas.openxmlformats.org/officeDocument/2006/relationships/hyperlink" Target="https://doi.org/10.1088/1748-9326/ac5714" TargetMode="External"/><Relationship Id="rId111" Type="http://schemas.openxmlformats.org/officeDocument/2006/relationships/hyperlink" Target="https://doi.org/10.1088/1748-9326/ac5714" TargetMode="External"/><Relationship Id="rId153" Type="http://schemas.openxmlformats.org/officeDocument/2006/relationships/hyperlink" Target="https://doi.org/10.1016/j.jglr.2020.10.007" TargetMode="External"/><Relationship Id="rId195" Type="http://schemas.openxmlformats.org/officeDocument/2006/relationships/hyperlink" Target="https://doi.org/10.1016/j.jglr.2020.10.007" TargetMode="External"/><Relationship Id="rId209" Type="http://schemas.openxmlformats.org/officeDocument/2006/relationships/hyperlink" Target="https://doi.org/10.1093/etojnl/vgae044" TargetMode="External"/><Relationship Id="rId360" Type="http://schemas.openxmlformats.org/officeDocument/2006/relationships/hyperlink" Target="https://doi.org/10.1139/facets-2022-0104" TargetMode="External"/><Relationship Id="rId416" Type="http://schemas.openxmlformats.org/officeDocument/2006/relationships/hyperlink" Target="https://doi.org/10.1007/s10661-019-7297-3" TargetMode="External"/><Relationship Id="rId220" Type="http://schemas.openxmlformats.org/officeDocument/2006/relationships/hyperlink" Target="https://doi.org/10.1021/acsestwater.5c00080" TargetMode="External"/><Relationship Id="rId458" Type="http://schemas.openxmlformats.org/officeDocument/2006/relationships/hyperlink" Target="https://doi.org/10.1016/j.scitotenv.2025.180762" TargetMode="External"/><Relationship Id="rId15" Type="http://schemas.openxmlformats.org/officeDocument/2006/relationships/hyperlink" Target="https://doi.org/10.1139/FACETS-2019-0042" TargetMode="External"/><Relationship Id="rId57" Type="http://schemas.openxmlformats.org/officeDocument/2006/relationships/hyperlink" Target="https://doi.org/10.1016/j.marpolbul.2013.10.007" TargetMode="External"/><Relationship Id="rId262" Type="http://schemas.openxmlformats.org/officeDocument/2006/relationships/hyperlink" Target="https://doi.org/10.1021/acsestwater.3c00526" TargetMode="External"/><Relationship Id="rId318" Type="http://schemas.openxmlformats.org/officeDocument/2006/relationships/hyperlink" Target="https://doi.org/10.1139/cjfas-2014-0281" TargetMode="External"/><Relationship Id="rId525" Type="http://schemas.openxmlformats.org/officeDocument/2006/relationships/printerSettings" Target="../printerSettings/printerSettings2.bin"/><Relationship Id="rId99" Type="http://schemas.openxmlformats.org/officeDocument/2006/relationships/hyperlink" Target="https://doi.org/10.1088/1748-9326/ac5714" TargetMode="External"/><Relationship Id="rId122" Type="http://schemas.openxmlformats.org/officeDocument/2006/relationships/hyperlink" Target="https://doi.org/10.1088/1748-9326/ac5714" TargetMode="External"/><Relationship Id="rId164" Type="http://schemas.openxmlformats.org/officeDocument/2006/relationships/hyperlink" Target="https://doi.org/10.1016/j.jglr.2020.10.007" TargetMode="External"/><Relationship Id="rId371" Type="http://schemas.openxmlformats.org/officeDocument/2006/relationships/hyperlink" Target="https://doi.org/10.1139/facets-2022-0104" TargetMode="External"/><Relationship Id="rId427" Type="http://schemas.openxmlformats.org/officeDocument/2006/relationships/hyperlink" Target="https://doi.org/10.3354/aei00316" TargetMode="External"/><Relationship Id="rId469" Type="http://schemas.openxmlformats.org/officeDocument/2006/relationships/hyperlink" Target="https://doi.org/10.1021/acsestwater.2c00169" TargetMode="External"/><Relationship Id="rId26" Type="http://schemas.openxmlformats.org/officeDocument/2006/relationships/hyperlink" Target="https://doi.org/10.1139/FACETS-2019-0042" TargetMode="External"/><Relationship Id="rId231" Type="http://schemas.openxmlformats.org/officeDocument/2006/relationships/hyperlink" Target="https://doi.org/10.1016/j.jglr.2018.07.014" TargetMode="External"/><Relationship Id="rId273" Type="http://schemas.openxmlformats.org/officeDocument/2006/relationships/hyperlink" Target="https://doi.org/10.1016/j.scitotenv.2020.140824" TargetMode="External"/><Relationship Id="rId329" Type="http://schemas.openxmlformats.org/officeDocument/2006/relationships/hyperlink" Target="https://doi.org/10.3389/frwa.2022.958130" TargetMode="External"/><Relationship Id="rId480" Type="http://schemas.openxmlformats.org/officeDocument/2006/relationships/hyperlink" Target="https://doi.org/10.3354/aei00316" TargetMode="External"/><Relationship Id="rId68" Type="http://schemas.openxmlformats.org/officeDocument/2006/relationships/hyperlink" Target="https://doi.org/10.1016/j.marpolbul.2013.10.007" TargetMode="External"/><Relationship Id="rId133" Type="http://schemas.openxmlformats.org/officeDocument/2006/relationships/hyperlink" Target="https://doi.org/10.1088/1748-9326/ac5714" TargetMode="External"/><Relationship Id="rId175" Type="http://schemas.openxmlformats.org/officeDocument/2006/relationships/hyperlink" Target="https://doi.org/10.1016/j.jglr.2020.10.007" TargetMode="External"/><Relationship Id="rId340" Type="http://schemas.openxmlformats.org/officeDocument/2006/relationships/hyperlink" Target="https://doi.org/10.1139/facets-2022-0104" TargetMode="External"/><Relationship Id="rId200" Type="http://schemas.openxmlformats.org/officeDocument/2006/relationships/hyperlink" Target="https://doi.org/10.1002/etc.5832" TargetMode="External"/><Relationship Id="rId382" Type="http://schemas.openxmlformats.org/officeDocument/2006/relationships/hyperlink" Target="https://doi.org/10.1139/facets-2022-0104" TargetMode="External"/><Relationship Id="rId438" Type="http://schemas.openxmlformats.org/officeDocument/2006/relationships/hyperlink" Target="https://doi.org/10.1016/j.scitotenv.2021.146809" TargetMode="External"/><Relationship Id="rId242" Type="http://schemas.openxmlformats.org/officeDocument/2006/relationships/hyperlink" Target="https://doi.org/10.1016/j.jglr.2018.07.014" TargetMode="External"/><Relationship Id="rId284" Type="http://schemas.openxmlformats.org/officeDocument/2006/relationships/hyperlink" Target="https://doi.org/10.1016/j.marpolbul.2022.114273" TargetMode="External"/><Relationship Id="rId491" Type="http://schemas.openxmlformats.org/officeDocument/2006/relationships/hyperlink" Target="https://doi.org/10.3354/aei00316" TargetMode="External"/><Relationship Id="rId505" Type="http://schemas.openxmlformats.org/officeDocument/2006/relationships/hyperlink" Target="https://doi.org/10.3354/aei00316" TargetMode="External"/><Relationship Id="rId37" Type="http://schemas.openxmlformats.org/officeDocument/2006/relationships/hyperlink" Target="https://doi.org/10.1139/FACETS-2019-0042" TargetMode="External"/><Relationship Id="rId79" Type="http://schemas.openxmlformats.org/officeDocument/2006/relationships/hyperlink" Target="https://doi.org/10.1021/acs.est.7b05829" TargetMode="External"/><Relationship Id="rId102" Type="http://schemas.openxmlformats.org/officeDocument/2006/relationships/hyperlink" Target="https://doi.org/10.1088/1748-9326/ac5714" TargetMode="External"/><Relationship Id="rId144" Type="http://schemas.openxmlformats.org/officeDocument/2006/relationships/hyperlink" Target="https://doi.org/10.1088/1748-9326/ac5714" TargetMode="External"/><Relationship Id="rId90" Type="http://schemas.openxmlformats.org/officeDocument/2006/relationships/hyperlink" Target="https://doi.org/10.1088/1748-9326/ac5714" TargetMode="External"/><Relationship Id="rId186" Type="http://schemas.openxmlformats.org/officeDocument/2006/relationships/hyperlink" Target="https://doi.org/10.1016/j.jglr.2020.10.007" TargetMode="External"/><Relationship Id="rId351" Type="http://schemas.openxmlformats.org/officeDocument/2006/relationships/hyperlink" Target="https://doi.org/10.1139/facets-2022-0104" TargetMode="External"/><Relationship Id="rId393" Type="http://schemas.openxmlformats.org/officeDocument/2006/relationships/hyperlink" Target="https://doi.org/10.1139/facets-2022-0104" TargetMode="External"/><Relationship Id="rId407" Type="http://schemas.openxmlformats.org/officeDocument/2006/relationships/hyperlink" Target="https://doi.org/10.1007/s10661-019-7297-3" TargetMode="External"/><Relationship Id="rId449" Type="http://schemas.openxmlformats.org/officeDocument/2006/relationships/hyperlink" Target="https://cjur.ca/wp-content/uploads/2025/10/Volume-10-Issue-1-Tiet-et-al.pdf" TargetMode="External"/><Relationship Id="rId211" Type="http://schemas.openxmlformats.org/officeDocument/2006/relationships/hyperlink" Target="https://doi.org/10.1007/s11270-011-0760-6" TargetMode="External"/><Relationship Id="rId253" Type="http://schemas.openxmlformats.org/officeDocument/2006/relationships/hyperlink" Target="https://doi.org/10.1002/etc.5832" TargetMode="External"/><Relationship Id="rId295" Type="http://schemas.openxmlformats.org/officeDocument/2006/relationships/hyperlink" Target="https://doi.org/10.1016/j.marpolbul.2022.114273" TargetMode="External"/><Relationship Id="rId309" Type="http://schemas.openxmlformats.org/officeDocument/2006/relationships/hyperlink" Target="https://doi.org/10.1016/j.marpolbul.2022.114273" TargetMode="External"/><Relationship Id="rId460" Type="http://schemas.openxmlformats.org/officeDocument/2006/relationships/hyperlink" Target="https://www.sciencedirect.com/science/article/pii/S0304389425038385?via%3Dihub" TargetMode="External"/><Relationship Id="rId516" Type="http://schemas.openxmlformats.org/officeDocument/2006/relationships/hyperlink" Target="https://doi.org/10.1021/acs.est.0c06087" TargetMode="External"/><Relationship Id="rId48" Type="http://schemas.openxmlformats.org/officeDocument/2006/relationships/hyperlink" Target="https://doi.org/10.1139/FACETS-2019-0042" TargetMode="External"/><Relationship Id="rId113" Type="http://schemas.openxmlformats.org/officeDocument/2006/relationships/hyperlink" Target="https://doi.org/10.1088/1748-9326/ac5714" TargetMode="External"/><Relationship Id="rId320" Type="http://schemas.openxmlformats.org/officeDocument/2006/relationships/hyperlink" Target="https://doi.org/10.1139/cjfas-2014-0281" TargetMode="External"/><Relationship Id="rId155" Type="http://schemas.openxmlformats.org/officeDocument/2006/relationships/hyperlink" Target="https://doi.org/10.1016/j.jglr.2020.10.007" TargetMode="External"/><Relationship Id="rId197" Type="http://schemas.openxmlformats.org/officeDocument/2006/relationships/hyperlink" Target="https://doi.org/10.1016/j.jglr.2020.10.007" TargetMode="External"/><Relationship Id="rId362" Type="http://schemas.openxmlformats.org/officeDocument/2006/relationships/hyperlink" Target="https://doi.org/10.1139/facets-2022-0104" TargetMode="External"/><Relationship Id="rId418" Type="http://schemas.openxmlformats.org/officeDocument/2006/relationships/hyperlink" Target="https://doi.org/10.1007/s10661-019-7297-3" TargetMode="External"/><Relationship Id="rId222" Type="http://schemas.openxmlformats.org/officeDocument/2006/relationships/hyperlink" Target="https://doi.org/10.1021/acsestwater.5c00080" TargetMode="External"/><Relationship Id="rId264" Type="http://schemas.openxmlformats.org/officeDocument/2006/relationships/hyperlink" Target="https://doi.org/10.1016/j.scitotenv.2020.140824" TargetMode="External"/><Relationship Id="rId471" Type="http://schemas.openxmlformats.org/officeDocument/2006/relationships/hyperlink" Target="https://doi.org/10.1021/acsestwater.2c00169" TargetMode="External"/><Relationship Id="rId17" Type="http://schemas.openxmlformats.org/officeDocument/2006/relationships/hyperlink" Target="https://doi.org/10.1139/FACETS-2019-0042" TargetMode="External"/><Relationship Id="rId59" Type="http://schemas.openxmlformats.org/officeDocument/2006/relationships/hyperlink" Target="https://doi.org/10.1016/j.marpolbul.2013.10.007" TargetMode="External"/><Relationship Id="rId124" Type="http://schemas.openxmlformats.org/officeDocument/2006/relationships/hyperlink" Target="https://doi.org/10.1088/1748-9326/ac5714" TargetMode="External"/><Relationship Id="rId70" Type="http://schemas.openxmlformats.org/officeDocument/2006/relationships/hyperlink" Target="https://doi.org/10.1016/j.marpolbul.2013.10.007" TargetMode="External"/><Relationship Id="rId166" Type="http://schemas.openxmlformats.org/officeDocument/2006/relationships/hyperlink" Target="https://doi.org/10.1016/j.jglr.2020.10.007" TargetMode="External"/><Relationship Id="rId331" Type="http://schemas.openxmlformats.org/officeDocument/2006/relationships/hyperlink" Target="https://doi.org/10.1139/facets-2022-0104" TargetMode="External"/><Relationship Id="rId373" Type="http://schemas.openxmlformats.org/officeDocument/2006/relationships/hyperlink" Target="https://doi.org/10.1139/facets-2022-0104" TargetMode="External"/><Relationship Id="rId429" Type="http://schemas.openxmlformats.org/officeDocument/2006/relationships/hyperlink" Target="https://doi.org/10.1002/eap.2654" TargetMode="External"/><Relationship Id="rId1" Type="http://schemas.openxmlformats.org/officeDocument/2006/relationships/hyperlink" Target="https://doi.org/10.1016/j.marpolbul.2022.113869" TargetMode="External"/><Relationship Id="rId233" Type="http://schemas.openxmlformats.org/officeDocument/2006/relationships/hyperlink" Target="https://doi.org/10.1016/j.jglr.2018.07.014" TargetMode="External"/><Relationship Id="rId440" Type="http://schemas.openxmlformats.org/officeDocument/2006/relationships/hyperlink" Target="https://doi.org/10.1016/j.scitotenv.2021.146809" TargetMode="External"/><Relationship Id="rId28" Type="http://schemas.openxmlformats.org/officeDocument/2006/relationships/hyperlink" Target="https://doi.org/10.1139/FACETS-2019-0042" TargetMode="External"/><Relationship Id="rId275" Type="http://schemas.openxmlformats.org/officeDocument/2006/relationships/hyperlink" Target="https://doi.org/10.1016/j.marpolbul.2022.114273" TargetMode="External"/><Relationship Id="rId300" Type="http://schemas.openxmlformats.org/officeDocument/2006/relationships/hyperlink" Target="https://doi.org/10.1016/j.marpolbul.2022.114273" TargetMode="External"/><Relationship Id="rId482" Type="http://schemas.openxmlformats.org/officeDocument/2006/relationships/hyperlink" Target="https://doi.org/10.3354/aei00316" TargetMode="External"/><Relationship Id="rId81" Type="http://schemas.openxmlformats.org/officeDocument/2006/relationships/hyperlink" Target="https://doi.org/10.1021/acs.est.7b05829" TargetMode="External"/><Relationship Id="rId135" Type="http://schemas.openxmlformats.org/officeDocument/2006/relationships/hyperlink" Target="https://doi.org/10.1088/1748-9326/ac5714" TargetMode="External"/><Relationship Id="rId177" Type="http://schemas.openxmlformats.org/officeDocument/2006/relationships/hyperlink" Target="https://doi.org/10.1016/j.jglr.2020.10.007" TargetMode="External"/><Relationship Id="rId342" Type="http://schemas.openxmlformats.org/officeDocument/2006/relationships/hyperlink" Target="https://doi.org/10.1139/facets-2022-0104" TargetMode="External"/><Relationship Id="rId384" Type="http://schemas.openxmlformats.org/officeDocument/2006/relationships/hyperlink" Target="https://doi.org/10.1139/facets-2022-0104" TargetMode="External"/><Relationship Id="rId202" Type="http://schemas.openxmlformats.org/officeDocument/2006/relationships/hyperlink" Target="https://doi.org/10.1002/etc.5832" TargetMode="External"/><Relationship Id="rId244" Type="http://schemas.openxmlformats.org/officeDocument/2006/relationships/hyperlink" Target="https://doi.org/10.1016/j.jglr.2018.07.014" TargetMode="External"/><Relationship Id="rId39" Type="http://schemas.openxmlformats.org/officeDocument/2006/relationships/hyperlink" Target="https://doi.org/10.1139/FACETS-2019-0042" TargetMode="External"/><Relationship Id="rId286" Type="http://schemas.openxmlformats.org/officeDocument/2006/relationships/hyperlink" Target="https://doi.org/10.1016/j.marpolbul.2022.114273" TargetMode="External"/><Relationship Id="rId451" Type="http://schemas.openxmlformats.org/officeDocument/2006/relationships/hyperlink" Target="https://doi.org/10.1016/j.scitotenv.2025.180762" TargetMode="External"/><Relationship Id="rId493" Type="http://schemas.openxmlformats.org/officeDocument/2006/relationships/hyperlink" Target="https://doi.org/10.3354/aei00316" TargetMode="External"/><Relationship Id="rId507" Type="http://schemas.openxmlformats.org/officeDocument/2006/relationships/hyperlink" Target="https://doi.org/10.3354/aei00316" TargetMode="External"/><Relationship Id="rId50" Type="http://schemas.openxmlformats.org/officeDocument/2006/relationships/hyperlink" Target="https://doi.org/10.1016/j.marpolbul.2013.10.007" TargetMode="External"/><Relationship Id="rId104" Type="http://schemas.openxmlformats.org/officeDocument/2006/relationships/hyperlink" Target="https://doi.org/10.1088/1748-9326/ac5714" TargetMode="External"/><Relationship Id="rId146" Type="http://schemas.openxmlformats.org/officeDocument/2006/relationships/hyperlink" Target="https://doi.org/10.1088/1748-9326/ac5714" TargetMode="External"/><Relationship Id="rId188" Type="http://schemas.openxmlformats.org/officeDocument/2006/relationships/hyperlink" Target="https://doi.org/10.1016/j.jglr.2020.10.007" TargetMode="External"/><Relationship Id="rId311" Type="http://schemas.openxmlformats.org/officeDocument/2006/relationships/hyperlink" Target="https://doi.org/10.1139/cjfas-2014-0281" TargetMode="External"/><Relationship Id="rId353" Type="http://schemas.openxmlformats.org/officeDocument/2006/relationships/hyperlink" Target="https://doi.org/10.1139/facets-2022-0104" TargetMode="External"/><Relationship Id="rId395" Type="http://schemas.openxmlformats.org/officeDocument/2006/relationships/hyperlink" Target="https://doi.org/10.1139/facets-2022-0104" TargetMode="External"/><Relationship Id="rId409" Type="http://schemas.openxmlformats.org/officeDocument/2006/relationships/hyperlink" Target="https://doi.org/10.1007/s10661-019-7297-3" TargetMode="External"/><Relationship Id="rId92" Type="http://schemas.openxmlformats.org/officeDocument/2006/relationships/hyperlink" Target="https://doi.org/10.1088/1748-9326/ac5714" TargetMode="External"/><Relationship Id="rId213" Type="http://schemas.openxmlformats.org/officeDocument/2006/relationships/hyperlink" Target="https://doi.org/10.1007/s11270-011-0760-6" TargetMode="External"/><Relationship Id="rId420" Type="http://schemas.openxmlformats.org/officeDocument/2006/relationships/hyperlink" Target="https://doi.org/10.1007/s10661-019-7297-3" TargetMode="External"/><Relationship Id="rId255" Type="http://schemas.openxmlformats.org/officeDocument/2006/relationships/hyperlink" Target="https://doi.org/10.1016/j.marpolbul.2013.12.035" TargetMode="External"/><Relationship Id="rId297" Type="http://schemas.openxmlformats.org/officeDocument/2006/relationships/hyperlink" Target="https://doi.org/10.1016/j.marpolbul.2022.114273" TargetMode="External"/><Relationship Id="rId462" Type="http://schemas.openxmlformats.org/officeDocument/2006/relationships/hyperlink" Target="https://doi.org/10.1098/rsta.2023.0023" TargetMode="External"/><Relationship Id="rId518" Type="http://schemas.openxmlformats.org/officeDocument/2006/relationships/hyperlink" Target="https://doi.org/10.1021/acs.est.0c06087" TargetMode="External"/><Relationship Id="rId115" Type="http://schemas.openxmlformats.org/officeDocument/2006/relationships/hyperlink" Target="https://doi.org/10.1088/1748-9326/ac5714" TargetMode="External"/><Relationship Id="rId157" Type="http://schemas.openxmlformats.org/officeDocument/2006/relationships/hyperlink" Target="https://doi.org/10.1016/j.jglr.2020.10.007" TargetMode="External"/><Relationship Id="rId322" Type="http://schemas.openxmlformats.org/officeDocument/2006/relationships/hyperlink" Target="https://doi.org/10.3389/frwa.2022.958130" TargetMode="External"/><Relationship Id="rId364" Type="http://schemas.openxmlformats.org/officeDocument/2006/relationships/hyperlink" Target="https://doi.org/10.1139/facets-2022-0104" TargetMode="External"/><Relationship Id="rId61" Type="http://schemas.openxmlformats.org/officeDocument/2006/relationships/hyperlink" Target="https://doi.org/10.1016/j.marpolbul.2013.10.007" TargetMode="External"/><Relationship Id="rId199" Type="http://schemas.openxmlformats.org/officeDocument/2006/relationships/hyperlink" Target="https://doi.org/10.1016/j.jglr.2020.10.007" TargetMode="External"/><Relationship Id="rId19" Type="http://schemas.openxmlformats.org/officeDocument/2006/relationships/hyperlink" Target="https://doi.org/10.1139/FACETS-2019-0042" TargetMode="External"/><Relationship Id="rId224" Type="http://schemas.openxmlformats.org/officeDocument/2006/relationships/hyperlink" Target="https://doi.org/10.1021/acsestwater.5c00080" TargetMode="External"/><Relationship Id="rId266" Type="http://schemas.openxmlformats.org/officeDocument/2006/relationships/hyperlink" Target="https://doi.org/10.1016/j.scitotenv.2020.140824" TargetMode="External"/><Relationship Id="rId431" Type="http://schemas.openxmlformats.org/officeDocument/2006/relationships/hyperlink" Target="https://doi.org/10.3354/meps13966" TargetMode="External"/><Relationship Id="rId473" Type="http://schemas.openxmlformats.org/officeDocument/2006/relationships/hyperlink" Target="https://doi.org/10.1021/acsestwater.2c00169" TargetMode="External"/><Relationship Id="rId30" Type="http://schemas.openxmlformats.org/officeDocument/2006/relationships/hyperlink" Target="https://doi.org/10.1139/FACETS-2019-0042" TargetMode="External"/><Relationship Id="rId126" Type="http://schemas.openxmlformats.org/officeDocument/2006/relationships/hyperlink" Target="https://doi.org/10.1088/1748-9326/ac5714" TargetMode="External"/><Relationship Id="rId168" Type="http://schemas.openxmlformats.org/officeDocument/2006/relationships/hyperlink" Target="https://doi.org/10.1016/j.jglr.2020.10.007" TargetMode="External"/><Relationship Id="rId333" Type="http://schemas.openxmlformats.org/officeDocument/2006/relationships/hyperlink" Target="https://doi.org/10.1139/facets-2022-0104" TargetMode="External"/><Relationship Id="rId72" Type="http://schemas.openxmlformats.org/officeDocument/2006/relationships/hyperlink" Target="https://doi.org/10.1021/acs.est.7b05829" TargetMode="External"/><Relationship Id="rId375" Type="http://schemas.openxmlformats.org/officeDocument/2006/relationships/hyperlink" Target="https://doi.org/10.1139/facets-2022-0104" TargetMode="External"/><Relationship Id="rId3" Type="http://schemas.openxmlformats.org/officeDocument/2006/relationships/hyperlink" Target="https://doi.org/10.1093/etojnl/vgae044" TargetMode="External"/><Relationship Id="rId235" Type="http://schemas.openxmlformats.org/officeDocument/2006/relationships/hyperlink" Target="https://doi.org/10.1016/j.jglr.2018.07.014" TargetMode="External"/><Relationship Id="rId277" Type="http://schemas.openxmlformats.org/officeDocument/2006/relationships/hyperlink" Target="https://doi.org/10.1016/j.marpolbul.2022.114273" TargetMode="External"/><Relationship Id="rId400" Type="http://schemas.openxmlformats.org/officeDocument/2006/relationships/hyperlink" Target="https://doi.org/10.1007/s10661-019-7297-3" TargetMode="External"/><Relationship Id="rId442" Type="http://schemas.openxmlformats.org/officeDocument/2006/relationships/hyperlink" Target="https://doi.org/10.1016/j.scitotenv.2025.180762" TargetMode="External"/><Relationship Id="rId484" Type="http://schemas.openxmlformats.org/officeDocument/2006/relationships/hyperlink" Target="https://doi.org/10.3354/aei00316" TargetMode="External"/><Relationship Id="rId137" Type="http://schemas.openxmlformats.org/officeDocument/2006/relationships/hyperlink" Target="https://doi.org/10.1088/1748-9326/ac5714" TargetMode="External"/><Relationship Id="rId302" Type="http://schemas.openxmlformats.org/officeDocument/2006/relationships/hyperlink" Target="https://doi.org/10.1016/j.marpolbul.2022.114273" TargetMode="External"/><Relationship Id="rId344" Type="http://schemas.openxmlformats.org/officeDocument/2006/relationships/hyperlink" Target="https://doi.org/10.1139/facets-2022-0104" TargetMode="External"/><Relationship Id="rId41" Type="http://schemas.openxmlformats.org/officeDocument/2006/relationships/hyperlink" Target="https://doi.org/10.1139/FACETS-2019-0042" TargetMode="External"/><Relationship Id="rId83" Type="http://schemas.openxmlformats.org/officeDocument/2006/relationships/hyperlink" Target="https://doi.org/10.1007/s11270-011-0760-6" TargetMode="External"/><Relationship Id="rId179" Type="http://schemas.openxmlformats.org/officeDocument/2006/relationships/hyperlink" Target="https://doi.org/10.1016/j.jglr.2020.10.007" TargetMode="External"/><Relationship Id="rId386" Type="http://schemas.openxmlformats.org/officeDocument/2006/relationships/hyperlink" Target="https://doi.org/10.1139/facets-2022-0104" TargetMode="External"/><Relationship Id="rId190" Type="http://schemas.openxmlformats.org/officeDocument/2006/relationships/hyperlink" Target="https://doi.org/10.1016/j.jglr.2020.10.007" TargetMode="External"/><Relationship Id="rId204" Type="http://schemas.openxmlformats.org/officeDocument/2006/relationships/hyperlink" Target="https://doi.org/10.1002/etc.5832" TargetMode="External"/><Relationship Id="rId246" Type="http://schemas.openxmlformats.org/officeDocument/2006/relationships/hyperlink" Target="https://doi.org/10.1016/j.jglr.2018.07.014" TargetMode="External"/><Relationship Id="rId288" Type="http://schemas.openxmlformats.org/officeDocument/2006/relationships/hyperlink" Target="https://doi.org/10.1016/j.marpolbul.2022.114273" TargetMode="External"/><Relationship Id="rId411" Type="http://schemas.openxmlformats.org/officeDocument/2006/relationships/hyperlink" Target="https://doi.org/10.1007/s10661-019-7297-3" TargetMode="External"/><Relationship Id="rId453" Type="http://schemas.openxmlformats.org/officeDocument/2006/relationships/hyperlink" Target="https://doi.org/10.1016/j.scitotenv.2025.180762" TargetMode="External"/><Relationship Id="rId509" Type="http://schemas.openxmlformats.org/officeDocument/2006/relationships/hyperlink" Target="https://doi.org/10.1021/acs.est.0c06087" TargetMode="External"/><Relationship Id="rId106" Type="http://schemas.openxmlformats.org/officeDocument/2006/relationships/hyperlink" Target="https://doi.org/10.1088/1748-9326/ac5714" TargetMode="External"/><Relationship Id="rId313" Type="http://schemas.openxmlformats.org/officeDocument/2006/relationships/hyperlink" Target="https://doi.org/10.1139/cjfas-2014-0281" TargetMode="External"/><Relationship Id="rId495" Type="http://schemas.openxmlformats.org/officeDocument/2006/relationships/hyperlink" Target="https://doi.org/10.3354/aei00316" TargetMode="External"/><Relationship Id="rId10" Type="http://schemas.openxmlformats.org/officeDocument/2006/relationships/hyperlink" Target="https://doi.org/10.1139/FACETS-2019-0042" TargetMode="External"/><Relationship Id="rId52" Type="http://schemas.openxmlformats.org/officeDocument/2006/relationships/hyperlink" Target="https://doi.org/10.1016/j.marpolbul.2013.10.007" TargetMode="External"/><Relationship Id="rId94" Type="http://schemas.openxmlformats.org/officeDocument/2006/relationships/hyperlink" Target="https://doi.org/10.1088/1748-9326/ac5714" TargetMode="External"/><Relationship Id="rId148" Type="http://schemas.openxmlformats.org/officeDocument/2006/relationships/hyperlink" Target="https://doi.org/10.1088/1748-9326/ac5714" TargetMode="External"/><Relationship Id="rId355" Type="http://schemas.openxmlformats.org/officeDocument/2006/relationships/hyperlink" Target="https://doi.org/10.1139/facets-2022-0104" TargetMode="External"/><Relationship Id="rId397" Type="http://schemas.openxmlformats.org/officeDocument/2006/relationships/hyperlink" Target="https://doi.org/10.1007/s10661-019-7297-3" TargetMode="External"/><Relationship Id="rId520" Type="http://schemas.openxmlformats.org/officeDocument/2006/relationships/hyperlink" Target="https://doi.org/10.13140/RG.2.2.27753.98412" TargetMode="External"/><Relationship Id="rId215" Type="http://schemas.openxmlformats.org/officeDocument/2006/relationships/hyperlink" Target="https://doi.org/10.1007/s11270-011-0760-6" TargetMode="External"/><Relationship Id="rId257" Type="http://schemas.openxmlformats.org/officeDocument/2006/relationships/hyperlink" Target="https://doi.org/10.1016/j.marpolbul.2013.12.035" TargetMode="External"/><Relationship Id="rId422" Type="http://schemas.openxmlformats.org/officeDocument/2006/relationships/hyperlink" Target="https://doi.org/10.1007/s10661-019-7297-3" TargetMode="External"/><Relationship Id="rId464" Type="http://schemas.openxmlformats.org/officeDocument/2006/relationships/hyperlink" Target="https://doi.org/10.1098/rsta.2023.0023" TargetMode="External"/><Relationship Id="rId299" Type="http://schemas.openxmlformats.org/officeDocument/2006/relationships/hyperlink" Target="https://doi.org/10.1016/j.marpolbul.2022.114273" TargetMode="External"/><Relationship Id="rId63" Type="http://schemas.openxmlformats.org/officeDocument/2006/relationships/hyperlink" Target="https://doi.org/10.1016/j.marpolbul.2013.10.007" TargetMode="External"/><Relationship Id="rId159" Type="http://schemas.openxmlformats.org/officeDocument/2006/relationships/hyperlink" Target="https://doi.org/10.1016/j.jglr.2020.10.007" TargetMode="External"/><Relationship Id="rId366" Type="http://schemas.openxmlformats.org/officeDocument/2006/relationships/hyperlink" Target="https://doi.org/10.1139/facets-2022-0104" TargetMode="External"/><Relationship Id="rId226" Type="http://schemas.openxmlformats.org/officeDocument/2006/relationships/hyperlink" Target="https://doi.org/10.1016/j.jglr.2018.07.014" TargetMode="External"/><Relationship Id="rId433" Type="http://schemas.openxmlformats.org/officeDocument/2006/relationships/hyperlink" Target="https://doi.org/10.1016/j.scitotenv.2021.14680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7D520-E317-4F46-B6E4-541F2B79125D}">
  <dimension ref="A1:C49"/>
  <sheetViews>
    <sheetView topLeftCell="A17" workbookViewId="0">
      <selection activeCell="B4" sqref="B4"/>
    </sheetView>
  </sheetViews>
  <sheetFormatPr defaultRowHeight="14.5" x14ac:dyDescent="0.35"/>
  <cols>
    <col min="1" max="1" width="25.7265625" customWidth="1"/>
    <col min="2" max="2" width="187.6328125" customWidth="1"/>
  </cols>
  <sheetData>
    <row r="1" spans="1:3" ht="18.5" x14ac:dyDescent="0.45">
      <c r="A1" s="77" t="s">
        <v>2222</v>
      </c>
      <c r="B1" s="49"/>
      <c r="C1" s="49"/>
    </row>
    <row r="2" spans="1:3" ht="16" x14ac:dyDescent="0.4">
      <c r="A2" s="78"/>
      <c r="B2" s="79"/>
      <c r="C2" s="79"/>
    </row>
    <row r="3" spans="1:3" ht="16" x14ac:dyDescent="0.4">
      <c r="A3" s="82" t="s">
        <v>2223</v>
      </c>
      <c r="B3" s="79"/>
      <c r="C3" s="79"/>
    </row>
    <row r="4" spans="1:3" ht="16" x14ac:dyDescent="0.4">
      <c r="A4" s="82" t="s">
        <v>2224</v>
      </c>
      <c r="B4" s="79"/>
      <c r="C4" s="79"/>
    </row>
    <row r="5" spans="1:3" ht="16" x14ac:dyDescent="0.4">
      <c r="A5" s="82" t="s">
        <v>2219</v>
      </c>
      <c r="B5" s="79" t="s">
        <v>2225</v>
      </c>
      <c r="C5" s="79"/>
    </row>
    <row r="6" spans="1:3" ht="16" x14ac:dyDescent="0.4">
      <c r="A6" s="82" t="s">
        <v>2220</v>
      </c>
      <c r="B6" s="79" t="s">
        <v>2226</v>
      </c>
      <c r="C6" s="79"/>
    </row>
    <row r="7" spans="1:3" ht="16" x14ac:dyDescent="0.4">
      <c r="A7" s="82" t="s">
        <v>2221</v>
      </c>
      <c r="B7" s="80" t="s">
        <v>2227</v>
      </c>
      <c r="C7" s="79"/>
    </row>
    <row r="8" spans="1:3" ht="16" x14ac:dyDescent="0.4">
      <c r="A8" s="78"/>
      <c r="B8" s="79"/>
      <c r="C8" s="79"/>
    </row>
    <row r="9" spans="1:3" ht="16" x14ac:dyDescent="0.4">
      <c r="A9" s="82" t="s">
        <v>2228</v>
      </c>
      <c r="B9" s="83" t="s">
        <v>2229</v>
      </c>
      <c r="C9" s="79"/>
    </row>
    <row r="10" spans="1:3" ht="16" x14ac:dyDescent="0.4">
      <c r="A10" s="82"/>
      <c r="B10" s="79"/>
      <c r="C10" s="79"/>
    </row>
    <row r="11" spans="1:3" ht="16" x14ac:dyDescent="0.35">
      <c r="A11" s="84" t="s">
        <v>2256</v>
      </c>
      <c r="B11" s="84"/>
      <c r="C11" s="84"/>
    </row>
    <row r="12" spans="1:3" ht="16" x14ac:dyDescent="0.4">
      <c r="A12" s="85" t="s">
        <v>2249</v>
      </c>
      <c r="B12" s="79"/>
      <c r="C12" s="79"/>
    </row>
    <row r="13" spans="1:3" ht="16" x14ac:dyDescent="0.4">
      <c r="A13" s="81" t="s">
        <v>2230</v>
      </c>
      <c r="B13" s="79" t="s">
        <v>2231</v>
      </c>
      <c r="C13" s="79"/>
    </row>
    <row r="14" spans="1:3" ht="16" x14ac:dyDescent="0.4">
      <c r="A14" s="81" t="s">
        <v>0</v>
      </c>
      <c r="B14" s="79" t="s">
        <v>2232</v>
      </c>
      <c r="C14" s="79"/>
    </row>
    <row r="15" spans="1:3" ht="16" x14ac:dyDescent="0.4">
      <c r="A15" s="81" t="s">
        <v>1</v>
      </c>
      <c r="B15" s="79" t="s">
        <v>2233</v>
      </c>
      <c r="C15" s="79"/>
    </row>
    <row r="16" spans="1:3" ht="16" x14ac:dyDescent="0.4">
      <c r="A16" s="81" t="s">
        <v>2</v>
      </c>
      <c r="B16" s="79" t="s">
        <v>2234</v>
      </c>
      <c r="C16" s="79"/>
    </row>
    <row r="17" spans="1:3" ht="16" x14ac:dyDescent="0.4">
      <c r="A17" s="81" t="s">
        <v>3</v>
      </c>
      <c r="B17" s="79" t="s">
        <v>2235</v>
      </c>
      <c r="C17" s="79"/>
    </row>
    <row r="18" spans="1:3" ht="16" x14ac:dyDescent="0.4">
      <c r="A18" s="81" t="s">
        <v>4</v>
      </c>
      <c r="B18" s="79" t="s">
        <v>2236</v>
      </c>
      <c r="C18" s="79"/>
    </row>
    <row r="19" spans="1:3" ht="16" x14ac:dyDescent="0.4">
      <c r="A19" s="81" t="s">
        <v>5</v>
      </c>
      <c r="B19" s="79" t="s">
        <v>2237</v>
      </c>
      <c r="C19" s="79"/>
    </row>
    <row r="20" spans="1:3" ht="16" x14ac:dyDescent="0.4">
      <c r="A20" s="81" t="s">
        <v>6</v>
      </c>
      <c r="B20" s="79" t="s">
        <v>2238</v>
      </c>
      <c r="C20" s="79"/>
    </row>
    <row r="21" spans="1:3" ht="16" x14ac:dyDescent="0.4">
      <c r="A21" s="81" t="s">
        <v>7</v>
      </c>
      <c r="B21" s="79" t="s">
        <v>2239</v>
      </c>
      <c r="C21" s="79"/>
    </row>
    <row r="22" spans="1:3" ht="16" x14ac:dyDescent="0.4">
      <c r="A22" s="81" t="s">
        <v>8</v>
      </c>
      <c r="B22" s="79" t="s">
        <v>2240</v>
      </c>
      <c r="C22" s="79"/>
    </row>
    <row r="23" spans="1:3" ht="16" x14ac:dyDescent="0.4">
      <c r="A23" s="81" t="s">
        <v>9</v>
      </c>
      <c r="B23" s="79" t="s">
        <v>2241</v>
      </c>
      <c r="C23" s="79"/>
    </row>
    <row r="24" spans="1:3" ht="16" x14ac:dyDescent="0.4">
      <c r="A24" s="81" t="s">
        <v>10</v>
      </c>
      <c r="B24" s="79" t="s">
        <v>2242</v>
      </c>
      <c r="C24" s="79"/>
    </row>
    <row r="25" spans="1:3" ht="16" x14ac:dyDescent="0.4">
      <c r="A25" s="81" t="s">
        <v>11</v>
      </c>
      <c r="B25" s="79" t="s">
        <v>2243</v>
      </c>
      <c r="C25" s="79"/>
    </row>
    <row r="26" spans="1:3" ht="16" x14ac:dyDescent="0.4">
      <c r="A26" s="81" t="s">
        <v>12</v>
      </c>
      <c r="B26" s="79" t="s">
        <v>2244</v>
      </c>
      <c r="C26" s="79"/>
    </row>
    <row r="27" spans="1:3" ht="16" x14ac:dyDescent="0.4">
      <c r="A27" s="81" t="s">
        <v>13</v>
      </c>
      <c r="B27" s="79" t="s">
        <v>2245</v>
      </c>
      <c r="C27" s="79"/>
    </row>
    <row r="28" spans="1:3" ht="16" x14ac:dyDescent="0.4">
      <c r="A28" s="81" t="s">
        <v>14</v>
      </c>
      <c r="B28" s="79" t="s">
        <v>2246</v>
      </c>
      <c r="C28" s="79"/>
    </row>
    <row r="29" spans="1:3" ht="16" x14ac:dyDescent="0.4">
      <c r="A29" s="81" t="s">
        <v>13</v>
      </c>
      <c r="B29" s="79" t="s">
        <v>2247</v>
      </c>
      <c r="C29" s="79"/>
    </row>
    <row r="30" spans="1:3" ht="16" x14ac:dyDescent="0.4">
      <c r="A30" s="81" t="s">
        <v>20</v>
      </c>
      <c r="B30" s="79" t="s">
        <v>2248</v>
      </c>
      <c r="C30" s="79"/>
    </row>
    <row r="31" spans="1:3" ht="16" x14ac:dyDescent="0.4">
      <c r="A31" s="76" t="s">
        <v>2250</v>
      </c>
      <c r="B31" s="79"/>
      <c r="C31" s="79"/>
    </row>
    <row r="32" spans="1:3" ht="16" x14ac:dyDescent="0.4">
      <c r="A32" s="81" t="s">
        <v>2230</v>
      </c>
      <c r="B32" s="79" t="s">
        <v>2231</v>
      </c>
      <c r="C32" s="79"/>
    </row>
    <row r="33" spans="1:3" ht="16" x14ac:dyDescent="0.4">
      <c r="A33" s="81" t="s">
        <v>0</v>
      </c>
      <c r="B33" s="79" t="s">
        <v>2232</v>
      </c>
      <c r="C33" s="79"/>
    </row>
    <row r="34" spans="1:3" ht="16" x14ac:dyDescent="0.4">
      <c r="A34" s="81" t="s">
        <v>1</v>
      </c>
      <c r="B34" s="79" t="s">
        <v>2233</v>
      </c>
    </row>
    <row r="35" spans="1:3" ht="16" x14ac:dyDescent="0.4">
      <c r="A35" s="81" t="s">
        <v>2</v>
      </c>
      <c r="B35" s="79" t="s">
        <v>2234</v>
      </c>
    </row>
    <row r="36" spans="1:3" ht="16" x14ac:dyDescent="0.4">
      <c r="A36" s="81" t="s">
        <v>3</v>
      </c>
      <c r="B36" s="79" t="s">
        <v>2235</v>
      </c>
    </row>
    <row r="37" spans="1:3" ht="16" x14ac:dyDescent="0.4">
      <c r="A37" s="81" t="s">
        <v>4</v>
      </c>
      <c r="B37" s="79" t="s">
        <v>2236</v>
      </c>
    </row>
    <row r="38" spans="1:3" ht="16" x14ac:dyDescent="0.4">
      <c r="A38" s="81" t="s">
        <v>5</v>
      </c>
      <c r="B38" s="79" t="s">
        <v>2237</v>
      </c>
    </row>
    <row r="39" spans="1:3" ht="16" x14ac:dyDescent="0.4">
      <c r="A39" s="81" t="s">
        <v>6</v>
      </c>
      <c r="B39" s="79" t="s">
        <v>2238</v>
      </c>
    </row>
    <row r="40" spans="1:3" ht="16" x14ac:dyDescent="0.4">
      <c r="A40" s="81" t="s">
        <v>7</v>
      </c>
      <c r="B40" s="79" t="s">
        <v>2239</v>
      </c>
    </row>
    <row r="41" spans="1:3" ht="16" x14ac:dyDescent="0.4">
      <c r="A41" s="81" t="s">
        <v>8</v>
      </c>
      <c r="B41" s="79" t="s">
        <v>2240</v>
      </c>
    </row>
    <row r="42" spans="1:3" ht="16" x14ac:dyDescent="0.4">
      <c r="A42" s="81" t="s">
        <v>9</v>
      </c>
      <c r="B42" s="79" t="s">
        <v>2241</v>
      </c>
    </row>
    <row r="43" spans="1:3" ht="16" x14ac:dyDescent="0.4">
      <c r="A43" s="81" t="s">
        <v>10</v>
      </c>
      <c r="B43" s="79" t="s">
        <v>2242</v>
      </c>
    </row>
    <row r="44" spans="1:3" ht="16" x14ac:dyDescent="0.4">
      <c r="A44" s="81" t="s">
        <v>15</v>
      </c>
      <c r="B44" s="79" t="s">
        <v>2251</v>
      </c>
    </row>
    <row r="45" spans="1:3" ht="16" x14ac:dyDescent="0.4">
      <c r="A45" s="81" t="s">
        <v>16</v>
      </c>
      <c r="B45" s="79" t="s">
        <v>2252</v>
      </c>
    </row>
    <row r="46" spans="1:3" ht="16" x14ac:dyDescent="0.4">
      <c r="A46" s="81" t="s">
        <v>17</v>
      </c>
      <c r="B46" s="79" t="s">
        <v>2253</v>
      </c>
    </row>
    <row r="47" spans="1:3" ht="16" x14ac:dyDescent="0.4">
      <c r="A47" s="81" t="s">
        <v>18</v>
      </c>
      <c r="B47" s="79" t="s">
        <v>2254</v>
      </c>
    </row>
    <row r="48" spans="1:3" ht="16" x14ac:dyDescent="0.4">
      <c r="A48" s="81" t="s">
        <v>19</v>
      </c>
      <c r="B48" s="79" t="s">
        <v>2255</v>
      </c>
    </row>
    <row r="49" spans="1:2" ht="16" x14ac:dyDescent="0.4">
      <c r="A49" s="81" t="s">
        <v>20</v>
      </c>
      <c r="B49" s="79" t="s">
        <v>2248</v>
      </c>
    </row>
  </sheetData>
  <mergeCells count="1">
    <mergeCell ref="A11:C11"/>
  </mergeCells>
  <hyperlinks>
    <hyperlink ref="B7" r:id="rId1" xr:uid="{A0B75C4C-7165-4BF4-A87F-0004BAF5245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697EF-0CA7-478F-AF2B-BD2CF36393B3}">
  <dimension ref="A1:AB1483"/>
  <sheetViews>
    <sheetView tabSelected="1" zoomScaleNormal="100" workbookViewId="0">
      <pane ySplit="1" topLeftCell="A2" activePane="bottomLeft" state="frozen"/>
      <selection pane="bottomLeft" activeCell="R1" sqref="R1"/>
    </sheetView>
  </sheetViews>
  <sheetFormatPr defaultColWidth="8.81640625" defaultRowHeight="14.5" x14ac:dyDescent="0.35"/>
  <cols>
    <col min="1" max="1" width="6.453125" style="12" customWidth="1"/>
    <col min="2" max="2" width="47.54296875" style="12" customWidth="1"/>
    <col min="3" max="3" width="7.81640625" style="12" customWidth="1"/>
    <col min="4" max="4" width="7.7265625" style="12" customWidth="1"/>
    <col min="5" max="5" width="7.81640625" style="12" customWidth="1"/>
    <col min="6" max="6" width="9.1796875" style="12"/>
    <col min="7" max="7" width="12.453125" style="12" customWidth="1"/>
    <col min="8" max="8" width="21.7265625" style="12" customWidth="1"/>
    <col min="9" max="9" width="12.26953125" style="12" customWidth="1"/>
    <col min="10" max="10" width="10.81640625" style="12" customWidth="1"/>
    <col min="11" max="13" width="9.1796875" style="12"/>
    <col min="14" max="14" width="11" style="12" customWidth="1"/>
    <col min="15" max="15" width="9.1796875" style="12"/>
    <col min="16" max="16" width="11.36328125" style="12" customWidth="1"/>
    <col min="17" max="17" width="9.1796875" style="12"/>
    <col min="18" max="18" width="25.1796875" style="12" customWidth="1"/>
    <col min="19" max="16384" width="8.81640625" style="12"/>
  </cols>
  <sheetData>
    <row r="1" spans="1:18" s="25" customFormat="1" x14ac:dyDescent="0.35">
      <c r="A1" s="25" t="s">
        <v>2230</v>
      </c>
      <c r="B1" s="25" t="s">
        <v>0</v>
      </c>
      <c r="C1" s="25" t="s">
        <v>1</v>
      </c>
      <c r="D1" s="25" t="s">
        <v>2</v>
      </c>
      <c r="E1" s="25" t="s">
        <v>3</v>
      </c>
      <c r="F1" s="25" t="s">
        <v>4</v>
      </c>
      <c r="G1" s="25" t="s">
        <v>5</v>
      </c>
      <c r="H1" s="25" t="s">
        <v>6</v>
      </c>
      <c r="I1" s="25" t="s">
        <v>7</v>
      </c>
      <c r="J1" s="25" t="s">
        <v>8</v>
      </c>
      <c r="K1" s="25" t="s">
        <v>9</v>
      </c>
      <c r="L1" s="25" t="s">
        <v>10</v>
      </c>
      <c r="M1" s="25" t="s">
        <v>11</v>
      </c>
      <c r="N1" s="25" t="s">
        <v>12</v>
      </c>
      <c r="O1" s="25" t="s">
        <v>13</v>
      </c>
      <c r="P1" s="25" t="s">
        <v>14</v>
      </c>
      <c r="Q1" s="25" t="s">
        <v>13</v>
      </c>
      <c r="R1" s="25" t="s">
        <v>20</v>
      </c>
    </row>
    <row r="2" spans="1:18" s="7" customFormat="1" x14ac:dyDescent="0.35">
      <c r="A2" s="7">
        <v>1</v>
      </c>
      <c r="B2" s="7" t="s">
        <v>21</v>
      </c>
      <c r="C2" s="7">
        <v>2024</v>
      </c>
      <c r="D2" s="7" t="s">
        <v>22</v>
      </c>
      <c r="E2" s="8" t="s">
        <v>23</v>
      </c>
      <c r="F2" s="7" t="s">
        <v>24</v>
      </c>
      <c r="G2" s="3" t="s">
        <v>25</v>
      </c>
      <c r="H2" s="9" t="s">
        <v>26</v>
      </c>
      <c r="I2" s="7">
        <v>69.166030000000006</v>
      </c>
      <c r="J2" s="7">
        <v>-104.9323</v>
      </c>
      <c r="K2" s="7" t="s">
        <v>27</v>
      </c>
      <c r="L2" s="7" t="s">
        <v>28</v>
      </c>
      <c r="M2" s="7" t="s">
        <v>29</v>
      </c>
      <c r="N2" s="7" t="s">
        <v>30</v>
      </c>
      <c r="O2" s="7" t="s">
        <v>31</v>
      </c>
      <c r="P2" s="7" t="s">
        <v>30</v>
      </c>
      <c r="Q2" s="7" t="s">
        <v>31</v>
      </c>
      <c r="R2" s="7" t="s">
        <v>33</v>
      </c>
    </row>
    <row r="3" spans="1:18" s="7" customFormat="1" x14ac:dyDescent="0.35">
      <c r="A3" s="7">
        <v>1</v>
      </c>
      <c r="B3" s="7" t="s">
        <v>21</v>
      </c>
      <c r="C3" s="7">
        <v>2024</v>
      </c>
      <c r="D3" s="7" t="s">
        <v>22</v>
      </c>
      <c r="E3" s="8" t="s">
        <v>23</v>
      </c>
      <c r="F3" s="7" t="s">
        <v>24</v>
      </c>
      <c r="G3" s="9" t="s">
        <v>25</v>
      </c>
      <c r="H3" s="9" t="s">
        <v>26</v>
      </c>
      <c r="I3" s="7">
        <v>69.186400000000006</v>
      </c>
      <c r="J3" s="7">
        <v>-104.843</v>
      </c>
      <c r="K3" s="7" t="s">
        <v>27</v>
      </c>
      <c r="L3" s="7" t="s">
        <v>28</v>
      </c>
      <c r="M3" s="7" t="s">
        <v>29</v>
      </c>
      <c r="N3" s="7" t="s">
        <v>30</v>
      </c>
      <c r="O3" s="7" t="s">
        <v>31</v>
      </c>
      <c r="P3" s="7" t="s">
        <v>30</v>
      </c>
      <c r="Q3" s="7" t="s">
        <v>31</v>
      </c>
      <c r="R3" s="7" t="s">
        <v>33</v>
      </c>
    </row>
    <row r="4" spans="1:18" s="7" customFormat="1" x14ac:dyDescent="0.35">
      <c r="A4" s="7">
        <v>1</v>
      </c>
      <c r="B4" s="7" t="s">
        <v>21</v>
      </c>
      <c r="C4" s="7">
        <v>2024</v>
      </c>
      <c r="D4" s="7" t="s">
        <v>22</v>
      </c>
      <c r="E4" s="8" t="s">
        <v>23</v>
      </c>
      <c r="F4" s="7" t="s">
        <v>24</v>
      </c>
      <c r="G4" s="9" t="s">
        <v>25</v>
      </c>
      <c r="H4" s="9" t="s">
        <v>26</v>
      </c>
      <c r="I4" s="7">
        <v>69.200500000000005</v>
      </c>
      <c r="J4" s="7">
        <v>-104.7517</v>
      </c>
      <c r="K4" s="7" t="s">
        <v>27</v>
      </c>
      <c r="L4" s="7" t="s">
        <v>28</v>
      </c>
      <c r="M4" s="7" t="s">
        <v>29</v>
      </c>
      <c r="N4" s="7" t="s">
        <v>30</v>
      </c>
      <c r="O4" s="7" t="s">
        <v>31</v>
      </c>
      <c r="P4" s="7" t="s">
        <v>30</v>
      </c>
      <c r="Q4" s="7" t="s">
        <v>31</v>
      </c>
      <c r="R4" s="7" t="s">
        <v>33</v>
      </c>
    </row>
    <row r="5" spans="1:18" s="7" customFormat="1" x14ac:dyDescent="0.35">
      <c r="A5" s="7">
        <v>1</v>
      </c>
      <c r="B5" s="7" t="s">
        <v>21</v>
      </c>
      <c r="C5" s="7">
        <v>2024</v>
      </c>
      <c r="D5" s="7" t="s">
        <v>22</v>
      </c>
      <c r="E5" s="8" t="s">
        <v>23</v>
      </c>
      <c r="F5" s="7" t="s">
        <v>24</v>
      </c>
      <c r="G5" s="9" t="s">
        <v>25</v>
      </c>
      <c r="H5" s="9" t="s">
        <v>26</v>
      </c>
      <c r="I5" s="7">
        <v>69.278999999999996</v>
      </c>
      <c r="J5" s="7">
        <v>-104.71384999999999</v>
      </c>
      <c r="K5" s="7" t="s">
        <v>27</v>
      </c>
      <c r="L5" s="7" t="s">
        <v>28</v>
      </c>
      <c r="M5" s="7" t="s">
        <v>29</v>
      </c>
      <c r="N5" s="7" t="s">
        <v>30</v>
      </c>
      <c r="O5" s="7" t="s">
        <v>31</v>
      </c>
      <c r="P5" s="7" t="s">
        <v>30</v>
      </c>
      <c r="Q5" s="7" t="s">
        <v>31</v>
      </c>
      <c r="R5" s="7" t="s">
        <v>33</v>
      </c>
    </row>
    <row r="6" spans="1:18" s="7" customFormat="1" x14ac:dyDescent="0.35">
      <c r="A6" s="7">
        <v>1</v>
      </c>
      <c r="B6" s="7" t="s">
        <v>21</v>
      </c>
      <c r="C6" s="7">
        <v>2024</v>
      </c>
      <c r="D6" s="7" t="s">
        <v>22</v>
      </c>
      <c r="E6" s="8" t="s">
        <v>23</v>
      </c>
      <c r="F6" s="7" t="s">
        <v>24</v>
      </c>
      <c r="G6" s="9" t="s">
        <v>25</v>
      </c>
      <c r="H6" s="9" t="s">
        <v>34</v>
      </c>
      <c r="I6" s="7">
        <v>69.356899999999996</v>
      </c>
      <c r="J6" s="7">
        <v>-104.8158</v>
      </c>
      <c r="K6" s="7" t="s">
        <v>27</v>
      </c>
      <c r="L6" s="7" t="s">
        <v>28</v>
      </c>
      <c r="M6" s="7" t="s">
        <v>29</v>
      </c>
      <c r="N6" s="7" t="s">
        <v>30</v>
      </c>
      <c r="O6" s="7" t="s">
        <v>31</v>
      </c>
      <c r="P6" s="7" t="s">
        <v>30</v>
      </c>
      <c r="Q6" s="7" t="s">
        <v>31</v>
      </c>
      <c r="R6" s="7" t="s">
        <v>33</v>
      </c>
    </row>
    <row r="7" spans="1:18" s="7" customFormat="1" x14ac:dyDescent="0.35">
      <c r="A7" s="7">
        <v>2</v>
      </c>
      <c r="B7" s="7" t="s">
        <v>35</v>
      </c>
      <c r="C7" s="7">
        <v>2023</v>
      </c>
      <c r="D7" s="7" t="s">
        <v>36</v>
      </c>
      <c r="E7" s="7" t="s">
        <v>37</v>
      </c>
      <c r="F7" s="7" t="s">
        <v>38</v>
      </c>
      <c r="G7" s="7" t="s">
        <v>39</v>
      </c>
      <c r="H7" s="7" t="s">
        <v>40</v>
      </c>
      <c r="I7" s="7">
        <v>69.974000000000004</v>
      </c>
      <c r="J7" s="10">
        <v>-137.24</v>
      </c>
      <c r="K7" s="7" t="s">
        <v>41</v>
      </c>
      <c r="L7" s="7" t="s">
        <v>42</v>
      </c>
      <c r="M7" s="7" t="s">
        <v>43</v>
      </c>
      <c r="N7" s="7">
        <v>2.31</v>
      </c>
      <c r="O7" s="7" t="s">
        <v>44</v>
      </c>
      <c r="P7" s="7">
        <f>N7*1000</f>
        <v>2310</v>
      </c>
      <c r="Q7" s="7" t="s">
        <v>31</v>
      </c>
      <c r="R7" s="7" t="s">
        <v>47</v>
      </c>
    </row>
    <row r="8" spans="1:18" s="7" customFormat="1" x14ac:dyDescent="0.35">
      <c r="A8" s="7">
        <v>2</v>
      </c>
      <c r="B8" s="7" t="s">
        <v>35</v>
      </c>
      <c r="C8" s="7">
        <v>2023</v>
      </c>
      <c r="D8" s="7" t="s">
        <v>36</v>
      </c>
      <c r="E8" s="7" t="s">
        <v>37</v>
      </c>
      <c r="F8" s="7" t="s">
        <v>38</v>
      </c>
      <c r="G8" s="7" t="s">
        <v>39</v>
      </c>
      <c r="H8" s="7" t="s">
        <v>48</v>
      </c>
      <c r="I8" s="7">
        <v>71.334999999999994</v>
      </c>
      <c r="J8" s="10">
        <v>-135.583</v>
      </c>
      <c r="K8" s="7" t="s">
        <v>41</v>
      </c>
      <c r="L8" s="7" t="s">
        <v>42</v>
      </c>
      <c r="M8" s="7" t="s">
        <v>43</v>
      </c>
      <c r="N8" s="7">
        <v>2.31</v>
      </c>
      <c r="O8" s="7" t="s">
        <v>44</v>
      </c>
      <c r="P8" s="7">
        <f>N8*1000</f>
        <v>2310</v>
      </c>
      <c r="Q8" s="7" t="s">
        <v>31</v>
      </c>
      <c r="R8" s="7" t="s">
        <v>49</v>
      </c>
    </row>
    <row r="9" spans="1:18" s="7" customFormat="1" x14ac:dyDescent="0.35">
      <c r="A9" s="7">
        <v>3</v>
      </c>
      <c r="B9" s="7" t="s">
        <v>50</v>
      </c>
      <c r="C9" s="7">
        <v>2023</v>
      </c>
      <c r="D9" s="7" t="s">
        <v>51</v>
      </c>
      <c r="E9" s="7" t="s">
        <v>52</v>
      </c>
      <c r="F9" s="7" t="s">
        <v>53</v>
      </c>
      <c r="G9" s="7" t="s">
        <v>54</v>
      </c>
      <c r="H9" s="7" t="s">
        <v>55</v>
      </c>
      <c r="I9" s="10">
        <v>50.113605</v>
      </c>
      <c r="J9" s="10">
        <v>-122.98065699999999</v>
      </c>
      <c r="K9" s="7" t="s">
        <v>41</v>
      </c>
      <c r="L9" s="7" t="s">
        <v>28</v>
      </c>
      <c r="M9" s="7" t="s">
        <v>56</v>
      </c>
      <c r="N9" s="10">
        <v>681.5877522278571</v>
      </c>
      <c r="O9" s="7" t="s">
        <v>31</v>
      </c>
      <c r="P9" s="10">
        <v>681.5877522278571</v>
      </c>
      <c r="Q9" s="7" t="s">
        <v>31</v>
      </c>
      <c r="R9" s="7" t="s">
        <v>60</v>
      </c>
    </row>
    <row r="10" spans="1:18" s="7" customFormat="1" x14ac:dyDescent="0.35">
      <c r="A10" s="7">
        <v>3</v>
      </c>
      <c r="B10" s="7" t="s">
        <v>50</v>
      </c>
      <c r="C10" s="7">
        <v>2023</v>
      </c>
      <c r="D10" s="7" t="s">
        <v>51</v>
      </c>
      <c r="E10" s="7" t="s">
        <v>52</v>
      </c>
      <c r="F10" s="7" t="s">
        <v>53</v>
      </c>
      <c r="G10" s="7" t="s">
        <v>54</v>
      </c>
      <c r="H10" s="7" t="s">
        <v>61</v>
      </c>
      <c r="I10" s="10">
        <v>49.824370000000002</v>
      </c>
      <c r="J10" s="10">
        <v>-123.136726</v>
      </c>
      <c r="K10" s="7" t="s">
        <v>41</v>
      </c>
      <c r="L10" s="7" t="s">
        <v>28</v>
      </c>
      <c r="M10" s="7" t="s">
        <v>62</v>
      </c>
      <c r="N10" s="10">
        <v>726.15521204113634</v>
      </c>
      <c r="O10" s="7" t="s">
        <v>31</v>
      </c>
      <c r="P10" s="10">
        <v>726.15521204113634</v>
      </c>
      <c r="Q10" s="7" t="s">
        <v>31</v>
      </c>
      <c r="R10" s="7" t="s">
        <v>60</v>
      </c>
    </row>
    <row r="11" spans="1:18" s="7" customFormat="1" x14ac:dyDescent="0.35">
      <c r="A11" s="7">
        <v>3</v>
      </c>
      <c r="B11" s="7" t="s">
        <v>50</v>
      </c>
      <c r="C11" s="7">
        <v>2023</v>
      </c>
      <c r="D11" s="7" t="s">
        <v>51</v>
      </c>
      <c r="E11" s="7" t="s">
        <v>52</v>
      </c>
      <c r="F11" s="7" t="s">
        <v>53</v>
      </c>
      <c r="G11" s="7" t="s">
        <v>54</v>
      </c>
      <c r="H11" s="7" t="s">
        <v>64</v>
      </c>
      <c r="I11" s="10">
        <v>49.056828000000003</v>
      </c>
      <c r="J11" s="10">
        <v>-121.41245499999999</v>
      </c>
      <c r="K11" s="7" t="s">
        <v>41</v>
      </c>
      <c r="L11" s="7" t="s">
        <v>28</v>
      </c>
      <c r="M11" s="7" t="s">
        <v>65</v>
      </c>
      <c r="N11" s="10">
        <v>593.81858903236844</v>
      </c>
      <c r="O11" s="7" t="s">
        <v>31</v>
      </c>
      <c r="P11" s="10">
        <v>593.81858903236844</v>
      </c>
      <c r="Q11" s="7" t="s">
        <v>31</v>
      </c>
      <c r="R11" s="7" t="s">
        <v>60</v>
      </c>
    </row>
    <row r="12" spans="1:18" s="7" customFormat="1" x14ac:dyDescent="0.35">
      <c r="A12" s="7">
        <v>3</v>
      </c>
      <c r="B12" s="7" t="s">
        <v>50</v>
      </c>
      <c r="C12" s="7">
        <v>2023</v>
      </c>
      <c r="D12" s="7" t="s">
        <v>51</v>
      </c>
      <c r="E12" s="7" t="s">
        <v>52</v>
      </c>
      <c r="F12" s="7" t="s">
        <v>53</v>
      </c>
      <c r="G12" s="7" t="s">
        <v>54</v>
      </c>
      <c r="H12" s="7" t="s">
        <v>67</v>
      </c>
      <c r="I12" s="10">
        <v>48.882342999999999</v>
      </c>
      <c r="J12" s="10">
        <v>-124.31923999999999</v>
      </c>
      <c r="K12" s="7" t="s">
        <v>41</v>
      </c>
      <c r="L12" s="7" t="s">
        <v>28</v>
      </c>
      <c r="M12" s="7" t="s">
        <v>68</v>
      </c>
      <c r="N12" s="10">
        <v>519.11585296109365</v>
      </c>
      <c r="O12" s="7" t="s">
        <v>31</v>
      </c>
      <c r="P12" s="10">
        <v>519.11585296109365</v>
      </c>
      <c r="Q12" s="7" t="s">
        <v>31</v>
      </c>
      <c r="R12" s="7" t="s">
        <v>60</v>
      </c>
    </row>
    <row r="13" spans="1:18" s="7" customFormat="1" x14ac:dyDescent="0.35">
      <c r="A13" s="7">
        <v>3</v>
      </c>
      <c r="B13" s="7" t="s">
        <v>50</v>
      </c>
      <c r="C13" s="7">
        <v>2023</v>
      </c>
      <c r="D13" s="7" t="s">
        <v>51</v>
      </c>
      <c r="E13" s="7" t="s">
        <v>52</v>
      </c>
      <c r="F13" s="7" t="s">
        <v>53</v>
      </c>
      <c r="G13" s="7" t="s">
        <v>54</v>
      </c>
      <c r="H13" s="7" t="s">
        <v>70</v>
      </c>
      <c r="I13" s="10">
        <v>49.045738999999998</v>
      </c>
      <c r="J13" s="10">
        <v>-121.992175</v>
      </c>
      <c r="K13" s="7" t="s">
        <v>41</v>
      </c>
      <c r="L13" s="7" t="s">
        <v>28</v>
      </c>
      <c r="M13" s="7" t="s">
        <v>71</v>
      </c>
      <c r="N13" s="10">
        <v>761.50958536060614</v>
      </c>
      <c r="O13" s="7" t="s">
        <v>31</v>
      </c>
      <c r="P13" s="10">
        <v>761.50958536060614</v>
      </c>
      <c r="Q13" s="7" t="s">
        <v>31</v>
      </c>
      <c r="R13" s="7" t="s">
        <v>60</v>
      </c>
    </row>
    <row r="14" spans="1:18" s="7" customFormat="1" x14ac:dyDescent="0.35">
      <c r="A14" s="7">
        <v>3</v>
      </c>
      <c r="B14" s="7" t="s">
        <v>50</v>
      </c>
      <c r="C14" s="7">
        <v>2023</v>
      </c>
      <c r="D14" s="7" t="s">
        <v>51</v>
      </c>
      <c r="E14" s="7" t="s">
        <v>52</v>
      </c>
      <c r="F14" s="7" t="s">
        <v>53</v>
      </c>
      <c r="G14" s="7" t="s">
        <v>54</v>
      </c>
      <c r="H14" s="7" t="s">
        <v>73</v>
      </c>
      <c r="I14" s="10">
        <v>49.236262000000004</v>
      </c>
      <c r="J14" s="10">
        <v>-122.97542900000001</v>
      </c>
      <c r="K14" s="7" t="s">
        <v>41</v>
      </c>
      <c r="L14" s="7" t="s">
        <v>28</v>
      </c>
      <c r="M14" s="7" t="s">
        <v>74</v>
      </c>
      <c r="N14" s="10">
        <v>626.14299224080003</v>
      </c>
      <c r="O14" s="7" t="s">
        <v>31</v>
      </c>
      <c r="P14" s="10">
        <v>626.14299224080003</v>
      </c>
      <c r="Q14" s="7" t="s">
        <v>31</v>
      </c>
      <c r="R14" s="7" t="s">
        <v>60</v>
      </c>
    </row>
    <row r="15" spans="1:18" s="7" customFormat="1" x14ac:dyDescent="0.35">
      <c r="A15" s="7">
        <v>3</v>
      </c>
      <c r="B15" s="7" t="s">
        <v>50</v>
      </c>
      <c r="C15" s="7">
        <v>2023</v>
      </c>
      <c r="D15" s="7" t="s">
        <v>51</v>
      </c>
      <c r="E15" s="7" t="s">
        <v>52</v>
      </c>
      <c r="F15" s="7" t="s">
        <v>53</v>
      </c>
      <c r="G15" s="7" t="s">
        <v>54</v>
      </c>
      <c r="H15" s="7" t="s">
        <v>76</v>
      </c>
      <c r="I15" s="7">
        <v>49.139716</v>
      </c>
      <c r="J15" s="10">
        <v>-124.67370699999999</v>
      </c>
      <c r="K15" s="7" t="s">
        <v>41</v>
      </c>
      <c r="L15" s="7" t="s">
        <v>28</v>
      </c>
      <c r="M15" s="7" t="s">
        <v>77</v>
      </c>
      <c r="N15" s="10">
        <v>842.79973572894721</v>
      </c>
      <c r="O15" s="7" t="s">
        <v>31</v>
      </c>
      <c r="P15" s="10">
        <v>842.79973572894721</v>
      </c>
      <c r="Q15" s="7" t="s">
        <v>31</v>
      </c>
      <c r="R15" s="7" t="s">
        <v>60</v>
      </c>
    </row>
    <row r="16" spans="1:18" s="7" customFormat="1" x14ac:dyDescent="0.35">
      <c r="A16" s="7">
        <v>3</v>
      </c>
      <c r="B16" s="7" t="s">
        <v>50</v>
      </c>
      <c r="C16" s="7">
        <v>2023</v>
      </c>
      <c r="D16" s="7" t="s">
        <v>51</v>
      </c>
      <c r="E16" s="7" t="s">
        <v>52</v>
      </c>
      <c r="F16" s="7" t="s">
        <v>53</v>
      </c>
      <c r="G16" s="7" t="s">
        <v>54</v>
      </c>
      <c r="H16" s="7" t="s">
        <v>79</v>
      </c>
      <c r="I16" s="7">
        <v>48.595066000000003</v>
      </c>
      <c r="J16" s="10">
        <v>-124.19726300000001</v>
      </c>
      <c r="K16" s="7" t="s">
        <v>41</v>
      </c>
      <c r="L16" s="7" t="s">
        <v>28</v>
      </c>
      <c r="M16" s="7" t="s">
        <v>80</v>
      </c>
      <c r="N16" s="10">
        <v>856.57035676857117</v>
      </c>
      <c r="O16" s="7" t="s">
        <v>31</v>
      </c>
      <c r="P16" s="10">
        <v>856.57035676857117</v>
      </c>
      <c r="Q16" s="7" t="s">
        <v>31</v>
      </c>
      <c r="R16" s="7" t="s">
        <v>60</v>
      </c>
    </row>
    <row r="17" spans="1:17" s="7" customFormat="1" x14ac:dyDescent="0.35">
      <c r="A17" s="7">
        <v>4</v>
      </c>
      <c r="B17" s="7" t="s">
        <v>82</v>
      </c>
      <c r="C17" s="7">
        <v>2022</v>
      </c>
      <c r="D17" s="7" t="s">
        <v>83</v>
      </c>
      <c r="E17" s="7" t="s">
        <v>84</v>
      </c>
      <c r="F17" s="7" t="s">
        <v>85</v>
      </c>
      <c r="G17" s="7" t="s">
        <v>86</v>
      </c>
      <c r="H17" s="7" t="s">
        <v>87</v>
      </c>
      <c r="I17" s="7">
        <v>45.198501</v>
      </c>
      <c r="J17" s="7">
        <v>-78.938886999999994</v>
      </c>
      <c r="K17" s="7" t="s">
        <v>41</v>
      </c>
      <c r="L17" s="7" t="s">
        <v>28</v>
      </c>
      <c r="M17" s="7" t="s">
        <v>88</v>
      </c>
      <c r="N17" s="7" t="s">
        <v>89</v>
      </c>
      <c r="O17" s="7" t="s">
        <v>90</v>
      </c>
      <c r="P17" s="7" t="s">
        <v>89</v>
      </c>
      <c r="Q17" s="7" t="s">
        <v>90</v>
      </c>
    </row>
    <row r="18" spans="1:17" s="7" customFormat="1" x14ac:dyDescent="0.35">
      <c r="A18" s="7">
        <v>4</v>
      </c>
      <c r="B18" s="7" t="s">
        <v>82</v>
      </c>
      <c r="C18" s="7">
        <v>2022</v>
      </c>
      <c r="D18" s="7" t="s">
        <v>83</v>
      </c>
      <c r="E18" s="7" t="s">
        <v>84</v>
      </c>
      <c r="F18" s="7" t="s">
        <v>85</v>
      </c>
      <c r="G18" s="7" t="s">
        <v>86</v>
      </c>
      <c r="H18" s="7" t="s">
        <v>93</v>
      </c>
      <c r="I18" s="7">
        <v>45.213003</v>
      </c>
      <c r="J18" s="7">
        <v>-78.984887999999998</v>
      </c>
      <c r="K18" s="7" t="s">
        <v>41</v>
      </c>
      <c r="L18" s="7" t="s">
        <v>28</v>
      </c>
      <c r="M18" s="7" t="s">
        <v>88</v>
      </c>
      <c r="N18" s="7" t="s">
        <v>89</v>
      </c>
      <c r="O18" s="7" t="s">
        <v>90</v>
      </c>
      <c r="P18" s="7" t="s">
        <v>89</v>
      </c>
      <c r="Q18" s="7" t="s">
        <v>90</v>
      </c>
    </row>
    <row r="19" spans="1:17" s="7" customFormat="1" x14ac:dyDescent="0.35">
      <c r="A19" s="7">
        <v>4</v>
      </c>
      <c r="B19" s="7" t="s">
        <v>82</v>
      </c>
      <c r="C19" s="7">
        <v>2022</v>
      </c>
      <c r="D19" s="7" t="s">
        <v>83</v>
      </c>
      <c r="E19" s="7" t="s">
        <v>84</v>
      </c>
      <c r="F19" s="7" t="s">
        <v>85</v>
      </c>
      <c r="G19" s="7" t="s">
        <v>86</v>
      </c>
      <c r="H19" s="7" t="s">
        <v>94</v>
      </c>
      <c r="I19" s="7">
        <v>45.150941000000003</v>
      </c>
      <c r="J19" s="7">
        <v>-79.089158999999995</v>
      </c>
      <c r="K19" s="7" t="s">
        <v>41</v>
      </c>
      <c r="L19" s="7" t="s">
        <v>28</v>
      </c>
      <c r="M19" s="7" t="s">
        <v>88</v>
      </c>
      <c r="N19" s="7" t="s">
        <v>89</v>
      </c>
      <c r="O19" s="7" t="s">
        <v>90</v>
      </c>
      <c r="P19" s="7" t="s">
        <v>89</v>
      </c>
      <c r="Q19" s="7" t="s">
        <v>90</v>
      </c>
    </row>
    <row r="20" spans="1:17" s="7" customFormat="1" x14ac:dyDescent="0.35">
      <c r="A20" s="7">
        <v>4</v>
      </c>
      <c r="B20" s="7" t="s">
        <v>82</v>
      </c>
      <c r="C20" s="7">
        <v>2022</v>
      </c>
      <c r="D20" s="7" t="s">
        <v>83</v>
      </c>
      <c r="E20" s="7" t="s">
        <v>84</v>
      </c>
      <c r="F20" s="7" t="s">
        <v>85</v>
      </c>
      <c r="G20" s="7" t="s">
        <v>86</v>
      </c>
      <c r="H20" s="7" t="s">
        <v>95</v>
      </c>
      <c r="I20" s="7">
        <v>45.170819000000002</v>
      </c>
      <c r="J20" s="7">
        <v>-79.247050000000002</v>
      </c>
      <c r="K20" s="7" t="s">
        <v>41</v>
      </c>
      <c r="L20" s="7" t="s">
        <v>28</v>
      </c>
      <c r="M20" s="7" t="s">
        <v>88</v>
      </c>
      <c r="N20" s="7" t="s">
        <v>89</v>
      </c>
      <c r="O20" s="7" t="s">
        <v>90</v>
      </c>
      <c r="P20" s="7" t="s">
        <v>89</v>
      </c>
      <c r="Q20" s="7" t="s">
        <v>90</v>
      </c>
    </row>
    <row r="21" spans="1:17" s="7" customFormat="1" x14ac:dyDescent="0.35">
      <c r="A21" s="7">
        <v>4</v>
      </c>
      <c r="B21" s="7" t="s">
        <v>82</v>
      </c>
      <c r="C21" s="7">
        <v>2022</v>
      </c>
      <c r="D21" s="7" t="s">
        <v>83</v>
      </c>
      <c r="E21" s="7" t="s">
        <v>84</v>
      </c>
      <c r="F21" s="7" t="s">
        <v>85</v>
      </c>
      <c r="G21" s="7" t="s">
        <v>86</v>
      </c>
      <c r="H21" s="7" t="s">
        <v>96</v>
      </c>
      <c r="I21" s="7">
        <v>45.380405000000003</v>
      </c>
      <c r="J21" s="7">
        <v>-79.135715000000005</v>
      </c>
      <c r="K21" s="7" t="s">
        <v>41</v>
      </c>
      <c r="L21" s="7" t="s">
        <v>28</v>
      </c>
      <c r="M21" s="7" t="s">
        <v>88</v>
      </c>
      <c r="N21" s="7" t="s">
        <v>89</v>
      </c>
      <c r="O21" s="7" t="s">
        <v>90</v>
      </c>
      <c r="P21" s="7" t="s">
        <v>89</v>
      </c>
      <c r="Q21" s="7" t="s">
        <v>90</v>
      </c>
    </row>
    <row r="22" spans="1:17" s="7" customFormat="1" x14ac:dyDescent="0.35">
      <c r="A22" s="7">
        <v>4</v>
      </c>
      <c r="B22" s="7" t="s">
        <v>82</v>
      </c>
      <c r="C22" s="7">
        <v>2022</v>
      </c>
      <c r="D22" s="7" t="s">
        <v>83</v>
      </c>
      <c r="E22" s="7" t="s">
        <v>84</v>
      </c>
      <c r="F22" s="7" t="s">
        <v>85</v>
      </c>
      <c r="G22" s="7" t="s">
        <v>86</v>
      </c>
      <c r="H22" s="7" t="s">
        <v>97</v>
      </c>
      <c r="I22" s="7">
        <v>45.127358999999998</v>
      </c>
      <c r="J22" s="7">
        <v>-79.104374000000007</v>
      </c>
      <c r="K22" s="7" t="s">
        <v>41</v>
      </c>
      <c r="L22" s="7" t="s">
        <v>28</v>
      </c>
      <c r="M22" s="7" t="s">
        <v>88</v>
      </c>
      <c r="N22" s="7" t="s">
        <v>89</v>
      </c>
      <c r="O22" s="7" t="s">
        <v>90</v>
      </c>
      <c r="P22" s="7" t="s">
        <v>89</v>
      </c>
      <c r="Q22" s="7" t="s">
        <v>90</v>
      </c>
    </row>
    <row r="23" spans="1:17" s="7" customFormat="1" x14ac:dyDescent="0.35">
      <c r="A23" s="7">
        <v>4</v>
      </c>
      <c r="B23" s="7" t="s">
        <v>82</v>
      </c>
      <c r="C23" s="7">
        <v>2022</v>
      </c>
      <c r="D23" s="7" t="s">
        <v>83</v>
      </c>
      <c r="E23" s="7" t="s">
        <v>84</v>
      </c>
      <c r="F23" s="7" t="s">
        <v>85</v>
      </c>
      <c r="G23" s="7" t="s">
        <v>86</v>
      </c>
      <c r="H23" s="7" t="s">
        <v>98</v>
      </c>
      <c r="I23" s="7">
        <v>45.185063</v>
      </c>
      <c r="J23" s="7">
        <v>-78.843849000000006</v>
      </c>
      <c r="K23" s="7" t="s">
        <v>41</v>
      </c>
      <c r="L23" s="7" t="s">
        <v>28</v>
      </c>
      <c r="M23" s="7" t="s">
        <v>88</v>
      </c>
      <c r="N23" s="7" t="s">
        <v>89</v>
      </c>
      <c r="O23" s="7" t="s">
        <v>90</v>
      </c>
      <c r="P23" s="7" t="s">
        <v>89</v>
      </c>
      <c r="Q23" s="7" t="s">
        <v>90</v>
      </c>
    </row>
    <row r="24" spans="1:17" s="7" customFormat="1" x14ac:dyDescent="0.35">
      <c r="A24" s="7">
        <v>4</v>
      </c>
      <c r="B24" s="7" t="s">
        <v>82</v>
      </c>
      <c r="C24" s="7">
        <v>2022</v>
      </c>
      <c r="D24" s="7" t="s">
        <v>83</v>
      </c>
      <c r="E24" s="7" t="s">
        <v>84</v>
      </c>
      <c r="F24" s="7" t="s">
        <v>85</v>
      </c>
      <c r="G24" s="7" t="s">
        <v>86</v>
      </c>
      <c r="H24" s="7" t="s">
        <v>99</v>
      </c>
      <c r="I24" s="7">
        <v>45.179085999999998</v>
      </c>
      <c r="J24" s="7">
        <v>-78.822264000000004</v>
      </c>
      <c r="K24" s="7" t="s">
        <v>41</v>
      </c>
      <c r="L24" s="7" t="s">
        <v>28</v>
      </c>
      <c r="M24" s="7" t="s">
        <v>88</v>
      </c>
      <c r="N24" s="7" t="s">
        <v>89</v>
      </c>
      <c r="O24" s="7" t="s">
        <v>90</v>
      </c>
      <c r="P24" s="7" t="s">
        <v>89</v>
      </c>
      <c r="Q24" s="7" t="s">
        <v>90</v>
      </c>
    </row>
    <row r="25" spans="1:17" s="7" customFormat="1" x14ac:dyDescent="0.35">
      <c r="A25" s="7">
        <v>4</v>
      </c>
      <c r="B25" s="7" t="s">
        <v>82</v>
      </c>
      <c r="C25" s="7">
        <v>2022</v>
      </c>
      <c r="D25" s="7" t="s">
        <v>83</v>
      </c>
      <c r="E25" s="7" t="s">
        <v>84</v>
      </c>
      <c r="F25" s="7" t="s">
        <v>85</v>
      </c>
      <c r="G25" s="7" t="s">
        <v>86</v>
      </c>
      <c r="H25" s="7" t="s">
        <v>100</v>
      </c>
      <c r="I25" s="7">
        <v>45.151308999999998</v>
      </c>
      <c r="J25" s="7">
        <v>-78.849829</v>
      </c>
      <c r="K25" s="7" t="s">
        <v>41</v>
      </c>
      <c r="L25" s="7" t="s">
        <v>28</v>
      </c>
      <c r="M25" s="7" t="s">
        <v>88</v>
      </c>
      <c r="N25" s="7" t="s">
        <v>89</v>
      </c>
      <c r="O25" s="7" t="s">
        <v>90</v>
      </c>
      <c r="P25" s="7" t="s">
        <v>89</v>
      </c>
      <c r="Q25" s="7" t="s">
        <v>90</v>
      </c>
    </row>
    <row r="26" spans="1:17" s="7" customFormat="1" x14ac:dyDescent="0.35">
      <c r="A26" s="7">
        <v>4</v>
      </c>
      <c r="B26" s="7" t="s">
        <v>82</v>
      </c>
      <c r="C26" s="7">
        <v>2022</v>
      </c>
      <c r="D26" s="7" t="s">
        <v>83</v>
      </c>
      <c r="E26" s="7" t="s">
        <v>84</v>
      </c>
      <c r="F26" s="7" t="s">
        <v>85</v>
      </c>
      <c r="G26" s="7" t="s">
        <v>86</v>
      </c>
      <c r="H26" s="7" t="s">
        <v>101</v>
      </c>
      <c r="I26" s="7">
        <v>45.189684</v>
      </c>
      <c r="J26" s="7">
        <v>-78.948820999999995</v>
      </c>
      <c r="K26" s="7" t="s">
        <v>41</v>
      </c>
      <c r="L26" s="7" t="s">
        <v>28</v>
      </c>
      <c r="M26" s="7" t="s">
        <v>88</v>
      </c>
      <c r="N26" s="7" t="s">
        <v>89</v>
      </c>
      <c r="O26" s="7" t="s">
        <v>90</v>
      </c>
      <c r="P26" s="7" t="s">
        <v>89</v>
      </c>
      <c r="Q26" s="7" t="s">
        <v>90</v>
      </c>
    </row>
    <row r="27" spans="1:17" s="7" customFormat="1" x14ac:dyDescent="0.35">
      <c r="A27" s="7">
        <v>4</v>
      </c>
      <c r="B27" s="7" t="s">
        <v>82</v>
      </c>
      <c r="C27" s="7">
        <v>2022</v>
      </c>
      <c r="D27" s="7" t="s">
        <v>83</v>
      </c>
      <c r="E27" s="7" t="s">
        <v>84</v>
      </c>
      <c r="F27" s="7" t="s">
        <v>85</v>
      </c>
      <c r="G27" s="7" t="s">
        <v>86</v>
      </c>
      <c r="H27" s="7" t="s">
        <v>102</v>
      </c>
      <c r="I27" s="7">
        <v>45.175443999999999</v>
      </c>
      <c r="J27" s="7">
        <v>-79.458128000000002</v>
      </c>
      <c r="K27" s="7" t="s">
        <v>41</v>
      </c>
      <c r="L27" s="7" t="s">
        <v>28</v>
      </c>
      <c r="M27" s="7" t="s">
        <v>88</v>
      </c>
      <c r="N27" s="7" t="s">
        <v>89</v>
      </c>
      <c r="O27" s="7" t="s">
        <v>90</v>
      </c>
      <c r="P27" s="7" t="s">
        <v>89</v>
      </c>
      <c r="Q27" s="7" t="s">
        <v>90</v>
      </c>
    </row>
    <row r="28" spans="1:17" s="7" customFormat="1" x14ac:dyDescent="0.35">
      <c r="A28" s="7">
        <v>4</v>
      </c>
      <c r="B28" s="7" t="s">
        <v>82</v>
      </c>
      <c r="C28" s="7">
        <v>2022</v>
      </c>
      <c r="D28" s="7" t="s">
        <v>83</v>
      </c>
      <c r="E28" s="7" t="s">
        <v>84</v>
      </c>
      <c r="F28" s="7" t="s">
        <v>85</v>
      </c>
      <c r="G28" s="7" t="s">
        <v>86</v>
      </c>
      <c r="H28" s="7" t="s">
        <v>94</v>
      </c>
      <c r="I28" s="7">
        <v>45.150941000000003</v>
      </c>
      <c r="J28" s="7">
        <v>-79.089158999999995</v>
      </c>
      <c r="K28" s="7" t="s">
        <v>103</v>
      </c>
      <c r="L28" s="7" t="s">
        <v>28</v>
      </c>
      <c r="M28" s="7" t="s">
        <v>104</v>
      </c>
      <c r="N28" s="7" t="s">
        <v>105</v>
      </c>
      <c r="O28" s="7" t="s">
        <v>90</v>
      </c>
      <c r="P28" s="7" t="s">
        <v>105</v>
      </c>
      <c r="Q28" s="7" t="s">
        <v>90</v>
      </c>
    </row>
    <row r="29" spans="1:17" s="7" customFormat="1" x14ac:dyDescent="0.35">
      <c r="A29" s="7">
        <v>4</v>
      </c>
      <c r="B29" s="7" t="s">
        <v>82</v>
      </c>
      <c r="C29" s="7">
        <v>2022</v>
      </c>
      <c r="D29" s="7" t="s">
        <v>83</v>
      </c>
      <c r="E29" s="7" t="s">
        <v>84</v>
      </c>
      <c r="F29" s="7" t="s">
        <v>85</v>
      </c>
      <c r="G29" s="7" t="s">
        <v>86</v>
      </c>
      <c r="H29" s="7" t="s">
        <v>95</v>
      </c>
      <c r="I29" s="7">
        <v>45.170819000000002</v>
      </c>
      <c r="J29" s="7">
        <v>-79.247050000000002</v>
      </c>
      <c r="K29" s="7" t="s">
        <v>103</v>
      </c>
      <c r="L29" s="7" t="s">
        <v>28</v>
      </c>
      <c r="M29" s="7" t="s">
        <v>104</v>
      </c>
      <c r="N29" s="7" t="s">
        <v>105</v>
      </c>
      <c r="O29" s="7" t="s">
        <v>90</v>
      </c>
      <c r="P29" s="7" t="s">
        <v>105</v>
      </c>
      <c r="Q29" s="7" t="s">
        <v>90</v>
      </c>
    </row>
    <row r="30" spans="1:17" s="7" customFormat="1" x14ac:dyDescent="0.35">
      <c r="A30" s="7">
        <v>4</v>
      </c>
      <c r="B30" s="7" t="s">
        <v>82</v>
      </c>
      <c r="C30" s="7">
        <v>2022</v>
      </c>
      <c r="D30" s="7" t="s">
        <v>83</v>
      </c>
      <c r="E30" s="7" t="s">
        <v>84</v>
      </c>
      <c r="F30" s="7" t="s">
        <v>85</v>
      </c>
      <c r="G30" s="7" t="s">
        <v>86</v>
      </c>
      <c r="H30" s="7" t="s">
        <v>96</v>
      </c>
      <c r="I30" s="7">
        <v>45.380405000000003</v>
      </c>
      <c r="J30" s="7">
        <v>-79.135715000000005</v>
      </c>
      <c r="K30" s="7" t="s">
        <v>103</v>
      </c>
      <c r="L30" s="7" t="s">
        <v>28</v>
      </c>
      <c r="M30" s="7" t="s">
        <v>104</v>
      </c>
      <c r="N30" s="7" t="s">
        <v>105</v>
      </c>
      <c r="O30" s="7" t="s">
        <v>90</v>
      </c>
      <c r="P30" s="7" t="s">
        <v>105</v>
      </c>
      <c r="Q30" s="7" t="s">
        <v>90</v>
      </c>
    </row>
    <row r="31" spans="1:17" s="7" customFormat="1" x14ac:dyDescent="0.35">
      <c r="A31" s="7">
        <v>4</v>
      </c>
      <c r="B31" s="7" t="s">
        <v>82</v>
      </c>
      <c r="C31" s="7">
        <v>2022</v>
      </c>
      <c r="D31" s="7" t="s">
        <v>83</v>
      </c>
      <c r="E31" s="7" t="s">
        <v>84</v>
      </c>
      <c r="F31" s="7" t="s">
        <v>85</v>
      </c>
      <c r="G31" s="7" t="s">
        <v>86</v>
      </c>
      <c r="H31" s="7" t="s">
        <v>98</v>
      </c>
      <c r="I31" s="7">
        <v>45.185063</v>
      </c>
      <c r="J31" s="7">
        <v>-78.843849000000006</v>
      </c>
      <c r="K31" s="7" t="s">
        <v>103</v>
      </c>
      <c r="L31" s="7" t="s">
        <v>28</v>
      </c>
      <c r="M31" s="7" t="s">
        <v>104</v>
      </c>
      <c r="N31" s="7" t="s">
        <v>105</v>
      </c>
      <c r="O31" s="7" t="s">
        <v>90</v>
      </c>
      <c r="P31" s="7" t="s">
        <v>105</v>
      </c>
      <c r="Q31" s="7" t="s">
        <v>90</v>
      </c>
    </row>
    <row r="32" spans="1:17" s="7" customFormat="1" x14ac:dyDescent="0.35">
      <c r="A32" s="7">
        <v>4</v>
      </c>
      <c r="B32" s="7" t="s">
        <v>82</v>
      </c>
      <c r="C32" s="7">
        <v>2022</v>
      </c>
      <c r="D32" s="7" t="s">
        <v>83</v>
      </c>
      <c r="E32" s="7" t="s">
        <v>84</v>
      </c>
      <c r="F32" s="7" t="s">
        <v>85</v>
      </c>
      <c r="G32" s="7" t="s">
        <v>86</v>
      </c>
      <c r="H32" s="7" t="s">
        <v>99</v>
      </c>
      <c r="I32" s="7">
        <v>45.179085999999998</v>
      </c>
      <c r="J32" s="7">
        <v>-78.822264000000004</v>
      </c>
      <c r="K32" s="7" t="s">
        <v>103</v>
      </c>
      <c r="L32" s="7" t="s">
        <v>28</v>
      </c>
      <c r="M32" s="7" t="s">
        <v>104</v>
      </c>
      <c r="N32" s="7" t="s">
        <v>105</v>
      </c>
      <c r="O32" s="7" t="s">
        <v>90</v>
      </c>
      <c r="P32" s="7" t="s">
        <v>105</v>
      </c>
      <c r="Q32" s="7" t="s">
        <v>90</v>
      </c>
    </row>
    <row r="33" spans="1:18" s="7" customFormat="1" x14ac:dyDescent="0.35">
      <c r="A33" s="7">
        <v>4</v>
      </c>
      <c r="B33" s="7" t="s">
        <v>82</v>
      </c>
      <c r="C33" s="7">
        <v>2022</v>
      </c>
      <c r="D33" s="7" t="s">
        <v>83</v>
      </c>
      <c r="E33" s="7" t="s">
        <v>84</v>
      </c>
      <c r="F33" s="7" t="s">
        <v>85</v>
      </c>
      <c r="G33" s="7" t="s">
        <v>86</v>
      </c>
      <c r="H33" s="7" t="s">
        <v>108</v>
      </c>
      <c r="I33" s="7">
        <v>45.151308999999998</v>
      </c>
      <c r="J33" s="7">
        <v>-78.849829</v>
      </c>
      <c r="K33" s="7" t="s">
        <v>103</v>
      </c>
      <c r="L33" s="7" t="s">
        <v>28</v>
      </c>
      <c r="M33" s="7" t="s">
        <v>104</v>
      </c>
      <c r="N33" s="7" t="s">
        <v>105</v>
      </c>
      <c r="O33" s="7" t="s">
        <v>90</v>
      </c>
      <c r="P33" s="7" t="s">
        <v>105</v>
      </c>
      <c r="Q33" s="7" t="s">
        <v>90</v>
      </c>
    </row>
    <row r="34" spans="1:18" s="7" customFormat="1" x14ac:dyDescent="0.35">
      <c r="A34" s="7">
        <v>4</v>
      </c>
      <c r="B34" s="7" t="s">
        <v>82</v>
      </c>
      <c r="C34" s="7">
        <v>2022</v>
      </c>
      <c r="D34" s="7" t="s">
        <v>83</v>
      </c>
      <c r="E34" s="7" t="s">
        <v>84</v>
      </c>
      <c r="F34" s="7" t="s">
        <v>85</v>
      </c>
      <c r="G34" s="7" t="s">
        <v>86</v>
      </c>
      <c r="H34" s="7" t="s">
        <v>109</v>
      </c>
      <c r="I34" s="7">
        <v>45.204383999999997</v>
      </c>
      <c r="J34" s="7">
        <v>-79.549036999999998</v>
      </c>
      <c r="K34" s="7" t="s">
        <v>103</v>
      </c>
      <c r="L34" s="7" t="s">
        <v>28</v>
      </c>
      <c r="M34" s="7" t="s">
        <v>104</v>
      </c>
      <c r="N34" s="7" t="s">
        <v>105</v>
      </c>
      <c r="O34" s="7" t="s">
        <v>90</v>
      </c>
      <c r="P34" s="7" t="s">
        <v>105</v>
      </c>
      <c r="Q34" s="7" t="s">
        <v>90</v>
      </c>
    </row>
    <row r="35" spans="1:18" s="7" customFormat="1" x14ac:dyDescent="0.35">
      <c r="A35" s="7">
        <v>5</v>
      </c>
      <c r="B35" s="7" t="s">
        <v>110</v>
      </c>
      <c r="C35" s="7">
        <v>2021</v>
      </c>
      <c r="D35" s="7" t="s">
        <v>36</v>
      </c>
      <c r="E35" s="7" t="s">
        <v>111</v>
      </c>
      <c r="F35" s="7" t="s">
        <v>112</v>
      </c>
      <c r="G35" s="7" t="s">
        <v>39</v>
      </c>
      <c r="H35" s="7" t="s">
        <v>113</v>
      </c>
      <c r="I35" s="7">
        <v>74.500399999999999</v>
      </c>
      <c r="J35" s="10">
        <v>-80.548000000000002</v>
      </c>
      <c r="K35" s="7" t="s">
        <v>41</v>
      </c>
      <c r="L35" s="7" t="s">
        <v>42</v>
      </c>
      <c r="M35" s="7" t="s">
        <v>114</v>
      </c>
      <c r="N35" s="7" t="s">
        <v>115</v>
      </c>
      <c r="O35" s="7" t="s">
        <v>31</v>
      </c>
      <c r="P35" s="7" t="s">
        <v>115</v>
      </c>
      <c r="Q35" s="7" t="s">
        <v>31</v>
      </c>
      <c r="R35" s="7" t="s">
        <v>117</v>
      </c>
    </row>
    <row r="36" spans="1:18" s="7" customFormat="1" x14ac:dyDescent="0.35">
      <c r="A36" s="7">
        <v>5</v>
      </c>
      <c r="B36" s="7" t="s">
        <v>110</v>
      </c>
      <c r="C36" s="7">
        <v>2021</v>
      </c>
      <c r="D36" s="7" t="s">
        <v>36</v>
      </c>
      <c r="E36" s="7" t="s">
        <v>111</v>
      </c>
      <c r="F36" s="7" t="s">
        <v>112</v>
      </c>
      <c r="G36" s="7" t="s">
        <v>39</v>
      </c>
      <c r="H36" s="7" t="s">
        <v>118</v>
      </c>
      <c r="I36" s="7">
        <v>76.455359999999999</v>
      </c>
      <c r="J36" s="10">
        <v>-78.729200000000006</v>
      </c>
      <c r="K36" s="7" t="s">
        <v>41</v>
      </c>
      <c r="L36" s="7" t="s">
        <v>42</v>
      </c>
      <c r="M36" s="7" t="s">
        <v>114</v>
      </c>
      <c r="N36" s="7" t="s">
        <v>115</v>
      </c>
      <c r="O36" s="7" t="s">
        <v>31</v>
      </c>
      <c r="P36" s="7" t="s">
        <v>115</v>
      </c>
      <c r="Q36" s="7" t="s">
        <v>31</v>
      </c>
      <c r="R36" s="7" t="s">
        <v>117</v>
      </c>
    </row>
    <row r="37" spans="1:18" s="7" customFormat="1" x14ac:dyDescent="0.35">
      <c r="A37" s="7">
        <v>5</v>
      </c>
      <c r="B37" s="7" t="s">
        <v>110</v>
      </c>
      <c r="C37" s="7">
        <v>2021</v>
      </c>
      <c r="D37" s="7" t="s">
        <v>36</v>
      </c>
      <c r="E37" s="7" t="s">
        <v>111</v>
      </c>
      <c r="F37" s="7" t="s">
        <v>112</v>
      </c>
      <c r="G37" s="7" t="s">
        <v>39</v>
      </c>
      <c r="H37" s="7" t="s">
        <v>119</v>
      </c>
      <c r="I37" s="7">
        <v>77.165080000000003</v>
      </c>
      <c r="J37" s="10">
        <v>-76.043899999999994</v>
      </c>
      <c r="K37" s="7" t="s">
        <v>41</v>
      </c>
      <c r="L37" s="7" t="s">
        <v>42</v>
      </c>
      <c r="M37" s="7" t="s">
        <v>114</v>
      </c>
      <c r="N37" s="7" t="s">
        <v>115</v>
      </c>
      <c r="O37" s="7" t="s">
        <v>31</v>
      </c>
      <c r="P37" s="7" t="s">
        <v>115</v>
      </c>
      <c r="Q37" s="7" t="s">
        <v>31</v>
      </c>
      <c r="R37" s="7" t="s">
        <v>117</v>
      </c>
    </row>
    <row r="38" spans="1:18" s="7" customFormat="1" x14ac:dyDescent="0.35">
      <c r="A38" s="7">
        <v>5</v>
      </c>
      <c r="B38" s="7" t="s">
        <v>110</v>
      </c>
      <c r="C38" s="7">
        <v>2021</v>
      </c>
      <c r="D38" s="7" t="s">
        <v>36</v>
      </c>
      <c r="E38" s="7" t="s">
        <v>111</v>
      </c>
      <c r="F38" s="7" t="s">
        <v>112</v>
      </c>
      <c r="G38" s="7" t="s">
        <v>39</v>
      </c>
      <c r="H38" s="7" t="s">
        <v>120</v>
      </c>
      <c r="I38" s="7">
        <v>76.329400000000007</v>
      </c>
      <c r="J38" s="10">
        <v>-71.137</v>
      </c>
      <c r="K38" s="7" t="s">
        <v>41</v>
      </c>
      <c r="L38" s="7" t="s">
        <v>42</v>
      </c>
      <c r="M38" s="7" t="s">
        <v>114</v>
      </c>
      <c r="N38" s="7" t="s">
        <v>115</v>
      </c>
      <c r="O38" s="7" t="s">
        <v>31</v>
      </c>
      <c r="P38" s="7" t="s">
        <v>115</v>
      </c>
      <c r="Q38" s="7" t="s">
        <v>31</v>
      </c>
      <c r="R38" s="7" t="s">
        <v>117</v>
      </c>
    </row>
    <row r="39" spans="1:18" s="7" customFormat="1" x14ac:dyDescent="0.35">
      <c r="A39" s="7">
        <v>5</v>
      </c>
      <c r="B39" s="7" t="s">
        <v>110</v>
      </c>
      <c r="C39" s="7">
        <v>2021</v>
      </c>
      <c r="D39" s="7" t="s">
        <v>36</v>
      </c>
      <c r="E39" s="7" t="s">
        <v>111</v>
      </c>
      <c r="F39" s="7" t="s">
        <v>112</v>
      </c>
      <c r="G39" s="7" t="s">
        <v>39</v>
      </c>
      <c r="H39" s="7" t="s">
        <v>121</v>
      </c>
      <c r="I39" s="7">
        <v>70.935360000000003</v>
      </c>
      <c r="J39" s="10">
        <v>-66.296800000000005</v>
      </c>
      <c r="K39" s="7" t="s">
        <v>41</v>
      </c>
      <c r="L39" s="7" t="s">
        <v>42</v>
      </c>
      <c r="M39" s="7" t="s">
        <v>114</v>
      </c>
      <c r="N39" s="7" t="s">
        <v>115</v>
      </c>
      <c r="O39" s="7" t="s">
        <v>31</v>
      </c>
      <c r="P39" s="7" t="s">
        <v>115</v>
      </c>
      <c r="Q39" s="7" t="s">
        <v>31</v>
      </c>
      <c r="R39" s="7" t="s">
        <v>117</v>
      </c>
    </row>
    <row r="40" spans="1:18" s="7" customFormat="1" x14ac:dyDescent="0.35">
      <c r="A40" s="7">
        <v>5</v>
      </c>
      <c r="B40" s="7" t="s">
        <v>110</v>
      </c>
      <c r="C40" s="7">
        <v>2021</v>
      </c>
      <c r="D40" s="7" t="s">
        <v>36</v>
      </c>
      <c r="E40" s="7" t="s">
        <v>111</v>
      </c>
      <c r="F40" s="7" t="s">
        <v>112</v>
      </c>
      <c r="G40" s="7" t="s">
        <v>39</v>
      </c>
      <c r="H40" s="7" t="s">
        <v>122</v>
      </c>
      <c r="I40" s="7">
        <v>69.063100000000006</v>
      </c>
      <c r="J40" s="10">
        <v>-64.965800000000002</v>
      </c>
      <c r="K40" s="7" t="s">
        <v>41</v>
      </c>
      <c r="L40" s="7" t="s">
        <v>42</v>
      </c>
      <c r="M40" s="7" t="s">
        <v>114</v>
      </c>
      <c r="N40" s="7" t="s">
        <v>115</v>
      </c>
      <c r="O40" s="7" t="s">
        <v>31</v>
      </c>
      <c r="P40" s="7" t="s">
        <v>115</v>
      </c>
      <c r="Q40" s="7" t="s">
        <v>31</v>
      </c>
      <c r="R40" s="7" t="s">
        <v>117</v>
      </c>
    </row>
    <row r="41" spans="1:18" s="7" customFormat="1" x14ac:dyDescent="0.35">
      <c r="A41" s="7">
        <v>5</v>
      </c>
      <c r="B41" s="7" t="s">
        <v>110</v>
      </c>
      <c r="C41" s="7">
        <v>2021</v>
      </c>
      <c r="D41" s="7" t="s">
        <v>36</v>
      </c>
      <c r="E41" s="7" t="s">
        <v>111</v>
      </c>
      <c r="F41" s="7" t="s">
        <v>112</v>
      </c>
      <c r="G41" s="7" t="s">
        <v>39</v>
      </c>
      <c r="H41" s="7" t="s">
        <v>123</v>
      </c>
      <c r="I41" s="7">
        <v>67.479039999999998</v>
      </c>
      <c r="J41" s="10">
        <v>-63.506999999999998</v>
      </c>
      <c r="K41" s="7" t="s">
        <v>41</v>
      </c>
      <c r="L41" s="7" t="s">
        <v>42</v>
      </c>
      <c r="M41" s="7" t="s">
        <v>114</v>
      </c>
      <c r="N41" s="7" t="s">
        <v>115</v>
      </c>
      <c r="O41" s="7" t="s">
        <v>31</v>
      </c>
      <c r="P41" s="7" t="s">
        <v>115</v>
      </c>
      <c r="Q41" s="7" t="s">
        <v>31</v>
      </c>
      <c r="R41" s="7" t="s">
        <v>117</v>
      </c>
    </row>
    <row r="42" spans="1:18" s="7" customFormat="1" x14ac:dyDescent="0.35">
      <c r="A42" s="7">
        <v>5</v>
      </c>
      <c r="B42" s="7" t="s">
        <v>110</v>
      </c>
      <c r="C42" s="7">
        <v>2021</v>
      </c>
      <c r="D42" s="7" t="s">
        <v>36</v>
      </c>
      <c r="E42" s="7" t="s">
        <v>111</v>
      </c>
      <c r="F42" s="7" t="s">
        <v>112</v>
      </c>
      <c r="G42" s="7" t="s">
        <v>39</v>
      </c>
      <c r="H42" s="7" t="s">
        <v>124</v>
      </c>
      <c r="I42" s="7">
        <v>66.560149999999993</v>
      </c>
      <c r="J42" s="10">
        <v>-61.665999999999997</v>
      </c>
      <c r="K42" s="7" t="s">
        <v>41</v>
      </c>
      <c r="L42" s="7" t="s">
        <v>42</v>
      </c>
      <c r="M42" s="7" t="s">
        <v>114</v>
      </c>
      <c r="N42" s="7" t="s">
        <v>115</v>
      </c>
      <c r="O42" s="7" t="s">
        <v>31</v>
      </c>
      <c r="P42" s="7" t="s">
        <v>115</v>
      </c>
      <c r="Q42" s="7" t="s">
        <v>31</v>
      </c>
      <c r="R42" s="7" t="s">
        <v>117</v>
      </c>
    </row>
    <row r="43" spans="1:18" s="7" customFormat="1" x14ac:dyDescent="0.35">
      <c r="A43" s="7">
        <v>5</v>
      </c>
      <c r="B43" s="7" t="s">
        <v>110</v>
      </c>
      <c r="C43" s="7">
        <v>2021</v>
      </c>
      <c r="D43" s="7" t="s">
        <v>36</v>
      </c>
      <c r="E43" s="7" t="s">
        <v>111</v>
      </c>
      <c r="F43" s="7" t="s">
        <v>112</v>
      </c>
      <c r="G43" s="7" t="s">
        <v>39</v>
      </c>
      <c r="H43" s="7" t="s">
        <v>125</v>
      </c>
      <c r="I43" s="7">
        <v>66.422049999999999</v>
      </c>
      <c r="J43" s="10">
        <v>-61.273400000000002</v>
      </c>
      <c r="K43" s="7" t="s">
        <v>41</v>
      </c>
      <c r="L43" s="7" t="s">
        <v>42</v>
      </c>
      <c r="M43" s="7" t="s">
        <v>114</v>
      </c>
      <c r="N43" s="7" t="s">
        <v>115</v>
      </c>
      <c r="O43" s="7" t="s">
        <v>31</v>
      </c>
      <c r="P43" s="7" t="s">
        <v>115</v>
      </c>
      <c r="Q43" s="7" t="s">
        <v>31</v>
      </c>
      <c r="R43" s="7" t="s">
        <v>117</v>
      </c>
    </row>
    <row r="44" spans="1:18" s="7" customFormat="1" x14ac:dyDescent="0.35">
      <c r="A44" s="7">
        <v>5</v>
      </c>
      <c r="B44" s="7" t="s">
        <v>110</v>
      </c>
      <c r="C44" s="7">
        <v>2021</v>
      </c>
      <c r="D44" s="7" t="s">
        <v>36</v>
      </c>
      <c r="E44" s="7" t="s">
        <v>111</v>
      </c>
      <c r="F44" s="7" t="s">
        <v>112</v>
      </c>
      <c r="G44" s="7" t="s">
        <v>39</v>
      </c>
      <c r="H44" s="7" t="s">
        <v>126</v>
      </c>
      <c r="I44" s="7">
        <v>72.750069999999994</v>
      </c>
      <c r="J44" s="10">
        <v>-96.141000000000005</v>
      </c>
      <c r="K44" s="7" t="s">
        <v>41</v>
      </c>
      <c r="L44" s="7" t="s">
        <v>42</v>
      </c>
      <c r="M44" s="7" t="s">
        <v>114</v>
      </c>
      <c r="N44" s="7" t="s">
        <v>115</v>
      </c>
      <c r="O44" s="7" t="s">
        <v>31</v>
      </c>
      <c r="P44" s="7" t="s">
        <v>115</v>
      </c>
      <c r="Q44" s="7" t="s">
        <v>31</v>
      </c>
      <c r="R44" s="7" t="s">
        <v>117</v>
      </c>
    </row>
    <row r="45" spans="1:18" s="7" customFormat="1" x14ac:dyDescent="0.35">
      <c r="A45" s="7">
        <v>5</v>
      </c>
      <c r="B45" s="7" t="s">
        <v>110</v>
      </c>
      <c r="C45" s="7">
        <v>2021</v>
      </c>
      <c r="D45" s="7" t="s">
        <v>36</v>
      </c>
      <c r="E45" s="7" t="s">
        <v>111</v>
      </c>
      <c r="F45" s="7" t="s">
        <v>112</v>
      </c>
      <c r="G45" s="7" t="s">
        <v>39</v>
      </c>
      <c r="H45" s="7" t="s">
        <v>127</v>
      </c>
      <c r="I45" s="7">
        <v>71.415530000000004</v>
      </c>
      <c r="J45" s="10">
        <v>-97.897000000000006</v>
      </c>
      <c r="K45" s="7" t="s">
        <v>41</v>
      </c>
      <c r="L45" s="7" t="s">
        <v>42</v>
      </c>
      <c r="M45" s="7" t="s">
        <v>114</v>
      </c>
      <c r="N45" s="7" t="s">
        <v>115</v>
      </c>
      <c r="O45" s="7" t="s">
        <v>31</v>
      </c>
      <c r="P45" s="7" t="s">
        <v>115</v>
      </c>
      <c r="Q45" s="7" t="s">
        <v>31</v>
      </c>
      <c r="R45" s="7" t="s">
        <v>117</v>
      </c>
    </row>
    <row r="46" spans="1:18" s="7" customFormat="1" x14ac:dyDescent="0.35">
      <c r="A46" s="7">
        <v>5</v>
      </c>
      <c r="B46" s="7" t="s">
        <v>110</v>
      </c>
      <c r="C46" s="7">
        <v>2021</v>
      </c>
      <c r="D46" s="7" t="s">
        <v>36</v>
      </c>
      <c r="E46" s="7" t="s">
        <v>111</v>
      </c>
      <c r="F46" s="7" t="s">
        <v>112</v>
      </c>
      <c r="G46" s="7" t="s">
        <v>39</v>
      </c>
      <c r="H46" s="7" t="s">
        <v>128</v>
      </c>
      <c r="I46" s="7">
        <v>73.006410000000002</v>
      </c>
      <c r="J46" s="10">
        <v>-96.238500000000002</v>
      </c>
      <c r="K46" s="7" t="s">
        <v>41</v>
      </c>
      <c r="L46" s="7" t="s">
        <v>42</v>
      </c>
      <c r="M46" s="7" t="s">
        <v>114</v>
      </c>
      <c r="N46" s="7" t="s">
        <v>115</v>
      </c>
      <c r="O46" s="7" t="s">
        <v>31</v>
      </c>
      <c r="P46" s="7" t="s">
        <v>115</v>
      </c>
      <c r="Q46" s="7" t="s">
        <v>31</v>
      </c>
      <c r="R46" s="7" t="s">
        <v>117</v>
      </c>
    </row>
    <row r="47" spans="1:18" s="7" customFormat="1" x14ac:dyDescent="0.35">
      <c r="A47" s="7">
        <v>5</v>
      </c>
      <c r="B47" s="7" t="s">
        <v>110</v>
      </c>
      <c r="C47" s="7">
        <v>2021</v>
      </c>
      <c r="D47" s="7" t="s">
        <v>36</v>
      </c>
      <c r="E47" s="7" t="s">
        <v>111</v>
      </c>
      <c r="F47" s="7" t="s">
        <v>112</v>
      </c>
      <c r="G47" s="7" t="s">
        <v>39</v>
      </c>
      <c r="H47" s="7" t="s">
        <v>129</v>
      </c>
      <c r="I47" s="7">
        <v>72.556929999999994</v>
      </c>
      <c r="J47" s="10">
        <v>-90.267600000000002</v>
      </c>
      <c r="K47" s="7" t="s">
        <v>41</v>
      </c>
      <c r="L47" s="7" t="s">
        <v>42</v>
      </c>
      <c r="M47" s="7" t="s">
        <v>114</v>
      </c>
      <c r="N47" s="7" t="s">
        <v>115</v>
      </c>
      <c r="O47" s="7" t="s">
        <v>31</v>
      </c>
      <c r="P47" s="7" t="s">
        <v>115</v>
      </c>
      <c r="Q47" s="7" t="s">
        <v>31</v>
      </c>
      <c r="R47" s="7" t="s">
        <v>117</v>
      </c>
    </row>
    <row r="48" spans="1:18" s="7" customFormat="1" x14ac:dyDescent="0.35">
      <c r="A48" s="7">
        <v>5</v>
      </c>
      <c r="B48" s="7" t="s">
        <v>110</v>
      </c>
      <c r="C48" s="7">
        <v>2021</v>
      </c>
      <c r="D48" s="7" t="s">
        <v>36</v>
      </c>
      <c r="E48" s="7" t="s">
        <v>111</v>
      </c>
      <c r="F48" s="7" t="s">
        <v>112</v>
      </c>
      <c r="G48" s="7" t="s">
        <v>25</v>
      </c>
      <c r="H48" s="7" t="s">
        <v>130</v>
      </c>
      <c r="I48" s="7">
        <v>68.671400000000006</v>
      </c>
      <c r="J48" s="10">
        <v>-101.29900000000001</v>
      </c>
      <c r="K48" s="7" t="s">
        <v>41</v>
      </c>
      <c r="L48" s="7" t="s">
        <v>42</v>
      </c>
      <c r="M48" s="7" t="s">
        <v>114</v>
      </c>
      <c r="N48" s="7" t="s">
        <v>115</v>
      </c>
      <c r="O48" s="7" t="s">
        <v>31</v>
      </c>
      <c r="P48" s="7" t="s">
        <v>115</v>
      </c>
      <c r="Q48" s="7" t="s">
        <v>31</v>
      </c>
      <c r="R48" s="7" t="s">
        <v>117</v>
      </c>
    </row>
    <row r="49" spans="1:18" s="7" customFormat="1" x14ac:dyDescent="0.35">
      <c r="A49" s="7">
        <v>5</v>
      </c>
      <c r="B49" s="7" t="s">
        <v>110</v>
      </c>
      <c r="C49" s="7">
        <v>2021</v>
      </c>
      <c r="D49" s="7" t="s">
        <v>36</v>
      </c>
      <c r="E49" s="7" t="s">
        <v>111</v>
      </c>
      <c r="F49" s="7" t="s">
        <v>112</v>
      </c>
      <c r="G49" s="7" t="s">
        <v>25</v>
      </c>
      <c r="H49" s="7" t="s">
        <v>131</v>
      </c>
      <c r="I49" s="7">
        <v>68.553669999999997</v>
      </c>
      <c r="J49" s="10">
        <v>-95.8583</v>
      </c>
      <c r="K49" s="7" t="s">
        <v>41</v>
      </c>
      <c r="L49" s="7" t="s">
        <v>42</v>
      </c>
      <c r="M49" s="7" t="s">
        <v>114</v>
      </c>
      <c r="N49" s="7" t="s">
        <v>115</v>
      </c>
      <c r="O49" s="7" t="s">
        <v>31</v>
      </c>
      <c r="P49" s="7" t="s">
        <v>115</v>
      </c>
      <c r="Q49" s="7" t="s">
        <v>31</v>
      </c>
      <c r="R49" s="7" t="s">
        <v>117</v>
      </c>
    </row>
    <row r="50" spans="1:18" s="7" customFormat="1" x14ac:dyDescent="0.35">
      <c r="A50" s="7">
        <v>5</v>
      </c>
      <c r="B50" s="7" t="s">
        <v>110</v>
      </c>
      <c r="C50" s="7">
        <v>2021</v>
      </c>
      <c r="D50" s="7" t="s">
        <v>36</v>
      </c>
      <c r="E50" s="7" t="s">
        <v>111</v>
      </c>
      <c r="F50" s="7" t="s">
        <v>112</v>
      </c>
      <c r="G50" s="7" t="s">
        <v>25</v>
      </c>
      <c r="H50" s="7" t="s">
        <v>132</v>
      </c>
      <c r="I50" s="7">
        <v>69.434889999999996</v>
      </c>
      <c r="J50" s="10">
        <v>-100.116</v>
      </c>
      <c r="K50" s="7" t="s">
        <v>41</v>
      </c>
      <c r="L50" s="7" t="s">
        <v>42</v>
      </c>
      <c r="M50" s="7" t="s">
        <v>114</v>
      </c>
      <c r="N50" s="7" t="s">
        <v>115</v>
      </c>
      <c r="O50" s="7" t="s">
        <v>31</v>
      </c>
      <c r="P50" s="7" t="s">
        <v>115</v>
      </c>
      <c r="Q50" s="7" t="s">
        <v>31</v>
      </c>
      <c r="R50" s="7" t="s">
        <v>117</v>
      </c>
    </row>
    <row r="51" spans="1:18" s="7" customFormat="1" x14ac:dyDescent="0.35">
      <c r="A51" s="7">
        <v>7</v>
      </c>
      <c r="B51" s="7" t="s">
        <v>133</v>
      </c>
      <c r="C51" s="7">
        <v>2011</v>
      </c>
      <c r="D51" s="7" t="s">
        <v>134</v>
      </c>
      <c r="E51" s="7" t="s">
        <v>135</v>
      </c>
      <c r="F51" s="7" t="s">
        <v>136</v>
      </c>
      <c r="G51" s="7" t="s">
        <v>86</v>
      </c>
      <c r="H51" s="7" t="s">
        <v>137</v>
      </c>
      <c r="I51" s="7">
        <v>44.800888</v>
      </c>
      <c r="J51" s="7">
        <v>-82.371915000000001</v>
      </c>
      <c r="K51" s="7" t="s">
        <v>138</v>
      </c>
      <c r="L51" s="7" t="s">
        <v>28</v>
      </c>
      <c r="M51" s="7" t="s">
        <v>139</v>
      </c>
      <c r="N51" s="7" t="s">
        <v>140</v>
      </c>
      <c r="O51" s="7" t="s">
        <v>44</v>
      </c>
      <c r="P51" s="7" t="s">
        <v>141</v>
      </c>
      <c r="Q51" s="7" t="s">
        <v>31</v>
      </c>
    </row>
    <row r="52" spans="1:18" s="7" customFormat="1" x14ac:dyDescent="0.35">
      <c r="A52" s="7">
        <v>7</v>
      </c>
      <c r="B52" s="7" t="s">
        <v>133</v>
      </c>
      <c r="C52" s="7">
        <v>2011</v>
      </c>
      <c r="D52" s="7" t="s">
        <v>134</v>
      </c>
      <c r="E52" s="7" t="s">
        <v>135</v>
      </c>
      <c r="F52" s="7" t="s">
        <v>136</v>
      </c>
      <c r="G52" s="7" t="s">
        <v>86</v>
      </c>
      <c r="H52" s="7" t="s">
        <v>145</v>
      </c>
      <c r="I52" s="7">
        <v>43.851948</v>
      </c>
      <c r="J52" s="7">
        <v>-82.634641000000002</v>
      </c>
      <c r="K52" s="7" t="s">
        <v>138</v>
      </c>
      <c r="L52" s="7" t="s">
        <v>28</v>
      </c>
      <c r="M52" s="7" t="s">
        <v>139</v>
      </c>
      <c r="N52" s="7" t="s">
        <v>140</v>
      </c>
      <c r="O52" s="7" t="s">
        <v>44</v>
      </c>
      <c r="P52" s="7" t="s">
        <v>141</v>
      </c>
      <c r="Q52" s="7" t="s">
        <v>31</v>
      </c>
    </row>
    <row r="53" spans="1:18" s="7" customFormat="1" x14ac:dyDescent="0.35">
      <c r="A53" s="7">
        <v>7</v>
      </c>
      <c r="B53" s="7" t="s">
        <v>133</v>
      </c>
      <c r="C53" s="7">
        <v>2011</v>
      </c>
      <c r="D53" s="7" t="s">
        <v>134</v>
      </c>
      <c r="E53" s="7" t="s">
        <v>135</v>
      </c>
      <c r="F53" s="7" t="s">
        <v>136</v>
      </c>
      <c r="G53" s="7" t="s">
        <v>86</v>
      </c>
      <c r="H53" s="7" t="s">
        <v>147</v>
      </c>
      <c r="I53" s="7">
        <v>43.041887000000003</v>
      </c>
      <c r="J53" s="7">
        <v>-82.374251999999998</v>
      </c>
      <c r="K53" s="7" t="s">
        <v>138</v>
      </c>
      <c r="L53" s="7" t="s">
        <v>28</v>
      </c>
      <c r="M53" s="7" t="s">
        <v>139</v>
      </c>
      <c r="N53" s="7" t="s">
        <v>140</v>
      </c>
      <c r="O53" s="7" t="s">
        <v>44</v>
      </c>
      <c r="P53" s="7" t="s">
        <v>141</v>
      </c>
      <c r="Q53" s="7" t="s">
        <v>31</v>
      </c>
    </row>
    <row r="54" spans="1:18" s="7" customFormat="1" x14ac:dyDescent="0.35">
      <c r="A54" s="7">
        <v>7</v>
      </c>
      <c r="B54" s="7" t="s">
        <v>133</v>
      </c>
      <c r="C54" s="7">
        <v>2011</v>
      </c>
      <c r="D54" s="7" t="s">
        <v>134</v>
      </c>
      <c r="E54" s="7" t="s">
        <v>135</v>
      </c>
      <c r="F54" s="7" t="s">
        <v>136</v>
      </c>
      <c r="G54" s="7" t="s">
        <v>86</v>
      </c>
      <c r="H54" s="7" t="s">
        <v>149</v>
      </c>
      <c r="I54" s="7">
        <v>43.316136999999998</v>
      </c>
      <c r="J54" s="7">
        <v>-81.766025999999997</v>
      </c>
      <c r="K54" s="7" t="s">
        <v>138</v>
      </c>
      <c r="L54" s="7" t="s">
        <v>28</v>
      </c>
      <c r="M54" s="7" t="s">
        <v>139</v>
      </c>
      <c r="N54" s="7" t="s">
        <v>140</v>
      </c>
      <c r="O54" s="7" t="s">
        <v>44</v>
      </c>
      <c r="P54" s="7" t="s">
        <v>141</v>
      </c>
      <c r="Q54" s="7" t="s">
        <v>31</v>
      </c>
    </row>
    <row r="55" spans="1:18" s="7" customFormat="1" x14ac:dyDescent="0.35">
      <c r="A55" s="7">
        <v>7</v>
      </c>
      <c r="B55" s="7" t="s">
        <v>133</v>
      </c>
      <c r="C55" s="7">
        <v>2011</v>
      </c>
      <c r="D55" s="7" t="s">
        <v>134</v>
      </c>
      <c r="E55" s="7" t="s">
        <v>135</v>
      </c>
      <c r="F55" s="7" t="s">
        <v>136</v>
      </c>
      <c r="G55" s="7" t="s">
        <v>86</v>
      </c>
      <c r="H55" s="7" t="s">
        <v>151</v>
      </c>
      <c r="I55" s="7">
        <v>43.776668000000001</v>
      </c>
      <c r="J55" s="7">
        <v>-81.721789999999999</v>
      </c>
      <c r="K55" s="7" t="s">
        <v>138</v>
      </c>
      <c r="L55" s="7" t="s">
        <v>28</v>
      </c>
      <c r="M55" s="7" t="s">
        <v>139</v>
      </c>
      <c r="N55" s="7" t="s">
        <v>140</v>
      </c>
      <c r="O55" s="7" t="s">
        <v>44</v>
      </c>
      <c r="P55" s="7" t="s">
        <v>141</v>
      </c>
      <c r="Q55" s="7" t="s">
        <v>31</v>
      </c>
    </row>
    <row r="56" spans="1:18" s="7" customFormat="1" x14ac:dyDescent="0.35">
      <c r="A56" s="7">
        <v>7</v>
      </c>
      <c r="B56" s="7" t="s">
        <v>133</v>
      </c>
      <c r="C56" s="7">
        <v>2011</v>
      </c>
      <c r="D56" s="7" t="s">
        <v>134</v>
      </c>
      <c r="E56" s="7" t="s">
        <v>135</v>
      </c>
      <c r="F56" s="7" t="s">
        <v>136</v>
      </c>
      <c r="G56" s="7" t="s">
        <v>86</v>
      </c>
      <c r="H56" s="7" t="s">
        <v>153</v>
      </c>
      <c r="I56" s="7">
        <v>44.13599</v>
      </c>
      <c r="J56" s="7">
        <v>-81.737043</v>
      </c>
      <c r="K56" s="7" t="s">
        <v>138</v>
      </c>
      <c r="L56" s="7" t="s">
        <v>28</v>
      </c>
      <c r="M56" s="7" t="s">
        <v>139</v>
      </c>
      <c r="N56" s="7" t="s">
        <v>140</v>
      </c>
      <c r="O56" s="7" t="s">
        <v>44</v>
      </c>
      <c r="P56" s="7" t="s">
        <v>141</v>
      </c>
      <c r="Q56" s="7" t="s">
        <v>31</v>
      </c>
    </row>
    <row r="57" spans="1:18" s="7" customFormat="1" x14ac:dyDescent="0.35">
      <c r="A57" s="7">
        <v>7</v>
      </c>
      <c r="B57" s="7" t="s">
        <v>133</v>
      </c>
      <c r="C57" s="7">
        <v>2011</v>
      </c>
      <c r="D57" s="7" t="s">
        <v>134</v>
      </c>
      <c r="E57" s="7" t="s">
        <v>135</v>
      </c>
      <c r="F57" s="7" t="s">
        <v>136</v>
      </c>
      <c r="G57" s="7" t="s">
        <v>86</v>
      </c>
      <c r="H57" s="7" t="s">
        <v>155</v>
      </c>
      <c r="I57" s="7">
        <v>45.570784000000003</v>
      </c>
      <c r="J57" s="7">
        <v>-82.095788999999996</v>
      </c>
      <c r="K57" s="7" t="s">
        <v>138</v>
      </c>
      <c r="L57" s="7" t="s">
        <v>28</v>
      </c>
      <c r="M57" s="7" t="s">
        <v>139</v>
      </c>
      <c r="N57" s="7" t="s">
        <v>140</v>
      </c>
      <c r="O57" s="7" t="s">
        <v>44</v>
      </c>
      <c r="P57" s="7" t="s">
        <v>141</v>
      </c>
      <c r="Q57" s="7" t="s">
        <v>31</v>
      </c>
    </row>
    <row r="58" spans="1:18" s="7" customFormat="1" x14ac:dyDescent="0.35">
      <c r="A58" s="7">
        <v>8</v>
      </c>
      <c r="B58" s="7" t="s">
        <v>157</v>
      </c>
      <c r="C58" s="7">
        <v>2025</v>
      </c>
      <c r="D58" s="7" t="s">
        <v>158</v>
      </c>
      <c r="E58" s="7" t="s">
        <v>159</v>
      </c>
      <c r="F58" s="7" t="s">
        <v>160</v>
      </c>
      <c r="G58" s="7" t="s">
        <v>161</v>
      </c>
      <c r="H58" s="7" t="s">
        <v>162</v>
      </c>
      <c r="I58" s="7">
        <v>45.682473400067899</v>
      </c>
      <c r="J58" s="52">
        <v>-73.438923840070899</v>
      </c>
      <c r="K58" s="7" t="s">
        <v>41</v>
      </c>
      <c r="L58" s="7" t="s">
        <v>163</v>
      </c>
      <c r="M58" s="7" t="s">
        <v>164</v>
      </c>
      <c r="N58" s="7" t="s">
        <v>105</v>
      </c>
      <c r="O58" s="7" t="s">
        <v>90</v>
      </c>
      <c r="P58" s="7" t="s">
        <v>105</v>
      </c>
      <c r="Q58" s="7" t="s">
        <v>90</v>
      </c>
      <c r="R58" s="7" t="s">
        <v>166</v>
      </c>
    </row>
    <row r="59" spans="1:18" s="7" customFormat="1" x14ac:dyDescent="0.35">
      <c r="A59" s="7">
        <v>8</v>
      </c>
      <c r="B59" s="7" t="s">
        <v>157</v>
      </c>
      <c r="C59" s="7">
        <v>2025</v>
      </c>
      <c r="D59" s="7" t="s">
        <v>158</v>
      </c>
      <c r="E59" s="7" t="s">
        <v>159</v>
      </c>
      <c r="F59" s="7" t="s">
        <v>160</v>
      </c>
      <c r="G59" s="7" t="s">
        <v>161</v>
      </c>
      <c r="H59" s="7" t="s">
        <v>167</v>
      </c>
      <c r="I59" s="7">
        <v>45.866221736020201</v>
      </c>
      <c r="J59" s="52">
        <v>-73.241317931169107</v>
      </c>
      <c r="K59" s="7" t="s">
        <v>41</v>
      </c>
      <c r="L59" s="7" t="s">
        <v>163</v>
      </c>
      <c r="M59" s="7" t="s">
        <v>164</v>
      </c>
      <c r="N59" s="7" t="s">
        <v>105</v>
      </c>
      <c r="O59" s="7" t="s">
        <v>90</v>
      </c>
      <c r="P59" s="7" t="s">
        <v>105</v>
      </c>
      <c r="Q59" s="7" t="s">
        <v>90</v>
      </c>
      <c r="R59" s="7" t="s">
        <v>166</v>
      </c>
    </row>
    <row r="60" spans="1:18" s="7" customFormat="1" x14ac:dyDescent="0.35">
      <c r="A60" s="7">
        <v>8</v>
      </c>
      <c r="B60" s="7" t="s">
        <v>157</v>
      </c>
      <c r="C60" s="7">
        <v>2025</v>
      </c>
      <c r="D60" s="7" t="s">
        <v>158</v>
      </c>
      <c r="E60" s="7" t="s">
        <v>159</v>
      </c>
      <c r="F60" s="7" t="s">
        <v>160</v>
      </c>
      <c r="G60" s="7" t="s">
        <v>161</v>
      </c>
      <c r="H60" s="7" t="s">
        <v>168</v>
      </c>
      <c r="I60" s="7">
        <v>46.047465454072501</v>
      </c>
      <c r="J60" s="52">
        <v>-73.113966989940096</v>
      </c>
      <c r="K60" s="7" t="s">
        <v>41</v>
      </c>
      <c r="L60" s="7" t="s">
        <v>163</v>
      </c>
      <c r="M60" s="7" t="s">
        <v>164</v>
      </c>
      <c r="N60" s="7" t="s">
        <v>105</v>
      </c>
      <c r="O60" s="7" t="s">
        <v>90</v>
      </c>
      <c r="P60" s="7" t="s">
        <v>105</v>
      </c>
      <c r="Q60" s="7" t="s">
        <v>90</v>
      </c>
      <c r="R60" s="7" t="s">
        <v>166</v>
      </c>
    </row>
    <row r="61" spans="1:18" s="7" customFormat="1" x14ac:dyDescent="0.35">
      <c r="A61" s="7">
        <v>8</v>
      </c>
      <c r="B61" s="7" t="s">
        <v>157</v>
      </c>
      <c r="C61" s="7">
        <v>2025</v>
      </c>
      <c r="D61" s="7" t="s">
        <v>158</v>
      </c>
      <c r="E61" s="7" t="s">
        <v>159</v>
      </c>
      <c r="F61" s="7" t="s">
        <v>160</v>
      </c>
      <c r="G61" s="7" t="s">
        <v>161</v>
      </c>
      <c r="H61" s="7" t="s">
        <v>169</v>
      </c>
      <c r="I61" s="7">
        <v>46.359186312278602</v>
      </c>
      <c r="J61" s="52">
        <v>-72.543983716878799</v>
      </c>
      <c r="K61" s="7" t="s">
        <v>41</v>
      </c>
      <c r="L61" s="7" t="s">
        <v>163</v>
      </c>
      <c r="M61" s="7" t="s">
        <v>164</v>
      </c>
      <c r="N61" s="7" t="s">
        <v>105</v>
      </c>
      <c r="O61" s="7" t="s">
        <v>90</v>
      </c>
      <c r="P61" s="7" t="s">
        <v>105</v>
      </c>
      <c r="Q61" s="7" t="s">
        <v>90</v>
      </c>
      <c r="R61" s="7" t="s">
        <v>166</v>
      </c>
    </row>
    <row r="62" spans="1:18" s="7" customFormat="1" x14ac:dyDescent="0.35">
      <c r="A62" s="7">
        <v>8</v>
      </c>
      <c r="B62" s="7" t="s">
        <v>157</v>
      </c>
      <c r="C62" s="7">
        <v>2025</v>
      </c>
      <c r="D62" s="7" t="s">
        <v>158</v>
      </c>
      <c r="E62" s="7" t="s">
        <v>159</v>
      </c>
      <c r="F62" s="7" t="s">
        <v>160</v>
      </c>
      <c r="G62" s="7" t="s">
        <v>161</v>
      </c>
      <c r="H62" s="7" t="s">
        <v>170</v>
      </c>
      <c r="I62" s="7">
        <v>46.741650552339102</v>
      </c>
      <c r="J62" s="52">
        <v>-71.895088526667905</v>
      </c>
      <c r="K62" s="7" t="s">
        <v>41</v>
      </c>
      <c r="L62" s="7" t="s">
        <v>163</v>
      </c>
      <c r="M62" s="7" t="s">
        <v>164</v>
      </c>
      <c r="N62" s="7" t="s">
        <v>105</v>
      </c>
      <c r="O62" s="7" t="s">
        <v>90</v>
      </c>
      <c r="P62" s="7" t="s">
        <v>105</v>
      </c>
      <c r="Q62" s="7" t="s">
        <v>90</v>
      </c>
      <c r="R62" s="7" t="s">
        <v>166</v>
      </c>
    </row>
    <row r="63" spans="1:18" s="7" customFormat="1" x14ac:dyDescent="0.35">
      <c r="A63" s="7">
        <v>8</v>
      </c>
      <c r="B63" s="7" t="s">
        <v>157</v>
      </c>
      <c r="C63" s="7">
        <v>2025</v>
      </c>
      <c r="D63" s="7" t="s">
        <v>158</v>
      </c>
      <c r="E63" s="7" t="s">
        <v>159</v>
      </c>
      <c r="F63" s="7" t="s">
        <v>160</v>
      </c>
      <c r="G63" s="7" t="s">
        <v>161</v>
      </c>
      <c r="H63" s="7" t="s">
        <v>171</v>
      </c>
      <c r="I63" s="7">
        <v>46.845324116298201</v>
      </c>
      <c r="J63" s="52">
        <v>-71.209869739190793</v>
      </c>
      <c r="K63" s="7" t="s">
        <v>41</v>
      </c>
      <c r="L63" s="7" t="s">
        <v>163</v>
      </c>
      <c r="M63" s="7" t="s">
        <v>164</v>
      </c>
      <c r="N63" s="7" t="s">
        <v>105</v>
      </c>
      <c r="O63" s="7" t="s">
        <v>90</v>
      </c>
      <c r="P63" s="7" t="s">
        <v>105</v>
      </c>
      <c r="Q63" s="7" t="s">
        <v>90</v>
      </c>
      <c r="R63" s="7" t="s">
        <v>166</v>
      </c>
    </row>
    <row r="64" spans="1:18" s="7" customFormat="1" x14ac:dyDescent="0.35">
      <c r="A64" s="7">
        <v>8</v>
      </c>
      <c r="B64" s="7" t="s">
        <v>157</v>
      </c>
      <c r="C64" s="7">
        <v>2025</v>
      </c>
      <c r="D64" s="7" t="s">
        <v>158</v>
      </c>
      <c r="E64" s="7" t="s">
        <v>159</v>
      </c>
      <c r="F64" s="7" t="s">
        <v>160</v>
      </c>
      <c r="G64" s="7" t="s">
        <v>161</v>
      </c>
      <c r="H64" s="7" t="s">
        <v>172</v>
      </c>
      <c r="I64" s="7">
        <v>47.023113071215597</v>
      </c>
      <c r="J64" s="52">
        <v>-70.5571840848053</v>
      </c>
      <c r="K64" s="7" t="s">
        <v>41</v>
      </c>
      <c r="L64" s="7" t="s">
        <v>163</v>
      </c>
      <c r="M64" s="7" t="s">
        <v>164</v>
      </c>
      <c r="N64" s="7" t="s">
        <v>105</v>
      </c>
      <c r="O64" s="7" t="s">
        <v>90</v>
      </c>
      <c r="P64" s="7" t="s">
        <v>105</v>
      </c>
      <c r="Q64" s="7" t="s">
        <v>90</v>
      </c>
      <c r="R64" s="7" t="s">
        <v>166</v>
      </c>
    </row>
    <row r="65" spans="1:18" s="7" customFormat="1" x14ac:dyDescent="0.35">
      <c r="A65" s="7">
        <v>8</v>
      </c>
      <c r="B65" s="7" t="s">
        <v>157</v>
      </c>
      <c r="C65" s="7">
        <v>2025</v>
      </c>
      <c r="D65" s="7" t="s">
        <v>158</v>
      </c>
      <c r="E65" s="7" t="s">
        <v>159</v>
      </c>
      <c r="F65" s="7" t="s">
        <v>160</v>
      </c>
      <c r="G65" s="7" t="s">
        <v>161</v>
      </c>
      <c r="H65" s="7" t="s">
        <v>173</v>
      </c>
      <c r="I65" s="7">
        <v>47.513097511732603</v>
      </c>
      <c r="J65" s="52">
        <v>-70.506171751945999</v>
      </c>
      <c r="K65" s="7" t="s">
        <v>41</v>
      </c>
      <c r="L65" s="7" t="s">
        <v>163</v>
      </c>
      <c r="M65" s="7" t="s">
        <v>164</v>
      </c>
      <c r="N65" s="7" t="s">
        <v>105</v>
      </c>
      <c r="O65" s="7" t="s">
        <v>90</v>
      </c>
      <c r="P65" s="7" t="s">
        <v>105</v>
      </c>
      <c r="Q65" s="7" t="s">
        <v>90</v>
      </c>
      <c r="R65" s="7" t="s">
        <v>166</v>
      </c>
    </row>
    <row r="66" spans="1:18" s="7" customFormat="1" x14ac:dyDescent="0.35">
      <c r="A66" s="7">
        <v>8</v>
      </c>
      <c r="B66" s="7" t="s">
        <v>157</v>
      </c>
      <c r="C66" s="7">
        <v>2025</v>
      </c>
      <c r="D66" s="7" t="s">
        <v>158</v>
      </c>
      <c r="E66" s="7" t="s">
        <v>159</v>
      </c>
      <c r="F66" s="7" t="s">
        <v>160</v>
      </c>
      <c r="G66" s="7" t="s">
        <v>161</v>
      </c>
      <c r="H66" s="7" t="s">
        <v>174</v>
      </c>
      <c r="I66" s="7">
        <v>47.400336937518901</v>
      </c>
      <c r="J66" s="52">
        <v>-70.036602965269196</v>
      </c>
      <c r="K66" s="7" t="s">
        <v>41</v>
      </c>
      <c r="L66" s="7" t="s">
        <v>163</v>
      </c>
      <c r="M66" s="7" t="s">
        <v>164</v>
      </c>
      <c r="N66" s="7" t="s">
        <v>105</v>
      </c>
      <c r="O66" s="7" t="s">
        <v>90</v>
      </c>
      <c r="P66" s="7" t="s">
        <v>105</v>
      </c>
      <c r="Q66" s="7" t="s">
        <v>90</v>
      </c>
      <c r="R66" s="7" t="s">
        <v>166</v>
      </c>
    </row>
    <row r="67" spans="1:18" s="7" customFormat="1" x14ac:dyDescent="0.35">
      <c r="A67" s="7">
        <v>8</v>
      </c>
      <c r="B67" s="7" t="s">
        <v>157</v>
      </c>
      <c r="C67" s="7">
        <v>2025</v>
      </c>
      <c r="D67" s="7" t="s">
        <v>158</v>
      </c>
      <c r="E67" s="7" t="s">
        <v>159</v>
      </c>
      <c r="F67" s="7" t="s">
        <v>160</v>
      </c>
      <c r="G67" s="7" t="s">
        <v>161</v>
      </c>
      <c r="H67" s="7" t="s">
        <v>175</v>
      </c>
      <c r="I67" s="7">
        <v>47.7212994670247</v>
      </c>
      <c r="J67" s="52">
        <v>-70.153776429742194</v>
      </c>
      <c r="K67" s="7" t="s">
        <v>41</v>
      </c>
      <c r="L67" s="7" t="s">
        <v>163</v>
      </c>
      <c r="M67" s="7" t="s">
        <v>164</v>
      </c>
      <c r="N67" s="7" t="s">
        <v>105</v>
      </c>
      <c r="O67" s="7" t="s">
        <v>90</v>
      </c>
      <c r="P67" s="7" t="s">
        <v>105</v>
      </c>
      <c r="Q67" s="7" t="s">
        <v>90</v>
      </c>
      <c r="R67" s="7" t="s">
        <v>166</v>
      </c>
    </row>
    <row r="68" spans="1:18" s="7" customFormat="1" x14ac:dyDescent="0.35">
      <c r="A68" s="7">
        <v>8</v>
      </c>
      <c r="B68" s="7" t="s">
        <v>157</v>
      </c>
      <c r="C68" s="7">
        <v>2025</v>
      </c>
      <c r="D68" s="7" t="s">
        <v>158</v>
      </c>
      <c r="E68" s="7" t="s">
        <v>159</v>
      </c>
      <c r="F68" s="7" t="s">
        <v>160</v>
      </c>
      <c r="G68" s="7" t="s">
        <v>161</v>
      </c>
      <c r="H68" s="7" t="s">
        <v>176</v>
      </c>
      <c r="I68" s="7">
        <v>48.188336266676998</v>
      </c>
      <c r="J68" s="52">
        <v>-69.154947779810996</v>
      </c>
      <c r="K68" s="7" t="s">
        <v>41</v>
      </c>
      <c r="L68" s="7" t="s">
        <v>163</v>
      </c>
      <c r="M68" s="7" t="s">
        <v>164</v>
      </c>
      <c r="N68" s="7" t="s">
        <v>105</v>
      </c>
      <c r="O68" s="7" t="s">
        <v>90</v>
      </c>
      <c r="P68" s="7" t="s">
        <v>105</v>
      </c>
      <c r="Q68" s="7" t="s">
        <v>90</v>
      </c>
      <c r="R68" s="7" t="s">
        <v>166</v>
      </c>
    </row>
    <row r="69" spans="1:18" s="7" customFormat="1" x14ac:dyDescent="0.35">
      <c r="A69" s="7">
        <v>10</v>
      </c>
      <c r="B69" s="7" t="s">
        <v>177</v>
      </c>
      <c r="C69" s="7">
        <v>2024</v>
      </c>
      <c r="D69" s="7" t="s">
        <v>178</v>
      </c>
      <c r="E69" s="7" t="s">
        <v>179</v>
      </c>
      <c r="F69" s="7" t="s">
        <v>180</v>
      </c>
      <c r="G69" s="7" t="s">
        <v>86</v>
      </c>
      <c r="H69" s="7" t="s">
        <v>181</v>
      </c>
      <c r="I69" s="52">
        <v>45.15</v>
      </c>
      <c r="J69" s="52">
        <v>-79.08</v>
      </c>
      <c r="K69" s="7" t="s">
        <v>103</v>
      </c>
      <c r="L69" s="7" t="s">
        <v>28</v>
      </c>
      <c r="M69" s="7" t="s">
        <v>182</v>
      </c>
      <c r="N69" s="53">
        <f>(760+160)/2</f>
        <v>460</v>
      </c>
      <c r="O69" s="7" t="s">
        <v>90</v>
      </c>
      <c r="P69" s="53">
        <f>(760+160)/2</f>
        <v>460</v>
      </c>
      <c r="Q69" s="7" t="s">
        <v>31</v>
      </c>
      <c r="R69" s="7" t="s">
        <v>33</v>
      </c>
    </row>
    <row r="70" spans="1:18" s="7" customFormat="1" x14ac:dyDescent="0.35">
      <c r="A70" s="7">
        <v>10</v>
      </c>
      <c r="B70" s="7" t="s">
        <v>177</v>
      </c>
      <c r="C70" s="7">
        <v>2024</v>
      </c>
      <c r="D70" s="7" t="s">
        <v>178</v>
      </c>
      <c r="E70" s="7" t="s">
        <v>179</v>
      </c>
      <c r="F70" s="7" t="s">
        <v>180</v>
      </c>
      <c r="G70" s="7" t="s">
        <v>86</v>
      </c>
      <c r="H70" s="7" t="s">
        <v>184</v>
      </c>
      <c r="I70" s="52">
        <v>45.38</v>
      </c>
      <c r="J70" s="52">
        <v>-79.150000000000006</v>
      </c>
      <c r="K70" s="7" t="s">
        <v>103</v>
      </c>
      <c r="L70" s="7" t="s">
        <v>28</v>
      </c>
      <c r="M70" s="7" t="s">
        <v>182</v>
      </c>
      <c r="N70" s="53">
        <f>(760+160)/2</f>
        <v>460</v>
      </c>
      <c r="O70" s="7" t="s">
        <v>90</v>
      </c>
      <c r="P70" s="53">
        <f>(760+160)/2</f>
        <v>460</v>
      </c>
      <c r="Q70" s="7" t="s">
        <v>31</v>
      </c>
      <c r="R70" s="7" t="s">
        <v>33</v>
      </c>
    </row>
    <row r="71" spans="1:18" s="7" customFormat="1" x14ac:dyDescent="0.35">
      <c r="A71" s="7">
        <v>10</v>
      </c>
      <c r="B71" s="7" t="s">
        <v>177</v>
      </c>
      <c r="C71" s="7">
        <v>2024</v>
      </c>
      <c r="D71" s="7" t="s">
        <v>178</v>
      </c>
      <c r="E71" s="7" t="s">
        <v>179</v>
      </c>
      <c r="F71" s="7" t="s">
        <v>180</v>
      </c>
      <c r="G71" s="7" t="s">
        <v>86</v>
      </c>
      <c r="H71" s="7" t="s">
        <v>185</v>
      </c>
      <c r="I71" s="52">
        <v>45.18</v>
      </c>
      <c r="J71" s="52">
        <v>-78.83</v>
      </c>
      <c r="K71" s="7" t="s">
        <v>103</v>
      </c>
      <c r="L71" s="7" t="s">
        <v>28</v>
      </c>
      <c r="M71" s="7" t="s">
        <v>182</v>
      </c>
      <c r="N71" s="53">
        <f>(760+160)/2</f>
        <v>460</v>
      </c>
      <c r="O71" s="7" t="s">
        <v>90</v>
      </c>
      <c r="P71" s="53">
        <f>(760+160)/2</f>
        <v>460</v>
      </c>
      <c r="Q71" s="7" t="s">
        <v>31</v>
      </c>
      <c r="R71" s="7" t="s">
        <v>33</v>
      </c>
    </row>
    <row r="72" spans="1:18" s="7" customFormat="1" x14ac:dyDescent="0.35">
      <c r="A72" s="7">
        <v>10</v>
      </c>
      <c r="B72" s="7" t="s">
        <v>177</v>
      </c>
      <c r="C72" s="7">
        <v>2024</v>
      </c>
      <c r="D72" s="7" t="s">
        <v>178</v>
      </c>
      <c r="E72" s="7" t="s">
        <v>179</v>
      </c>
      <c r="F72" s="7" t="s">
        <v>180</v>
      </c>
      <c r="G72" s="7" t="s">
        <v>86</v>
      </c>
      <c r="H72" s="7" t="s">
        <v>186</v>
      </c>
      <c r="I72" s="52">
        <v>45.15</v>
      </c>
      <c r="J72" s="52">
        <v>-79.08</v>
      </c>
      <c r="K72" s="7" t="s">
        <v>41</v>
      </c>
      <c r="L72" s="7" t="s">
        <v>28</v>
      </c>
      <c r="M72" s="7" t="s">
        <v>187</v>
      </c>
      <c r="N72" s="53">
        <f>(681+90)/2</f>
        <v>385.5</v>
      </c>
      <c r="O72" s="7" t="s">
        <v>90</v>
      </c>
      <c r="P72" s="53">
        <f>(681+90)/2</f>
        <v>385.5</v>
      </c>
      <c r="Q72" s="7" t="s">
        <v>31</v>
      </c>
      <c r="R72" s="7" t="s">
        <v>33</v>
      </c>
    </row>
    <row r="73" spans="1:18" s="7" customFormat="1" x14ac:dyDescent="0.35">
      <c r="A73" s="7">
        <v>10</v>
      </c>
      <c r="B73" s="7" t="s">
        <v>177</v>
      </c>
      <c r="C73" s="7">
        <v>2024</v>
      </c>
      <c r="D73" s="7" t="s">
        <v>178</v>
      </c>
      <c r="E73" s="7" t="s">
        <v>179</v>
      </c>
      <c r="F73" s="7" t="s">
        <v>180</v>
      </c>
      <c r="G73" s="7" t="s">
        <v>86</v>
      </c>
      <c r="H73" s="7" t="s">
        <v>184</v>
      </c>
      <c r="I73" s="52">
        <v>45.38</v>
      </c>
      <c r="J73" s="52">
        <v>-79.150000000000006</v>
      </c>
      <c r="K73" s="7" t="s">
        <v>41</v>
      </c>
      <c r="L73" s="7" t="s">
        <v>28</v>
      </c>
      <c r="M73" s="7" t="s">
        <v>187</v>
      </c>
      <c r="N73" s="53">
        <f>(681+90)/2</f>
        <v>385.5</v>
      </c>
      <c r="O73" s="7" t="s">
        <v>90</v>
      </c>
      <c r="P73" s="53">
        <f>(681+90)/2</f>
        <v>385.5</v>
      </c>
      <c r="Q73" s="7" t="s">
        <v>31</v>
      </c>
      <c r="R73" s="7" t="s">
        <v>33</v>
      </c>
    </row>
    <row r="74" spans="1:18" s="7" customFormat="1" x14ac:dyDescent="0.35">
      <c r="A74" s="7">
        <v>10</v>
      </c>
      <c r="B74" s="7" t="s">
        <v>177</v>
      </c>
      <c r="C74" s="7">
        <v>2024</v>
      </c>
      <c r="D74" s="7" t="s">
        <v>178</v>
      </c>
      <c r="E74" s="7" t="s">
        <v>179</v>
      </c>
      <c r="F74" s="7" t="s">
        <v>180</v>
      </c>
      <c r="G74" s="7" t="s">
        <v>86</v>
      </c>
      <c r="H74" s="7" t="s">
        <v>185</v>
      </c>
      <c r="I74" s="52">
        <v>45.18</v>
      </c>
      <c r="J74" s="52">
        <v>-78.83</v>
      </c>
      <c r="K74" s="7" t="s">
        <v>41</v>
      </c>
      <c r="L74" s="7" t="s">
        <v>28</v>
      </c>
      <c r="M74" s="7" t="s">
        <v>188</v>
      </c>
      <c r="N74" s="53">
        <f>(681+90)/2</f>
        <v>385.5</v>
      </c>
      <c r="O74" s="7" t="s">
        <v>90</v>
      </c>
      <c r="P74" s="53">
        <f>(681+90)/2</f>
        <v>385.5</v>
      </c>
      <c r="Q74" s="7" t="s">
        <v>31</v>
      </c>
      <c r="R74" s="7" t="s">
        <v>33</v>
      </c>
    </row>
    <row r="75" spans="1:18" s="7" customFormat="1" x14ac:dyDescent="0.35">
      <c r="A75" s="7">
        <v>10</v>
      </c>
      <c r="B75" s="7" t="s">
        <v>177</v>
      </c>
      <c r="C75" s="7">
        <v>2024</v>
      </c>
      <c r="D75" s="7" t="s">
        <v>178</v>
      </c>
      <c r="E75" s="7" t="s">
        <v>179</v>
      </c>
      <c r="F75" s="7" t="s">
        <v>180</v>
      </c>
      <c r="G75" s="7" t="s">
        <v>86</v>
      </c>
      <c r="H75" s="7" t="s">
        <v>186</v>
      </c>
      <c r="I75" s="52">
        <v>45.15</v>
      </c>
      <c r="J75" s="52">
        <v>-79.08</v>
      </c>
      <c r="K75" s="7" t="s">
        <v>189</v>
      </c>
      <c r="L75" s="7" t="s">
        <v>28</v>
      </c>
      <c r="M75" s="7" t="s">
        <v>187</v>
      </c>
      <c r="N75" s="53">
        <f>(761+207)/2</f>
        <v>484</v>
      </c>
      <c r="O75" s="7" t="s">
        <v>90</v>
      </c>
      <c r="P75" s="53">
        <f>(761+207)/2</f>
        <v>484</v>
      </c>
      <c r="Q75" s="7" t="s">
        <v>90</v>
      </c>
      <c r="R75" s="7" t="s">
        <v>33</v>
      </c>
    </row>
    <row r="76" spans="1:18" s="7" customFormat="1" x14ac:dyDescent="0.35">
      <c r="A76" s="7">
        <v>10</v>
      </c>
      <c r="B76" s="7" t="s">
        <v>177</v>
      </c>
      <c r="C76" s="7">
        <v>2024</v>
      </c>
      <c r="D76" s="7" t="s">
        <v>178</v>
      </c>
      <c r="E76" s="7" t="s">
        <v>179</v>
      </c>
      <c r="F76" s="7" t="s">
        <v>180</v>
      </c>
      <c r="G76" s="7" t="s">
        <v>86</v>
      </c>
      <c r="H76" s="7" t="s">
        <v>184</v>
      </c>
      <c r="I76" s="52">
        <v>45.38</v>
      </c>
      <c r="J76" s="52">
        <v>-79.150000000000006</v>
      </c>
      <c r="K76" s="7" t="s">
        <v>189</v>
      </c>
      <c r="L76" s="7" t="s">
        <v>28</v>
      </c>
      <c r="M76" s="7" t="s">
        <v>187</v>
      </c>
      <c r="N76" s="53">
        <f>(761+207)/2</f>
        <v>484</v>
      </c>
      <c r="O76" s="7" t="s">
        <v>90</v>
      </c>
      <c r="P76" s="53">
        <f>(761+207)/2</f>
        <v>484</v>
      </c>
      <c r="Q76" s="7" t="s">
        <v>90</v>
      </c>
      <c r="R76" s="7" t="s">
        <v>33</v>
      </c>
    </row>
    <row r="77" spans="1:18" s="7" customFormat="1" x14ac:dyDescent="0.35">
      <c r="A77" s="7">
        <v>10</v>
      </c>
      <c r="B77" s="7" t="s">
        <v>177</v>
      </c>
      <c r="C77" s="7">
        <v>2024</v>
      </c>
      <c r="D77" s="7" t="s">
        <v>178</v>
      </c>
      <c r="E77" s="7" t="s">
        <v>179</v>
      </c>
      <c r="F77" s="7" t="s">
        <v>180</v>
      </c>
      <c r="G77" s="7" t="s">
        <v>86</v>
      </c>
      <c r="H77" s="7" t="s">
        <v>185</v>
      </c>
      <c r="I77" s="52">
        <v>45.18</v>
      </c>
      <c r="J77" s="52">
        <v>-78.83</v>
      </c>
      <c r="K77" s="7" t="s">
        <v>189</v>
      </c>
      <c r="L77" s="7" t="s">
        <v>28</v>
      </c>
      <c r="M77" s="7" t="s">
        <v>187</v>
      </c>
      <c r="N77" s="53">
        <f>(761+207)/2</f>
        <v>484</v>
      </c>
      <c r="O77" s="7" t="s">
        <v>90</v>
      </c>
      <c r="P77" s="53">
        <f>(761+207)/2</f>
        <v>484</v>
      </c>
      <c r="Q77" s="7" t="s">
        <v>90</v>
      </c>
      <c r="R77" s="7" t="s">
        <v>33</v>
      </c>
    </row>
    <row r="78" spans="1:18" s="7" customFormat="1" x14ac:dyDescent="0.35">
      <c r="A78" s="7">
        <v>11</v>
      </c>
      <c r="B78" s="4" t="s">
        <v>190</v>
      </c>
      <c r="C78" s="4">
        <v>2024</v>
      </c>
      <c r="D78" s="4" t="s">
        <v>191</v>
      </c>
      <c r="E78" s="8" t="s">
        <v>192</v>
      </c>
      <c r="F78" s="9" t="s">
        <v>193</v>
      </c>
      <c r="G78" s="7" t="s">
        <v>86</v>
      </c>
      <c r="H78" s="7" t="s">
        <v>194</v>
      </c>
      <c r="I78" s="7">
        <v>49.713679999999997</v>
      </c>
      <c r="J78" s="7">
        <v>-93.915916999999993</v>
      </c>
      <c r="K78" s="7" t="s">
        <v>41</v>
      </c>
      <c r="L78" s="7" t="s">
        <v>28</v>
      </c>
      <c r="M78" s="7" t="s">
        <v>195</v>
      </c>
      <c r="N78" s="7" t="s">
        <v>196</v>
      </c>
      <c r="O78" s="7" t="s">
        <v>31</v>
      </c>
      <c r="P78" s="7" t="s">
        <v>196</v>
      </c>
      <c r="Q78" s="7" t="s">
        <v>31</v>
      </c>
      <c r="R78" s="7" t="s">
        <v>199</v>
      </c>
    </row>
    <row r="79" spans="1:18" s="7" customFormat="1" x14ac:dyDescent="0.35">
      <c r="A79" s="7">
        <v>11</v>
      </c>
      <c r="B79" s="4" t="s">
        <v>190</v>
      </c>
      <c r="C79" s="4">
        <v>2024</v>
      </c>
      <c r="D79" s="4" t="s">
        <v>191</v>
      </c>
      <c r="E79" s="8" t="s">
        <v>192</v>
      </c>
      <c r="F79" s="9" t="s">
        <v>193</v>
      </c>
      <c r="G79" s="7" t="s">
        <v>86</v>
      </c>
      <c r="H79" s="7" t="s">
        <v>200</v>
      </c>
      <c r="I79" s="7">
        <v>49.656126999999998</v>
      </c>
      <c r="J79" s="7">
        <v>-93.900022000000007</v>
      </c>
      <c r="K79" s="7" t="s">
        <v>41</v>
      </c>
      <c r="L79" s="7" t="s">
        <v>28</v>
      </c>
      <c r="M79" s="7" t="s">
        <v>195</v>
      </c>
      <c r="N79" s="7" t="s">
        <v>196</v>
      </c>
      <c r="O79" s="7" t="s">
        <v>31</v>
      </c>
      <c r="P79" s="7" t="s">
        <v>196</v>
      </c>
      <c r="Q79" s="7" t="s">
        <v>31</v>
      </c>
      <c r="R79" s="7" t="s">
        <v>201</v>
      </c>
    </row>
    <row r="80" spans="1:18" s="7" customFormat="1" x14ac:dyDescent="0.35">
      <c r="A80" s="7">
        <v>11</v>
      </c>
      <c r="B80" s="4" t="s">
        <v>190</v>
      </c>
      <c r="C80" s="4">
        <v>2024</v>
      </c>
      <c r="D80" s="4" t="s">
        <v>191</v>
      </c>
      <c r="E80" s="8" t="s">
        <v>192</v>
      </c>
      <c r="F80" s="9" t="s">
        <v>193</v>
      </c>
      <c r="G80" s="7" t="s">
        <v>86</v>
      </c>
      <c r="H80" s="7" t="s">
        <v>202</v>
      </c>
      <c r="I80" s="7">
        <v>49.764674999999997</v>
      </c>
      <c r="J80" s="7">
        <v>-93.781104999999997</v>
      </c>
      <c r="K80" s="7" t="s">
        <v>41</v>
      </c>
      <c r="L80" s="7" t="s">
        <v>28</v>
      </c>
      <c r="M80" s="7" t="s">
        <v>195</v>
      </c>
      <c r="N80" s="7" t="s">
        <v>196</v>
      </c>
      <c r="O80" s="7" t="s">
        <v>31</v>
      </c>
      <c r="P80" s="7" t="s">
        <v>196</v>
      </c>
      <c r="Q80" s="7" t="s">
        <v>31</v>
      </c>
    </row>
    <row r="81" spans="1:18" s="7" customFormat="1" x14ac:dyDescent="0.35">
      <c r="A81" s="7">
        <v>11</v>
      </c>
      <c r="B81" s="4" t="s">
        <v>190</v>
      </c>
      <c r="C81" s="4">
        <v>2024</v>
      </c>
      <c r="D81" s="4" t="s">
        <v>191</v>
      </c>
      <c r="E81" s="8" t="s">
        <v>192</v>
      </c>
      <c r="F81" s="9" t="s">
        <v>193</v>
      </c>
      <c r="G81" s="7" t="s">
        <v>86</v>
      </c>
      <c r="H81" s="7" t="s">
        <v>203</v>
      </c>
      <c r="I81" s="7">
        <v>49.743400999999999</v>
      </c>
      <c r="J81" s="7">
        <v>-93.797089999999997</v>
      </c>
      <c r="K81" s="7" t="s">
        <v>41</v>
      </c>
      <c r="L81" s="7" t="s">
        <v>28</v>
      </c>
      <c r="M81" s="7" t="s">
        <v>195</v>
      </c>
      <c r="N81" s="7" t="s">
        <v>196</v>
      </c>
      <c r="O81" s="7" t="s">
        <v>31</v>
      </c>
      <c r="P81" s="7" t="s">
        <v>196</v>
      </c>
      <c r="Q81" s="7" t="s">
        <v>31</v>
      </c>
    </row>
    <row r="82" spans="1:18" s="7" customFormat="1" x14ac:dyDescent="0.35">
      <c r="A82" s="7">
        <v>11</v>
      </c>
      <c r="B82" s="4" t="s">
        <v>190</v>
      </c>
      <c r="C82" s="4">
        <v>2024</v>
      </c>
      <c r="D82" s="4" t="s">
        <v>191</v>
      </c>
      <c r="E82" s="8" t="s">
        <v>192</v>
      </c>
      <c r="F82" s="9" t="s">
        <v>193</v>
      </c>
      <c r="G82" s="7" t="s">
        <v>86</v>
      </c>
      <c r="H82" s="7" t="s">
        <v>204</v>
      </c>
      <c r="I82" s="7">
        <v>49.715235999999997</v>
      </c>
      <c r="J82" s="7">
        <v>-93.783180000000002</v>
      </c>
      <c r="K82" s="7" t="s">
        <v>41</v>
      </c>
      <c r="L82" s="7" t="s">
        <v>28</v>
      </c>
      <c r="M82" s="7" t="s">
        <v>195</v>
      </c>
      <c r="N82" s="7" t="s">
        <v>196</v>
      </c>
      <c r="O82" s="7" t="s">
        <v>31</v>
      </c>
      <c r="P82" s="7" t="s">
        <v>196</v>
      </c>
      <c r="Q82" s="7" t="s">
        <v>31</v>
      </c>
    </row>
    <row r="83" spans="1:18" s="7" customFormat="1" x14ac:dyDescent="0.35">
      <c r="A83" s="7">
        <v>11</v>
      </c>
      <c r="B83" s="4" t="s">
        <v>190</v>
      </c>
      <c r="C83" s="4">
        <v>2024</v>
      </c>
      <c r="D83" s="4" t="s">
        <v>191</v>
      </c>
      <c r="E83" s="8" t="s">
        <v>192</v>
      </c>
      <c r="F83" s="9" t="s">
        <v>193</v>
      </c>
      <c r="G83" s="7" t="s">
        <v>86</v>
      </c>
      <c r="H83" s="7" t="s">
        <v>205</v>
      </c>
      <c r="I83" s="7">
        <v>49.683196000000002</v>
      </c>
      <c r="J83" s="7">
        <v>-93.745632000000001</v>
      </c>
      <c r="K83" s="7" t="s">
        <v>41</v>
      </c>
      <c r="L83" s="7" t="s">
        <v>28</v>
      </c>
      <c r="M83" s="7" t="s">
        <v>195</v>
      </c>
      <c r="N83" s="7" t="s">
        <v>196</v>
      </c>
      <c r="O83" s="7" t="s">
        <v>31</v>
      </c>
      <c r="P83" s="7" t="s">
        <v>196</v>
      </c>
      <c r="Q83" s="7" t="s">
        <v>31</v>
      </c>
    </row>
    <row r="84" spans="1:18" s="7" customFormat="1" x14ac:dyDescent="0.35">
      <c r="A84" s="7">
        <v>11</v>
      </c>
      <c r="B84" s="4" t="s">
        <v>190</v>
      </c>
      <c r="C84" s="4">
        <v>2024</v>
      </c>
      <c r="D84" s="4" t="s">
        <v>191</v>
      </c>
      <c r="E84" s="8" t="s">
        <v>192</v>
      </c>
      <c r="F84" s="9" t="s">
        <v>193</v>
      </c>
      <c r="G84" s="7" t="s">
        <v>86</v>
      </c>
      <c r="H84" s="7" t="s">
        <v>206</v>
      </c>
      <c r="I84" s="53">
        <v>49.672936</v>
      </c>
      <c r="J84" s="7">
        <v>-93.719273999999999</v>
      </c>
      <c r="K84" s="7" t="s">
        <v>41</v>
      </c>
      <c r="L84" s="7" t="s">
        <v>28</v>
      </c>
      <c r="M84" s="7" t="s">
        <v>195</v>
      </c>
      <c r="N84" s="7" t="s">
        <v>196</v>
      </c>
      <c r="O84" s="7" t="s">
        <v>31</v>
      </c>
      <c r="P84" s="7" t="s">
        <v>196</v>
      </c>
      <c r="Q84" s="7" t="s">
        <v>31</v>
      </c>
    </row>
    <row r="85" spans="1:18" s="7" customFormat="1" x14ac:dyDescent="0.35">
      <c r="A85" s="7">
        <v>11</v>
      </c>
      <c r="B85" s="4" t="s">
        <v>190</v>
      </c>
      <c r="C85" s="4">
        <v>2024</v>
      </c>
      <c r="D85" s="4" t="s">
        <v>191</v>
      </c>
      <c r="E85" s="8" t="s">
        <v>192</v>
      </c>
      <c r="F85" s="9" t="s">
        <v>193</v>
      </c>
      <c r="G85" s="7" t="s">
        <v>86</v>
      </c>
      <c r="H85" s="7" t="s">
        <v>207</v>
      </c>
      <c r="I85" s="53">
        <v>49.699447999999997</v>
      </c>
      <c r="J85" s="7">
        <v>-93.696828999999994</v>
      </c>
      <c r="K85" s="7" t="s">
        <v>41</v>
      </c>
      <c r="L85" s="7" t="s">
        <v>28</v>
      </c>
      <c r="M85" s="7" t="s">
        <v>195</v>
      </c>
      <c r="N85" s="7" t="s">
        <v>196</v>
      </c>
      <c r="O85" s="7" t="s">
        <v>31</v>
      </c>
      <c r="P85" s="7" t="s">
        <v>196</v>
      </c>
      <c r="Q85" s="7" t="s">
        <v>31</v>
      </c>
    </row>
    <row r="86" spans="1:18" s="7" customFormat="1" x14ac:dyDescent="0.35">
      <c r="A86" s="7">
        <v>11</v>
      </c>
      <c r="B86" s="4" t="s">
        <v>190</v>
      </c>
      <c r="C86" s="4">
        <v>2024</v>
      </c>
      <c r="D86" s="4" t="s">
        <v>191</v>
      </c>
      <c r="E86" s="8" t="s">
        <v>192</v>
      </c>
      <c r="F86" s="9" t="s">
        <v>193</v>
      </c>
      <c r="G86" s="7" t="s">
        <v>86</v>
      </c>
      <c r="H86" s="7" t="s">
        <v>208</v>
      </c>
      <c r="I86" s="7">
        <v>49.692255000000003</v>
      </c>
      <c r="J86" s="7">
        <v>-93.650289999999998</v>
      </c>
      <c r="K86" s="7" t="s">
        <v>41</v>
      </c>
      <c r="L86" s="7" t="s">
        <v>28</v>
      </c>
      <c r="M86" s="7" t="s">
        <v>195</v>
      </c>
      <c r="N86" s="7" t="s">
        <v>196</v>
      </c>
      <c r="O86" s="7" t="s">
        <v>31</v>
      </c>
      <c r="P86" s="7" t="s">
        <v>196</v>
      </c>
      <c r="Q86" s="7" t="s">
        <v>31</v>
      </c>
    </row>
    <row r="87" spans="1:18" s="7" customFormat="1" x14ac:dyDescent="0.35">
      <c r="A87" s="7">
        <v>11</v>
      </c>
      <c r="B87" s="4" t="s">
        <v>190</v>
      </c>
      <c r="C87" s="4">
        <v>2024</v>
      </c>
      <c r="D87" s="4" t="s">
        <v>191</v>
      </c>
      <c r="E87" s="8" t="s">
        <v>192</v>
      </c>
      <c r="F87" s="9" t="s">
        <v>193</v>
      </c>
      <c r="G87" s="7" t="s">
        <v>86</v>
      </c>
      <c r="H87" s="7" t="s">
        <v>209</v>
      </c>
      <c r="I87" s="7">
        <v>49.743400999999999</v>
      </c>
      <c r="J87" s="7">
        <v>-93.797089999999997</v>
      </c>
      <c r="K87" s="7" t="s">
        <v>103</v>
      </c>
      <c r="L87" s="7" t="s">
        <v>28</v>
      </c>
      <c r="M87" s="7" t="s">
        <v>195</v>
      </c>
      <c r="N87" s="7" t="s">
        <v>210</v>
      </c>
      <c r="O87" s="7" t="s">
        <v>31</v>
      </c>
      <c r="P87" s="7" t="s">
        <v>210</v>
      </c>
      <c r="Q87" s="7" t="s">
        <v>31</v>
      </c>
    </row>
    <row r="88" spans="1:18" s="7" customFormat="1" x14ac:dyDescent="0.35">
      <c r="A88" s="7">
        <v>11</v>
      </c>
      <c r="B88" s="4" t="s">
        <v>190</v>
      </c>
      <c r="C88" s="4">
        <v>2024</v>
      </c>
      <c r="D88" s="4" t="s">
        <v>191</v>
      </c>
      <c r="E88" s="8" t="s">
        <v>192</v>
      </c>
      <c r="F88" s="9" t="s">
        <v>193</v>
      </c>
      <c r="G88" s="7" t="s">
        <v>86</v>
      </c>
      <c r="H88" s="7" t="s">
        <v>212</v>
      </c>
      <c r="I88" s="7">
        <v>49.715235999999997</v>
      </c>
      <c r="J88" s="7">
        <v>-93.783180000000002</v>
      </c>
      <c r="K88" s="7" t="s">
        <v>103</v>
      </c>
      <c r="L88" s="7" t="s">
        <v>28</v>
      </c>
      <c r="M88" s="7" t="s">
        <v>195</v>
      </c>
      <c r="N88" s="7" t="s">
        <v>210</v>
      </c>
      <c r="O88" s="7" t="s">
        <v>31</v>
      </c>
      <c r="P88" s="7" t="s">
        <v>210</v>
      </c>
      <c r="Q88" s="7" t="s">
        <v>31</v>
      </c>
    </row>
    <row r="89" spans="1:18" s="7" customFormat="1" x14ac:dyDescent="0.35">
      <c r="A89" s="7">
        <v>11</v>
      </c>
      <c r="B89" s="4" t="s">
        <v>190</v>
      </c>
      <c r="C89" s="4">
        <v>2024</v>
      </c>
      <c r="D89" s="4" t="s">
        <v>191</v>
      </c>
      <c r="E89" s="8" t="s">
        <v>192</v>
      </c>
      <c r="F89" s="9" t="s">
        <v>193</v>
      </c>
      <c r="G89" s="7" t="s">
        <v>86</v>
      </c>
      <c r="H89" s="7" t="s">
        <v>213</v>
      </c>
      <c r="I89" s="7">
        <v>49.749749000000001</v>
      </c>
      <c r="J89" s="7">
        <v>-93.799674999999993</v>
      </c>
      <c r="K89" s="7" t="s">
        <v>189</v>
      </c>
      <c r="L89" s="7" t="s">
        <v>28</v>
      </c>
      <c r="M89" s="7" t="s">
        <v>214</v>
      </c>
      <c r="N89" s="7" t="s">
        <v>215</v>
      </c>
      <c r="O89" s="7" t="s">
        <v>31</v>
      </c>
      <c r="P89" s="7" t="s">
        <v>215</v>
      </c>
      <c r="Q89" s="7" t="s">
        <v>31</v>
      </c>
    </row>
    <row r="90" spans="1:18" s="7" customFormat="1" x14ac:dyDescent="0.35">
      <c r="A90" s="7">
        <v>11</v>
      </c>
      <c r="B90" s="4" t="s">
        <v>190</v>
      </c>
      <c r="C90" s="4">
        <v>2024</v>
      </c>
      <c r="D90" s="4" t="s">
        <v>191</v>
      </c>
      <c r="E90" s="8" t="s">
        <v>192</v>
      </c>
      <c r="F90" s="9" t="s">
        <v>193</v>
      </c>
      <c r="G90" s="7" t="s">
        <v>86</v>
      </c>
      <c r="H90" s="7" t="s">
        <v>213</v>
      </c>
      <c r="I90" s="7">
        <v>49.619298000000001</v>
      </c>
      <c r="J90" s="7">
        <v>-93.817482999999996</v>
      </c>
      <c r="K90" s="7" t="s">
        <v>189</v>
      </c>
      <c r="L90" s="7" t="s">
        <v>28</v>
      </c>
      <c r="M90" s="7" t="s">
        <v>214</v>
      </c>
      <c r="N90" s="7" t="s">
        <v>215</v>
      </c>
      <c r="O90" s="7" t="s">
        <v>31</v>
      </c>
      <c r="P90" s="7" t="s">
        <v>215</v>
      </c>
      <c r="Q90" s="7" t="s">
        <v>31</v>
      </c>
    </row>
    <row r="91" spans="1:18" s="7" customFormat="1" x14ac:dyDescent="0.35">
      <c r="A91" s="7">
        <v>11</v>
      </c>
      <c r="B91" s="4" t="s">
        <v>190</v>
      </c>
      <c r="C91" s="4">
        <v>2024</v>
      </c>
      <c r="D91" s="4" t="s">
        <v>191</v>
      </c>
      <c r="E91" s="8" t="s">
        <v>192</v>
      </c>
      <c r="F91" s="9" t="s">
        <v>193</v>
      </c>
      <c r="G91" s="7" t="s">
        <v>86</v>
      </c>
      <c r="H91" s="7" t="s">
        <v>213</v>
      </c>
      <c r="I91" s="7" t="s">
        <v>218</v>
      </c>
      <c r="J91" s="7">
        <v>-93.727082999999993</v>
      </c>
      <c r="K91" s="7" t="s">
        <v>189</v>
      </c>
      <c r="L91" s="7" t="s">
        <v>28</v>
      </c>
      <c r="M91" s="7" t="s">
        <v>214</v>
      </c>
      <c r="N91" s="7" t="s">
        <v>215</v>
      </c>
      <c r="O91" s="7" t="s">
        <v>31</v>
      </c>
      <c r="P91" s="7" t="s">
        <v>215</v>
      </c>
      <c r="Q91" s="7" t="s">
        <v>31</v>
      </c>
    </row>
    <row r="92" spans="1:18" s="7" customFormat="1" x14ac:dyDescent="0.35">
      <c r="A92" s="7">
        <v>12</v>
      </c>
      <c r="B92" s="7" t="s">
        <v>219</v>
      </c>
      <c r="C92" s="7">
        <v>2024</v>
      </c>
      <c r="D92" s="7" t="s">
        <v>191</v>
      </c>
      <c r="E92" s="7" t="s">
        <v>220</v>
      </c>
      <c r="F92" s="7" t="s">
        <v>221</v>
      </c>
      <c r="G92" s="7" t="s">
        <v>86</v>
      </c>
      <c r="H92" s="7" t="s">
        <v>222</v>
      </c>
      <c r="I92" s="7">
        <v>43.375259999999997</v>
      </c>
      <c r="J92" s="54">
        <v>-80.263300000000001</v>
      </c>
      <c r="K92" s="7" t="s">
        <v>41</v>
      </c>
      <c r="L92" s="7" t="s">
        <v>223</v>
      </c>
      <c r="M92" s="7" t="s">
        <v>224</v>
      </c>
      <c r="N92" s="7" t="s">
        <v>225</v>
      </c>
      <c r="O92" s="7" t="s">
        <v>31</v>
      </c>
      <c r="P92" s="7" t="s">
        <v>225</v>
      </c>
      <c r="Q92" s="7" t="s">
        <v>31</v>
      </c>
      <c r="R92" s="7" t="s">
        <v>166</v>
      </c>
    </row>
    <row r="93" spans="1:18" s="7" customFormat="1" x14ac:dyDescent="0.35">
      <c r="A93" s="7">
        <v>12</v>
      </c>
      <c r="B93" s="7" t="s">
        <v>219</v>
      </c>
      <c r="C93" s="7">
        <v>2024</v>
      </c>
      <c r="D93" s="7" t="s">
        <v>191</v>
      </c>
      <c r="E93" s="7" t="s">
        <v>220</v>
      </c>
      <c r="F93" s="7" t="s">
        <v>221</v>
      </c>
      <c r="G93" s="7" t="s">
        <v>86</v>
      </c>
      <c r="H93" s="7" t="s">
        <v>226</v>
      </c>
      <c r="I93" s="7">
        <v>43.350650000000002</v>
      </c>
      <c r="J93" s="54">
        <v>-80.285629999999998</v>
      </c>
      <c r="K93" s="7" t="s">
        <v>41</v>
      </c>
      <c r="L93" s="7" t="s">
        <v>223</v>
      </c>
      <c r="M93" s="7" t="s">
        <v>224</v>
      </c>
      <c r="N93" s="7" t="s">
        <v>225</v>
      </c>
      <c r="O93" s="7" t="s">
        <v>31</v>
      </c>
      <c r="P93" s="7" t="s">
        <v>225</v>
      </c>
      <c r="Q93" s="7" t="s">
        <v>31</v>
      </c>
      <c r="R93" s="7" t="s">
        <v>166</v>
      </c>
    </row>
    <row r="94" spans="1:18" s="7" customFormat="1" x14ac:dyDescent="0.35">
      <c r="A94" s="7">
        <v>12</v>
      </c>
      <c r="B94" s="7" t="s">
        <v>219</v>
      </c>
      <c r="C94" s="7">
        <v>2024</v>
      </c>
      <c r="D94" s="7" t="s">
        <v>191</v>
      </c>
      <c r="E94" s="7" t="s">
        <v>220</v>
      </c>
      <c r="F94" s="7" t="s">
        <v>221</v>
      </c>
      <c r="G94" s="7" t="s">
        <v>86</v>
      </c>
      <c r="H94" s="7" t="s">
        <v>227</v>
      </c>
      <c r="I94" s="7">
        <v>43.30189</v>
      </c>
      <c r="J94" s="54">
        <v>-80.282780000000002</v>
      </c>
      <c r="K94" s="7" t="s">
        <v>41</v>
      </c>
      <c r="L94" s="7" t="s">
        <v>223</v>
      </c>
      <c r="M94" s="7" t="s">
        <v>224</v>
      </c>
      <c r="N94" s="7" t="s">
        <v>225</v>
      </c>
      <c r="O94" s="7" t="s">
        <v>31</v>
      </c>
      <c r="P94" s="7" t="s">
        <v>225</v>
      </c>
      <c r="Q94" s="7" t="s">
        <v>31</v>
      </c>
      <c r="R94" s="7" t="s">
        <v>166</v>
      </c>
    </row>
    <row r="95" spans="1:18" s="7" customFormat="1" x14ac:dyDescent="0.35">
      <c r="A95" s="7">
        <v>12</v>
      </c>
      <c r="B95" s="7" t="s">
        <v>219</v>
      </c>
      <c r="C95" s="7">
        <v>2024</v>
      </c>
      <c r="D95" s="7" t="s">
        <v>191</v>
      </c>
      <c r="E95" s="7" t="s">
        <v>220</v>
      </c>
      <c r="F95" s="7" t="s">
        <v>221</v>
      </c>
      <c r="G95" s="7" t="s">
        <v>86</v>
      </c>
      <c r="H95" s="7" t="s">
        <v>228</v>
      </c>
      <c r="I95" s="7">
        <v>43.282490000000003</v>
      </c>
      <c r="J95" s="54">
        <v>-80.282319999999999</v>
      </c>
      <c r="K95" s="7" t="s">
        <v>41</v>
      </c>
      <c r="L95" s="7" t="s">
        <v>223</v>
      </c>
      <c r="M95" s="7" t="s">
        <v>224</v>
      </c>
      <c r="N95" s="7" t="s">
        <v>225</v>
      </c>
      <c r="O95" s="7" t="s">
        <v>31</v>
      </c>
      <c r="P95" s="7" t="s">
        <v>225</v>
      </c>
      <c r="Q95" s="7" t="s">
        <v>31</v>
      </c>
      <c r="R95" s="7" t="s">
        <v>166</v>
      </c>
    </row>
    <row r="96" spans="1:18" s="7" customFormat="1" x14ac:dyDescent="0.35">
      <c r="A96" s="7">
        <v>12</v>
      </c>
      <c r="B96" s="7" t="s">
        <v>219</v>
      </c>
      <c r="C96" s="7">
        <v>2024</v>
      </c>
      <c r="D96" s="7" t="s">
        <v>191</v>
      </c>
      <c r="E96" s="7" t="s">
        <v>220</v>
      </c>
      <c r="F96" s="7" t="s">
        <v>221</v>
      </c>
      <c r="G96" s="7" t="s">
        <v>86</v>
      </c>
      <c r="H96" s="7" t="s">
        <v>229</v>
      </c>
      <c r="I96" s="7">
        <v>43.263710000000003</v>
      </c>
      <c r="J96" s="54">
        <v>-80.240499999999997</v>
      </c>
      <c r="K96" s="7" t="s">
        <v>41</v>
      </c>
      <c r="L96" s="7" t="s">
        <v>223</v>
      </c>
      <c r="M96" s="7" t="s">
        <v>224</v>
      </c>
      <c r="N96" s="7" t="s">
        <v>225</v>
      </c>
      <c r="O96" s="7" t="s">
        <v>31</v>
      </c>
      <c r="P96" s="7" t="s">
        <v>225</v>
      </c>
      <c r="Q96" s="7" t="s">
        <v>31</v>
      </c>
      <c r="R96" s="7" t="s">
        <v>166</v>
      </c>
    </row>
    <row r="97" spans="1:18" s="7" customFormat="1" x14ac:dyDescent="0.35">
      <c r="A97" s="7">
        <v>12</v>
      </c>
      <c r="B97" s="7" t="s">
        <v>219</v>
      </c>
      <c r="C97" s="7">
        <v>2024</v>
      </c>
      <c r="D97" s="7" t="s">
        <v>191</v>
      </c>
      <c r="E97" s="7" t="s">
        <v>220</v>
      </c>
      <c r="F97" s="7" t="s">
        <v>221</v>
      </c>
      <c r="G97" s="7" t="s">
        <v>86</v>
      </c>
      <c r="H97" s="7" t="s">
        <v>230</v>
      </c>
      <c r="I97" s="7">
        <v>43.240729999999999</v>
      </c>
      <c r="J97" s="54">
        <v>-80.254720000000006</v>
      </c>
      <c r="K97" s="7" t="s">
        <v>41</v>
      </c>
      <c r="L97" s="7" t="s">
        <v>223</v>
      </c>
      <c r="M97" s="7" t="s">
        <v>224</v>
      </c>
      <c r="N97" s="7" t="s">
        <v>225</v>
      </c>
      <c r="O97" s="7" t="s">
        <v>31</v>
      </c>
      <c r="P97" s="7" t="s">
        <v>225</v>
      </c>
      <c r="Q97" s="7" t="s">
        <v>31</v>
      </c>
      <c r="R97" s="7" t="s">
        <v>166</v>
      </c>
    </row>
    <row r="98" spans="1:18" s="7" customFormat="1" x14ac:dyDescent="0.35">
      <c r="A98" s="7">
        <v>12</v>
      </c>
      <c r="B98" s="7" t="s">
        <v>219</v>
      </c>
      <c r="C98" s="7">
        <v>2024</v>
      </c>
      <c r="D98" s="7" t="s">
        <v>191</v>
      </c>
      <c r="E98" s="7" t="s">
        <v>220</v>
      </c>
      <c r="F98" s="7" t="s">
        <v>221</v>
      </c>
      <c r="G98" s="7" t="s">
        <v>86</v>
      </c>
      <c r="H98" s="7" t="s">
        <v>231</v>
      </c>
      <c r="I98" s="7">
        <v>43.235329999999998</v>
      </c>
      <c r="J98" s="54">
        <v>-80.245649999999998</v>
      </c>
      <c r="K98" s="7" t="s">
        <v>41</v>
      </c>
      <c r="L98" s="7" t="s">
        <v>223</v>
      </c>
      <c r="M98" s="7" t="s">
        <v>224</v>
      </c>
      <c r="N98" s="7" t="s">
        <v>225</v>
      </c>
      <c r="O98" s="7" t="s">
        <v>31</v>
      </c>
      <c r="P98" s="7" t="s">
        <v>225</v>
      </c>
      <c r="Q98" s="7" t="s">
        <v>31</v>
      </c>
      <c r="R98" s="7" t="s">
        <v>166</v>
      </c>
    </row>
    <row r="99" spans="1:18" s="7" customFormat="1" x14ac:dyDescent="0.35">
      <c r="A99" s="7">
        <v>12</v>
      </c>
      <c r="B99" s="7" t="s">
        <v>219</v>
      </c>
      <c r="C99" s="7">
        <v>2024</v>
      </c>
      <c r="D99" s="7" t="s">
        <v>191</v>
      </c>
      <c r="E99" s="7" t="s">
        <v>220</v>
      </c>
      <c r="F99" s="7" t="s">
        <v>221</v>
      </c>
      <c r="G99" s="7" t="s">
        <v>86</v>
      </c>
      <c r="H99" s="7" t="s">
        <v>232</v>
      </c>
      <c r="I99" s="7">
        <v>43.234139999999996</v>
      </c>
      <c r="J99" s="54">
        <v>-80.242999999999995</v>
      </c>
      <c r="K99" s="7" t="s">
        <v>41</v>
      </c>
      <c r="L99" s="7" t="s">
        <v>223</v>
      </c>
      <c r="M99" s="7" t="s">
        <v>224</v>
      </c>
      <c r="N99" s="7" t="s">
        <v>225</v>
      </c>
      <c r="O99" s="7" t="s">
        <v>31</v>
      </c>
      <c r="P99" s="7" t="s">
        <v>225</v>
      </c>
      <c r="Q99" s="7" t="s">
        <v>31</v>
      </c>
      <c r="R99" s="7" t="s">
        <v>166</v>
      </c>
    </row>
    <row r="100" spans="1:18" s="7" customFormat="1" x14ac:dyDescent="0.35">
      <c r="A100" s="7">
        <v>12</v>
      </c>
      <c r="B100" s="7" t="s">
        <v>219</v>
      </c>
      <c r="C100" s="7">
        <v>2024</v>
      </c>
      <c r="D100" s="7" t="s">
        <v>191</v>
      </c>
      <c r="E100" s="7" t="s">
        <v>220</v>
      </c>
      <c r="F100" s="7" t="s">
        <v>221</v>
      </c>
      <c r="G100" s="7" t="s">
        <v>86</v>
      </c>
      <c r="H100" s="7" t="s">
        <v>233</v>
      </c>
      <c r="I100" s="7">
        <v>43.231760000000001</v>
      </c>
      <c r="J100" s="54">
        <v>-80.231219999999993</v>
      </c>
      <c r="K100" s="7" t="s">
        <v>41</v>
      </c>
      <c r="L100" s="7" t="s">
        <v>223</v>
      </c>
      <c r="M100" s="7" t="s">
        <v>224</v>
      </c>
      <c r="N100" s="7" t="s">
        <v>225</v>
      </c>
      <c r="O100" s="7" t="s">
        <v>31</v>
      </c>
      <c r="P100" s="7" t="s">
        <v>225</v>
      </c>
      <c r="Q100" s="7" t="s">
        <v>31</v>
      </c>
      <c r="R100" s="7" t="s">
        <v>166</v>
      </c>
    </row>
    <row r="101" spans="1:18" s="7" customFormat="1" x14ac:dyDescent="0.35">
      <c r="A101" s="7">
        <v>12</v>
      </c>
      <c r="B101" s="7" t="s">
        <v>219</v>
      </c>
      <c r="C101" s="7">
        <v>2024</v>
      </c>
      <c r="D101" s="7" t="s">
        <v>191</v>
      </c>
      <c r="E101" s="7" t="s">
        <v>220</v>
      </c>
      <c r="F101" s="7" t="s">
        <v>221</v>
      </c>
      <c r="G101" s="7" t="s">
        <v>86</v>
      </c>
      <c r="H101" s="7" t="s">
        <v>234</v>
      </c>
      <c r="I101" s="7">
        <v>43.163800000000002</v>
      </c>
      <c r="J101" s="54">
        <v>-80.204890000000006</v>
      </c>
      <c r="K101" s="7" t="s">
        <v>41</v>
      </c>
      <c r="L101" s="7" t="s">
        <v>223</v>
      </c>
      <c r="M101" s="7" t="s">
        <v>224</v>
      </c>
      <c r="N101" s="7" t="s">
        <v>225</v>
      </c>
      <c r="O101" s="7" t="s">
        <v>31</v>
      </c>
      <c r="P101" s="7" t="s">
        <v>225</v>
      </c>
      <c r="Q101" s="7" t="s">
        <v>31</v>
      </c>
      <c r="R101" s="7" t="s">
        <v>166</v>
      </c>
    </row>
    <row r="102" spans="1:18" s="7" customFormat="1" x14ac:dyDescent="0.35">
      <c r="A102" s="7">
        <v>12</v>
      </c>
      <c r="B102" s="7" t="s">
        <v>219</v>
      </c>
      <c r="C102" s="7">
        <v>2024</v>
      </c>
      <c r="D102" s="7" t="s">
        <v>191</v>
      </c>
      <c r="E102" s="7" t="s">
        <v>220</v>
      </c>
      <c r="F102" s="7" t="s">
        <v>221</v>
      </c>
      <c r="G102" s="7" t="s">
        <v>86</v>
      </c>
      <c r="H102" s="7" t="s">
        <v>222</v>
      </c>
      <c r="I102" s="7">
        <v>43.375259999999997</v>
      </c>
      <c r="J102" s="54">
        <v>-80.263300000000001</v>
      </c>
      <c r="K102" s="7" t="s">
        <v>103</v>
      </c>
      <c r="L102" s="7" t="s">
        <v>223</v>
      </c>
      <c r="M102" s="7" t="s">
        <v>235</v>
      </c>
      <c r="N102" s="7" t="s">
        <v>236</v>
      </c>
      <c r="O102" s="7" t="s">
        <v>31</v>
      </c>
      <c r="P102" s="7" t="s">
        <v>236</v>
      </c>
      <c r="Q102" s="7" t="s">
        <v>31</v>
      </c>
      <c r="R102" s="7" t="s">
        <v>166</v>
      </c>
    </row>
    <row r="103" spans="1:18" s="7" customFormat="1" x14ac:dyDescent="0.35">
      <c r="A103" s="7">
        <v>12</v>
      </c>
      <c r="B103" s="7" t="s">
        <v>219</v>
      </c>
      <c r="C103" s="7">
        <v>2024</v>
      </c>
      <c r="D103" s="7" t="s">
        <v>191</v>
      </c>
      <c r="E103" s="7" t="s">
        <v>220</v>
      </c>
      <c r="F103" s="7" t="s">
        <v>221</v>
      </c>
      <c r="G103" s="7" t="s">
        <v>86</v>
      </c>
      <c r="H103" s="7" t="s">
        <v>226</v>
      </c>
      <c r="I103" s="7">
        <v>43.350650000000002</v>
      </c>
      <c r="J103" s="54">
        <v>-80.285629999999998</v>
      </c>
      <c r="K103" s="7" t="s">
        <v>103</v>
      </c>
      <c r="L103" s="7" t="s">
        <v>223</v>
      </c>
      <c r="M103" s="7" t="s">
        <v>235</v>
      </c>
      <c r="N103" s="7" t="s">
        <v>236</v>
      </c>
      <c r="O103" s="7" t="s">
        <v>31</v>
      </c>
      <c r="P103" s="7" t="s">
        <v>236</v>
      </c>
      <c r="Q103" s="7" t="s">
        <v>31</v>
      </c>
      <c r="R103" s="7" t="s">
        <v>166</v>
      </c>
    </row>
    <row r="104" spans="1:18" s="7" customFormat="1" x14ac:dyDescent="0.35">
      <c r="A104" s="7">
        <v>12</v>
      </c>
      <c r="B104" s="7" t="s">
        <v>219</v>
      </c>
      <c r="C104" s="7">
        <v>2024</v>
      </c>
      <c r="D104" s="7" t="s">
        <v>191</v>
      </c>
      <c r="E104" s="7" t="s">
        <v>220</v>
      </c>
      <c r="F104" s="7" t="s">
        <v>221</v>
      </c>
      <c r="G104" s="7" t="s">
        <v>86</v>
      </c>
      <c r="H104" s="7" t="s">
        <v>227</v>
      </c>
      <c r="I104" s="7">
        <v>43.30189</v>
      </c>
      <c r="J104" s="54">
        <v>-80.282780000000002</v>
      </c>
      <c r="K104" s="7" t="s">
        <v>103</v>
      </c>
      <c r="L104" s="7" t="s">
        <v>223</v>
      </c>
      <c r="M104" s="7" t="s">
        <v>235</v>
      </c>
      <c r="N104" s="7" t="s">
        <v>236</v>
      </c>
      <c r="O104" s="7" t="s">
        <v>31</v>
      </c>
      <c r="P104" s="7" t="s">
        <v>236</v>
      </c>
      <c r="Q104" s="7" t="s">
        <v>31</v>
      </c>
      <c r="R104" s="7" t="s">
        <v>166</v>
      </c>
    </row>
    <row r="105" spans="1:18" s="7" customFormat="1" x14ac:dyDescent="0.35">
      <c r="A105" s="7">
        <v>12</v>
      </c>
      <c r="B105" s="7" t="s">
        <v>219</v>
      </c>
      <c r="C105" s="7">
        <v>2024</v>
      </c>
      <c r="D105" s="7" t="s">
        <v>191</v>
      </c>
      <c r="E105" s="7" t="s">
        <v>220</v>
      </c>
      <c r="F105" s="7" t="s">
        <v>221</v>
      </c>
      <c r="G105" s="7" t="s">
        <v>86</v>
      </c>
      <c r="H105" s="7" t="s">
        <v>228</v>
      </c>
      <c r="I105" s="7">
        <v>43.282490000000003</v>
      </c>
      <c r="J105" s="54">
        <v>-80.282319999999999</v>
      </c>
      <c r="K105" s="7" t="s">
        <v>103</v>
      </c>
      <c r="L105" s="7" t="s">
        <v>223</v>
      </c>
      <c r="M105" s="7" t="s">
        <v>235</v>
      </c>
      <c r="N105" s="7" t="s">
        <v>236</v>
      </c>
      <c r="O105" s="7" t="s">
        <v>31</v>
      </c>
      <c r="P105" s="7" t="s">
        <v>236</v>
      </c>
      <c r="Q105" s="7" t="s">
        <v>31</v>
      </c>
      <c r="R105" s="7" t="s">
        <v>166</v>
      </c>
    </row>
    <row r="106" spans="1:18" s="7" customFormat="1" x14ac:dyDescent="0.35">
      <c r="A106" s="7">
        <v>12</v>
      </c>
      <c r="B106" s="7" t="s">
        <v>219</v>
      </c>
      <c r="C106" s="7">
        <v>2024</v>
      </c>
      <c r="D106" s="7" t="s">
        <v>191</v>
      </c>
      <c r="E106" s="7" t="s">
        <v>220</v>
      </c>
      <c r="F106" s="7" t="s">
        <v>221</v>
      </c>
      <c r="G106" s="7" t="s">
        <v>86</v>
      </c>
      <c r="H106" s="7" t="s">
        <v>229</v>
      </c>
      <c r="I106" s="7">
        <v>43.263710000000003</v>
      </c>
      <c r="J106" s="54">
        <v>-80.240499999999997</v>
      </c>
      <c r="K106" s="7" t="s">
        <v>103</v>
      </c>
      <c r="L106" s="7" t="s">
        <v>223</v>
      </c>
      <c r="M106" s="7" t="s">
        <v>235</v>
      </c>
      <c r="N106" s="7" t="s">
        <v>236</v>
      </c>
      <c r="O106" s="7" t="s">
        <v>31</v>
      </c>
      <c r="P106" s="7" t="s">
        <v>236</v>
      </c>
      <c r="Q106" s="7" t="s">
        <v>31</v>
      </c>
      <c r="R106" s="7" t="s">
        <v>166</v>
      </c>
    </row>
    <row r="107" spans="1:18" s="7" customFormat="1" x14ac:dyDescent="0.35">
      <c r="A107" s="7">
        <v>12</v>
      </c>
      <c r="B107" s="7" t="s">
        <v>219</v>
      </c>
      <c r="C107" s="7">
        <v>2024</v>
      </c>
      <c r="D107" s="7" t="s">
        <v>191</v>
      </c>
      <c r="E107" s="7" t="s">
        <v>220</v>
      </c>
      <c r="F107" s="7" t="s">
        <v>221</v>
      </c>
      <c r="G107" s="7" t="s">
        <v>86</v>
      </c>
      <c r="H107" s="7" t="s">
        <v>230</v>
      </c>
      <c r="I107" s="7">
        <v>43.240729999999999</v>
      </c>
      <c r="J107" s="54">
        <v>-80.254720000000006</v>
      </c>
      <c r="K107" s="7" t="s">
        <v>103</v>
      </c>
      <c r="L107" s="7" t="s">
        <v>223</v>
      </c>
      <c r="M107" s="7" t="s">
        <v>235</v>
      </c>
      <c r="N107" s="7" t="s">
        <v>236</v>
      </c>
      <c r="O107" s="7" t="s">
        <v>31</v>
      </c>
      <c r="P107" s="7" t="s">
        <v>236</v>
      </c>
      <c r="Q107" s="7" t="s">
        <v>31</v>
      </c>
      <c r="R107" s="7" t="s">
        <v>166</v>
      </c>
    </row>
    <row r="108" spans="1:18" s="7" customFormat="1" x14ac:dyDescent="0.35">
      <c r="A108" s="7">
        <v>12</v>
      </c>
      <c r="B108" s="7" t="s">
        <v>219</v>
      </c>
      <c r="C108" s="7">
        <v>2024</v>
      </c>
      <c r="D108" s="7" t="s">
        <v>191</v>
      </c>
      <c r="E108" s="7" t="s">
        <v>220</v>
      </c>
      <c r="F108" s="7" t="s">
        <v>221</v>
      </c>
      <c r="G108" s="7" t="s">
        <v>86</v>
      </c>
      <c r="H108" s="7" t="s">
        <v>231</v>
      </c>
      <c r="I108" s="7">
        <v>43.235329999999998</v>
      </c>
      <c r="J108" s="54">
        <v>-80.245649999999998</v>
      </c>
      <c r="K108" s="7" t="s">
        <v>103</v>
      </c>
      <c r="L108" s="7" t="s">
        <v>223</v>
      </c>
      <c r="M108" s="7" t="s">
        <v>235</v>
      </c>
      <c r="N108" s="7" t="s">
        <v>236</v>
      </c>
      <c r="O108" s="7" t="s">
        <v>31</v>
      </c>
      <c r="P108" s="7" t="s">
        <v>236</v>
      </c>
      <c r="Q108" s="7" t="s">
        <v>31</v>
      </c>
      <c r="R108" s="7" t="s">
        <v>166</v>
      </c>
    </row>
    <row r="109" spans="1:18" s="7" customFormat="1" x14ac:dyDescent="0.35">
      <c r="A109" s="7">
        <v>12</v>
      </c>
      <c r="B109" s="7" t="s">
        <v>219</v>
      </c>
      <c r="C109" s="7">
        <v>2024</v>
      </c>
      <c r="D109" s="7" t="s">
        <v>191</v>
      </c>
      <c r="E109" s="7" t="s">
        <v>220</v>
      </c>
      <c r="F109" s="7" t="s">
        <v>221</v>
      </c>
      <c r="G109" s="7" t="s">
        <v>86</v>
      </c>
      <c r="H109" s="7" t="s">
        <v>232</v>
      </c>
      <c r="I109" s="7">
        <v>43.234139999999996</v>
      </c>
      <c r="J109" s="54">
        <v>-80.242999999999995</v>
      </c>
      <c r="K109" s="7" t="s">
        <v>103</v>
      </c>
      <c r="L109" s="7" t="s">
        <v>223</v>
      </c>
      <c r="M109" s="7" t="s">
        <v>235</v>
      </c>
      <c r="N109" s="7" t="s">
        <v>236</v>
      </c>
      <c r="O109" s="7" t="s">
        <v>31</v>
      </c>
      <c r="P109" s="7" t="s">
        <v>236</v>
      </c>
      <c r="Q109" s="7" t="s">
        <v>31</v>
      </c>
      <c r="R109" s="7" t="s">
        <v>166</v>
      </c>
    </row>
    <row r="110" spans="1:18" s="7" customFormat="1" x14ac:dyDescent="0.35">
      <c r="A110" s="7">
        <v>12</v>
      </c>
      <c r="B110" s="7" t="s">
        <v>219</v>
      </c>
      <c r="C110" s="7">
        <v>2024</v>
      </c>
      <c r="D110" s="7" t="s">
        <v>191</v>
      </c>
      <c r="E110" s="7" t="s">
        <v>220</v>
      </c>
      <c r="F110" s="7" t="s">
        <v>221</v>
      </c>
      <c r="G110" s="7" t="s">
        <v>86</v>
      </c>
      <c r="H110" s="7" t="s">
        <v>233</v>
      </c>
      <c r="I110" s="7">
        <v>43.231760000000001</v>
      </c>
      <c r="J110" s="54">
        <v>-80.231219999999993</v>
      </c>
      <c r="K110" s="7" t="s">
        <v>103</v>
      </c>
      <c r="L110" s="7" t="s">
        <v>223</v>
      </c>
      <c r="M110" s="7" t="s">
        <v>235</v>
      </c>
      <c r="N110" s="7" t="s">
        <v>236</v>
      </c>
      <c r="O110" s="7" t="s">
        <v>31</v>
      </c>
      <c r="P110" s="7" t="s">
        <v>236</v>
      </c>
      <c r="Q110" s="7" t="s">
        <v>31</v>
      </c>
      <c r="R110" s="7" t="s">
        <v>166</v>
      </c>
    </row>
    <row r="111" spans="1:18" s="7" customFormat="1" x14ac:dyDescent="0.35">
      <c r="A111" s="7">
        <v>12</v>
      </c>
      <c r="B111" s="7" t="s">
        <v>219</v>
      </c>
      <c r="C111" s="7">
        <v>2024</v>
      </c>
      <c r="D111" s="7" t="s">
        <v>191</v>
      </c>
      <c r="E111" s="7" t="s">
        <v>220</v>
      </c>
      <c r="F111" s="7" t="s">
        <v>221</v>
      </c>
      <c r="G111" s="7" t="s">
        <v>86</v>
      </c>
      <c r="H111" s="7" t="s">
        <v>234</v>
      </c>
      <c r="I111" s="7">
        <v>43.163800000000002</v>
      </c>
      <c r="J111" s="54">
        <v>-80.204890000000006</v>
      </c>
      <c r="K111" s="7" t="s">
        <v>103</v>
      </c>
      <c r="L111" s="7" t="s">
        <v>223</v>
      </c>
      <c r="M111" s="7" t="s">
        <v>235</v>
      </c>
      <c r="N111" s="7" t="s">
        <v>236</v>
      </c>
      <c r="O111" s="7" t="s">
        <v>31</v>
      </c>
      <c r="P111" s="7" t="s">
        <v>236</v>
      </c>
      <c r="Q111" s="7" t="s">
        <v>31</v>
      </c>
      <c r="R111" s="7" t="s">
        <v>166</v>
      </c>
    </row>
    <row r="112" spans="1:18" s="7" customFormat="1" x14ac:dyDescent="0.35">
      <c r="A112" s="7">
        <v>13</v>
      </c>
      <c r="B112" s="7" t="s">
        <v>238</v>
      </c>
      <c r="C112" s="7">
        <v>2023</v>
      </c>
      <c r="D112" s="7" t="s">
        <v>239</v>
      </c>
      <c r="E112" s="7" t="s">
        <v>240</v>
      </c>
      <c r="F112" s="7" t="s">
        <v>241</v>
      </c>
      <c r="G112" s="7" t="s">
        <v>242</v>
      </c>
      <c r="H112" s="7" t="s">
        <v>243</v>
      </c>
      <c r="I112" s="7">
        <v>52.179513999999998</v>
      </c>
      <c r="J112" s="10">
        <v>-106.602321</v>
      </c>
      <c r="K112" s="7" t="s">
        <v>41</v>
      </c>
      <c r="L112" s="7" t="s">
        <v>223</v>
      </c>
      <c r="M112" s="7" t="s">
        <v>244</v>
      </c>
      <c r="N112" s="7" t="s">
        <v>245</v>
      </c>
      <c r="O112" s="7" t="s">
        <v>246</v>
      </c>
      <c r="P112" s="7" t="str">
        <f t="shared" ref="P112:P121" si="0">N112</f>
        <v>missing</v>
      </c>
      <c r="Q112" s="7" t="s">
        <v>31</v>
      </c>
      <c r="R112" s="7" t="s">
        <v>249</v>
      </c>
    </row>
    <row r="113" spans="1:18" s="7" customFormat="1" x14ac:dyDescent="0.35">
      <c r="A113" s="7">
        <v>13</v>
      </c>
      <c r="B113" s="7" t="s">
        <v>238</v>
      </c>
      <c r="C113" s="7">
        <v>2023</v>
      </c>
      <c r="D113" s="7" t="s">
        <v>239</v>
      </c>
      <c r="E113" s="7" t="s">
        <v>240</v>
      </c>
      <c r="F113" s="7" t="s">
        <v>241</v>
      </c>
      <c r="G113" s="7" t="s">
        <v>242</v>
      </c>
      <c r="H113" s="7" t="s">
        <v>250</v>
      </c>
      <c r="I113" s="7">
        <v>51.976005999999998</v>
      </c>
      <c r="J113" s="10">
        <v>-106.703812</v>
      </c>
      <c r="K113" s="7" t="s">
        <v>41</v>
      </c>
      <c r="L113" s="7" t="s">
        <v>223</v>
      </c>
      <c r="M113" s="7" t="s">
        <v>244</v>
      </c>
      <c r="N113" s="7" t="s">
        <v>245</v>
      </c>
      <c r="O113" s="7" t="s">
        <v>246</v>
      </c>
      <c r="P113" s="7" t="str">
        <f t="shared" si="0"/>
        <v>missing</v>
      </c>
      <c r="Q113" s="7" t="s">
        <v>31</v>
      </c>
      <c r="R113" s="7" t="s">
        <v>249</v>
      </c>
    </row>
    <row r="114" spans="1:18" s="7" customFormat="1" x14ac:dyDescent="0.35">
      <c r="A114" s="7">
        <v>13</v>
      </c>
      <c r="B114" s="7" t="s">
        <v>238</v>
      </c>
      <c r="C114" s="7">
        <v>2023</v>
      </c>
      <c r="D114" s="7" t="s">
        <v>239</v>
      </c>
      <c r="E114" s="7" t="s">
        <v>240</v>
      </c>
      <c r="F114" s="7" t="s">
        <v>241</v>
      </c>
      <c r="G114" s="7" t="s">
        <v>242</v>
      </c>
      <c r="H114" s="7" t="s">
        <v>251</v>
      </c>
      <c r="I114" s="7">
        <v>52.317948000000001</v>
      </c>
      <c r="J114" s="10">
        <v>-106.459101</v>
      </c>
      <c r="K114" s="7" t="s">
        <v>41</v>
      </c>
      <c r="L114" s="7" t="s">
        <v>223</v>
      </c>
      <c r="M114" s="7" t="s">
        <v>244</v>
      </c>
      <c r="N114" s="7" t="s">
        <v>245</v>
      </c>
      <c r="O114" s="7" t="s">
        <v>246</v>
      </c>
      <c r="P114" s="7" t="str">
        <f t="shared" si="0"/>
        <v>missing</v>
      </c>
      <c r="Q114" s="7" t="s">
        <v>31</v>
      </c>
      <c r="R114" s="7" t="s">
        <v>249</v>
      </c>
    </row>
    <row r="115" spans="1:18" s="7" customFormat="1" x14ac:dyDescent="0.35">
      <c r="A115" s="7">
        <v>13</v>
      </c>
      <c r="B115" s="7" t="s">
        <v>238</v>
      </c>
      <c r="C115" s="7">
        <v>2023</v>
      </c>
      <c r="D115" s="7" t="s">
        <v>239</v>
      </c>
      <c r="E115" s="7" t="s">
        <v>240</v>
      </c>
      <c r="F115" s="7" t="s">
        <v>241</v>
      </c>
      <c r="G115" s="7" t="s">
        <v>242</v>
      </c>
      <c r="H115" s="7" t="s">
        <v>252</v>
      </c>
      <c r="I115" s="7">
        <v>52.167251</v>
      </c>
      <c r="J115" s="10">
        <v>-106.607962</v>
      </c>
      <c r="K115" s="7" t="s">
        <v>41</v>
      </c>
      <c r="L115" s="7" t="s">
        <v>223</v>
      </c>
      <c r="M115" s="7" t="s">
        <v>244</v>
      </c>
      <c r="N115" s="7" t="s">
        <v>245</v>
      </c>
      <c r="O115" s="7" t="s">
        <v>246</v>
      </c>
      <c r="P115" s="7" t="str">
        <f t="shared" si="0"/>
        <v>missing</v>
      </c>
      <c r="Q115" s="7" t="s">
        <v>31</v>
      </c>
      <c r="R115" s="7" t="s">
        <v>249</v>
      </c>
    </row>
    <row r="116" spans="1:18" s="7" customFormat="1" x14ac:dyDescent="0.35">
      <c r="A116" s="7">
        <v>13</v>
      </c>
      <c r="B116" s="7" t="s">
        <v>238</v>
      </c>
      <c r="C116" s="7">
        <v>2023</v>
      </c>
      <c r="D116" s="7" t="s">
        <v>239</v>
      </c>
      <c r="E116" s="7" t="s">
        <v>240</v>
      </c>
      <c r="F116" s="7" t="s">
        <v>241</v>
      </c>
      <c r="G116" s="7" t="s">
        <v>242</v>
      </c>
      <c r="H116" s="7" t="s">
        <v>253</v>
      </c>
      <c r="I116" s="7">
        <v>51.983964999999998</v>
      </c>
      <c r="J116" s="10">
        <v>-106.73408000000001</v>
      </c>
      <c r="K116" s="7" t="s">
        <v>41</v>
      </c>
      <c r="L116" s="7" t="s">
        <v>223</v>
      </c>
      <c r="M116" s="7" t="s">
        <v>244</v>
      </c>
      <c r="N116" s="7" t="s">
        <v>245</v>
      </c>
      <c r="O116" s="7" t="s">
        <v>246</v>
      </c>
      <c r="P116" s="7" t="str">
        <f t="shared" si="0"/>
        <v>missing</v>
      </c>
      <c r="Q116" s="7" t="s">
        <v>31</v>
      </c>
      <c r="R116" s="7" t="s">
        <v>249</v>
      </c>
    </row>
    <row r="117" spans="1:18" s="7" customFormat="1" x14ac:dyDescent="0.35">
      <c r="A117" s="7">
        <v>13</v>
      </c>
      <c r="B117" s="7" t="s">
        <v>238</v>
      </c>
      <c r="C117" s="7">
        <v>2023</v>
      </c>
      <c r="D117" s="7" t="s">
        <v>239</v>
      </c>
      <c r="E117" s="7" t="s">
        <v>240</v>
      </c>
      <c r="F117" s="7" t="s">
        <v>241</v>
      </c>
      <c r="G117" s="7" t="s">
        <v>242</v>
      </c>
      <c r="H117" s="7" t="s">
        <v>254</v>
      </c>
      <c r="I117" s="7">
        <v>50.933025999999998</v>
      </c>
      <c r="J117" s="10">
        <v>-108.601229</v>
      </c>
      <c r="K117" s="7" t="s">
        <v>41</v>
      </c>
      <c r="L117" s="7" t="s">
        <v>223</v>
      </c>
      <c r="M117" s="7" t="s">
        <v>244</v>
      </c>
      <c r="N117" s="7" t="s">
        <v>245</v>
      </c>
      <c r="O117" s="7" t="s">
        <v>246</v>
      </c>
      <c r="P117" s="7" t="str">
        <f t="shared" si="0"/>
        <v>missing</v>
      </c>
      <c r="Q117" s="7" t="s">
        <v>31</v>
      </c>
      <c r="R117" s="7" t="s">
        <v>249</v>
      </c>
    </row>
    <row r="118" spans="1:18" s="7" customFormat="1" x14ac:dyDescent="0.35">
      <c r="A118" s="7">
        <v>13</v>
      </c>
      <c r="B118" s="7" t="s">
        <v>238</v>
      </c>
      <c r="C118" s="7">
        <v>2023</v>
      </c>
      <c r="D118" s="7" t="s">
        <v>239</v>
      </c>
      <c r="E118" s="7" t="s">
        <v>240</v>
      </c>
      <c r="F118" s="7" t="s">
        <v>241</v>
      </c>
      <c r="G118" s="7" t="s">
        <v>242</v>
      </c>
      <c r="H118" s="7" t="s">
        <v>255</v>
      </c>
      <c r="I118" s="7">
        <v>52.175901000000003</v>
      </c>
      <c r="J118" s="10">
        <v>-106.57409699999999</v>
      </c>
      <c r="K118" s="7" t="s">
        <v>41</v>
      </c>
      <c r="L118" s="7" t="s">
        <v>223</v>
      </c>
      <c r="M118" s="7" t="s">
        <v>244</v>
      </c>
      <c r="N118" s="7" t="s">
        <v>245</v>
      </c>
      <c r="O118" s="7" t="s">
        <v>246</v>
      </c>
      <c r="P118" s="7" t="str">
        <f t="shared" si="0"/>
        <v>missing</v>
      </c>
      <c r="Q118" s="7" t="s">
        <v>31</v>
      </c>
      <c r="R118" s="7" t="s">
        <v>249</v>
      </c>
    </row>
    <row r="119" spans="1:18" s="7" customFormat="1" x14ac:dyDescent="0.35">
      <c r="A119" s="7">
        <v>13</v>
      </c>
      <c r="B119" s="7" t="s">
        <v>238</v>
      </c>
      <c r="C119" s="7">
        <v>2023</v>
      </c>
      <c r="D119" s="7" t="s">
        <v>239</v>
      </c>
      <c r="E119" s="7" t="s">
        <v>240</v>
      </c>
      <c r="F119" s="7" t="s">
        <v>241</v>
      </c>
      <c r="G119" s="7" t="s">
        <v>242</v>
      </c>
      <c r="H119" s="7" t="s">
        <v>256</v>
      </c>
      <c r="I119" s="7">
        <v>51.455950000000001</v>
      </c>
      <c r="J119" s="10">
        <v>-107.083724</v>
      </c>
      <c r="K119" s="7" t="s">
        <v>41</v>
      </c>
      <c r="L119" s="7" t="s">
        <v>223</v>
      </c>
      <c r="M119" s="7" t="s">
        <v>244</v>
      </c>
      <c r="N119" s="7" t="s">
        <v>245</v>
      </c>
      <c r="O119" s="7" t="s">
        <v>246</v>
      </c>
      <c r="P119" s="7" t="str">
        <f t="shared" si="0"/>
        <v>missing</v>
      </c>
      <c r="Q119" s="7" t="s">
        <v>31</v>
      </c>
      <c r="R119" s="7" t="s">
        <v>249</v>
      </c>
    </row>
    <row r="120" spans="1:18" s="7" customFormat="1" x14ac:dyDescent="0.35">
      <c r="A120" s="7">
        <v>13</v>
      </c>
      <c r="B120" s="7" t="s">
        <v>238</v>
      </c>
      <c r="C120" s="7">
        <v>2023</v>
      </c>
      <c r="D120" s="7" t="s">
        <v>239</v>
      </c>
      <c r="E120" s="7" t="s">
        <v>240</v>
      </c>
      <c r="F120" s="7" t="s">
        <v>241</v>
      </c>
      <c r="G120" s="7" t="s">
        <v>242</v>
      </c>
      <c r="H120" s="7" t="s">
        <v>257</v>
      </c>
      <c r="I120" s="7">
        <v>51.588875999999999</v>
      </c>
      <c r="J120" s="10">
        <v>-107.042151</v>
      </c>
      <c r="K120" s="7" t="s">
        <v>41</v>
      </c>
      <c r="L120" s="7" t="s">
        <v>223</v>
      </c>
      <c r="M120" s="7" t="s">
        <v>244</v>
      </c>
      <c r="N120" s="7" t="s">
        <v>245</v>
      </c>
      <c r="O120" s="7" t="s">
        <v>246</v>
      </c>
      <c r="P120" s="7" t="str">
        <f t="shared" si="0"/>
        <v>missing</v>
      </c>
      <c r="Q120" s="7" t="s">
        <v>31</v>
      </c>
      <c r="R120" s="7" t="s">
        <v>249</v>
      </c>
    </row>
    <row r="121" spans="1:18" s="7" customFormat="1" x14ac:dyDescent="0.35">
      <c r="A121" s="7">
        <v>13</v>
      </c>
      <c r="B121" s="7" t="s">
        <v>238</v>
      </c>
      <c r="C121" s="7">
        <v>2023</v>
      </c>
      <c r="D121" s="7" t="s">
        <v>239</v>
      </c>
      <c r="E121" s="7" t="s">
        <v>240</v>
      </c>
      <c r="F121" s="7" t="s">
        <v>241</v>
      </c>
      <c r="G121" s="7" t="s">
        <v>242</v>
      </c>
      <c r="H121" s="7" t="s">
        <v>258</v>
      </c>
      <c r="I121" s="7">
        <v>52.924723</v>
      </c>
      <c r="J121" s="10">
        <v>-105.810985</v>
      </c>
      <c r="K121" s="7" t="s">
        <v>41</v>
      </c>
      <c r="L121" s="7" t="s">
        <v>223</v>
      </c>
      <c r="M121" s="7" t="s">
        <v>244</v>
      </c>
      <c r="N121" s="7" t="s">
        <v>245</v>
      </c>
      <c r="O121" s="7" t="s">
        <v>246</v>
      </c>
      <c r="P121" s="7" t="str">
        <f t="shared" si="0"/>
        <v>missing</v>
      </c>
      <c r="Q121" s="7" t="s">
        <v>31</v>
      </c>
      <c r="R121" s="7" t="s">
        <v>249</v>
      </c>
    </row>
    <row r="122" spans="1:18" s="7" customFormat="1" x14ac:dyDescent="0.35">
      <c r="A122" s="7">
        <v>14</v>
      </c>
      <c r="B122" s="7" t="s">
        <v>259</v>
      </c>
      <c r="C122" s="7">
        <v>2022</v>
      </c>
      <c r="D122" s="7" t="s">
        <v>260</v>
      </c>
      <c r="E122" s="7" t="s">
        <v>261</v>
      </c>
      <c r="F122" s="7" t="s">
        <v>262</v>
      </c>
      <c r="G122" s="7" t="s">
        <v>86</v>
      </c>
      <c r="H122" s="7" t="s">
        <v>263</v>
      </c>
      <c r="I122" s="7">
        <v>43.582943</v>
      </c>
      <c r="J122" s="10">
        <v>-79.523829000000006</v>
      </c>
      <c r="K122" s="7" t="s">
        <v>41</v>
      </c>
      <c r="L122" s="7" t="s">
        <v>28</v>
      </c>
      <c r="M122" s="7" t="s">
        <v>264</v>
      </c>
      <c r="N122" s="10" t="s">
        <v>265</v>
      </c>
      <c r="O122" s="7" t="s">
        <v>90</v>
      </c>
      <c r="P122" s="10" t="s">
        <v>265</v>
      </c>
      <c r="Q122" s="7" t="s">
        <v>90</v>
      </c>
    </row>
    <row r="123" spans="1:18" s="7" customFormat="1" x14ac:dyDescent="0.35">
      <c r="A123" s="7">
        <v>15</v>
      </c>
      <c r="B123" s="4" t="s">
        <v>266</v>
      </c>
      <c r="C123" s="4">
        <v>2022</v>
      </c>
      <c r="D123" s="4" t="s">
        <v>267</v>
      </c>
      <c r="E123" s="8" t="s">
        <v>268</v>
      </c>
      <c r="F123" s="5" t="s">
        <v>269</v>
      </c>
      <c r="G123" s="7" t="s">
        <v>86</v>
      </c>
      <c r="H123" s="9" t="s">
        <v>270</v>
      </c>
      <c r="I123" s="7">
        <v>42.880836000000002</v>
      </c>
      <c r="J123" s="7">
        <v>-78.962665000000001</v>
      </c>
      <c r="K123" s="7" t="s">
        <v>138</v>
      </c>
      <c r="L123" s="7" t="s">
        <v>28</v>
      </c>
      <c r="M123" s="7" t="s">
        <v>139</v>
      </c>
      <c r="N123" s="7" t="s">
        <v>271</v>
      </c>
      <c r="O123" s="7" t="s">
        <v>44</v>
      </c>
      <c r="P123" s="7" t="s">
        <v>141</v>
      </c>
      <c r="Q123" s="7" t="s">
        <v>31</v>
      </c>
    </row>
    <row r="124" spans="1:18" s="7" customFormat="1" x14ac:dyDescent="0.35">
      <c r="A124" s="7">
        <v>15</v>
      </c>
      <c r="B124" s="4" t="s">
        <v>266</v>
      </c>
      <c r="C124" s="4">
        <v>2022</v>
      </c>
      <c r="D124" s="4" t="s">
        <v>267</v>
      </c>
      <c r="E124" s="8" t="s">
        <v>268</v>
      </c>
      <c r="F124" s="5" t="s">
        <v>269</v>
      </c>
      <c r="G124" s="3" t="s">
        <v>274</v>
      </c>
      <c r="H124" s="9" t="s">
        <v>275</v>
      </c>
      <c r="I124" s="7">
        <v>41.772502000000003</v>
      </c>
      <c r="J124" s="7">
        <v>-81.272175000000004</v>
      </c>
      <c r="K124" s="7" t="s">
        <v>138</v>
      </c>
      <c r="L124" s="7" t="s">
        <v>28</v>
      </c>
      <c r="M124" s="7" t="s">
        <v>139</v>
      </c>
      <c r="N124" s="7" t="s">
        <v>271</v>
      </c>
      <c r="O124" s="7" t="s">
        <v>44</v>
      </c>
      <c r="P124" s="7" t="s">
        <v>141</v>
      </c>
      <c r="Q124" s="7" t="s">
        <v>31</v>
      </c>
    </row>
    <row r="125" spans="1:18" s="7" customFormat="1" x14ac:dyDescent="0.35">
      <c r="A125" s="7">
        <v>15</v>
      </c>
      <c r="B125" s="4" t="s">
        <v>266</v>
      </c>
      <c r="C125" s="4">
        <v>2022</v>
      </c>
      <c r="D125" s="4" t="s">
        <v>267</v>
      </c>
      <c r="E125" s="8" t="s">
        <v>268</v>
      </c>
      <c r="F125" s="5" t="s">
        <v>269</v>
      </c>
      <c r="G125" s="3" t="s">
        <v>274</v>
      </c>
      <c r="H125" s="9" t="s">
        <v>276</v>
      </c>
      <c r="I125" s="7">
        <v>42.608725999999997</v>
      </c>
      <c r="J125" s="7">
        <v>-79.113743999999997</v>
      </c>
      <c r="K125" s="7" t="s">
        <v>138</v>
      </c>
      <c r="L125" s="7" t="s">
        <v>28</v>
      </c>
      <c r="M125" s="7" t="s">
        <v>139</v>
      </c>
      <c r="N125" s="7" t="s">
        <v>271</v>
      </c>
      <c r="O125" s="7" t="s">
        <v>44</v>
      </c>
      <c r="P125" s="7" t="s">
        <v>141</v>
      </c>
      <c r="Q125" s="7" t="s">
        <v>31</v>
      </c>
    </row>
    <row r="126" spans="1:18" s="7" customFormat="1" x14ac:dyDescent="0.35">
      <c r="A126" s="7">
        <v>15</v>
      </c>
      <c r="B126" s="4" t="s">
        <v>266</v>
      </c>
      <c r="C126" s="4">
        <v>2022</v>
      </c>
      <c r="D126" s="4" t="s">
        <v>267</v>
      </c>
      <c r="E126" s="8" t="s">
        <v>268</v>
      </c>
      <c r="F126" s="5" t="s">
        <v>269</v>
      </c>
      <c r="G126" s="7" t="s">
        <v>86</v>
      </c>
      <c r="H126" s="9" t="s">
        <v>277</v>
      </c>
      <c r="I126" s="53">
        <v>41.983437000000002</v>
      </c>
      <c r="J126" s="7">
        <v>-82.935023999999999</v>
      </c>
      <c r="K126" s="7" t="s">
        <v>138</v>
      </c>
      <c r="L126" s="7" t="s">
        <v>28</v>
      </c>
      <c r="M126" s="7" t="s">
        <v>139</v>
      </c>
      <c r="N126" s="7" t="s">
        <v>271</v>
      </c>
      <c r="O126" s="7" t="s">
        <v>44</v>
      </c>
      <c r="P126" s="7" t="s">
        <v>141</v>
      </c>
      <c r="Q126" s="7" t="s">
        <v>31</v>
      </c>
    </row>
    <row r="127" spans="1:18" s="7" customFormat="1" x14ac:dyDescent="0.35">
      <c r="A127" s="7">
        <v>15</v>
      </c>
      <c r="B127" s="4" t="s">
        <v>266</v>
      </c>
      <c r="C127" s="4">
        <v>2022</v>
      </c>
      <c r="D127" s="4" t="s">
        <v>267</v>
      </c>
      <c r="E127" s="8" t="s">
        <v>268</v>
      </c>
      <c r="F127" s="5" t="s">
        <v>269</v>
      </c>
      <c r="G127" s="7" t="s">
        <v>86</v>
      </c>
      <c r="H127" s="9" t="s">
        <v>278</v>
      </c>
      <c r="I127" s="7">
        <v>42.657573999999997</v>
      </c>
      <c r="J127" s="7">
        <v>-81.218402999999995</v>
      </c>
      <c r="K127" s="7" t="s">
        <v>138</v>
      </c>
      <c r="L127" s="7" t="s">
        <v>28</v>
      </c>
      <c r="M127" s="7" t="s">
        <v>139</v>
      </c>
      <c r="N127" s="7" t="s">
        <v>271</v>
      </c>
      <c r="O127" s="7" t="s">
        <v>44</v>
      </c>
      <c r="P127" s="7" t="s">
        <v>141</v>
      </c>
      <c r="Q127" s="7" t="s">
        <v>31</v>
      </c>
    </row>
    <row r="128" spans="1:18" s="7" customFormat="1" x14ac:dyDescent="0.35">
      <c r="A128" s="7">
        <v>15</v>
      </c>
      <c r="B128" s="4" t="s">
        <v>266</v>
      </c>
      <c r="C128" s="4">
        <v>2022</v>
      </c>
      <c r="D128" s="4" t="s">
        <v>267</v>
      </c>
      <c r="E128" s="8" t="s">
        <v>268</v>
      </c>
      <c r="F128" s="5" t="s">
        <v>269</v>
      </c>
      <c r="G128" s="7" t="s">
        <v>86</v>
      </c>
      <c r="H128" s="9" t="s">
        <v>279</v>
      </c>
      <c r="I128" s="7">
        <v>42.003951999999998</v>
      </c>
      <c r="J128" s="7">
        <v>-82.788540999999995</v>
      </c>
      <c r="K128" s="7" t="s">
        <v>138</v>
      </c>
      <c r="L128" s="7" t="s">
        <v>28</v>
      </c>
      <c r="M128" s="7" t="s">
        <v>139</v>
      </c>
      <c r="N128" s="7" t="s">
        <v>271</v>
      </c>
      <c r="O128" s="7" t="s">
        <v>44</v>
      </c>
      <c r="P128" s="7" t="s">
        <v>141</v>
      </c>
      <c r="Q128" s="7" t="s">
        <v>31</v>
      </c>
    </row>
    <row r="129" spans="1:17" s="7" customFormat="1" x14ac:dyDescent="0.35">
      <c r="A129" s="7">
        <v>15</v>
      </c>
      <c r="B129" s="4" t="s">
        <v>266</v>
      </c>
      <c r="C129" s="4">
        <v>2022</v>
      </c>
      <c r="D129" s="4" t="s">
        <v>267</v>
      </c>
      <c r="E129" s="8" t="s">
        <v>268</v>
      </c>
      <c r="F129" s="5" t="s">
        <v>269</v>
      </c>
      <c r="G129" s="7" t="s">
        <v>86</v>
      </c>
      <c r="H129" s="9" t="s">
        <v>280</v>
      </c>
      <c r="I129" s="7">
        <v>42.076073000000001</v>
      </c>
      <c r="J129" s="7">
        <v>-82.448040000000006</v>
      </c>
      <c r="K129" s="7" t="s">
        <v>138</v>
      </c>
      <c r="L129" s="7" t="s">
        <v>28</v>
      </c>
      <c r="M129" s="7" t="s">
        <v>139</v>
      </c>
      <c r="N129" s="7" t="s">
        <v>271</v>
      </c>
      <c r="O129" s="7" t="s">
        <v>44</v>
      </c>
      <c r="P129" s="7" t="s">
        <v>141</v>
      </c>
      <c r="Q129" s="7" t="s">
        <v>31</v>
      </c>
    </row>
    <row r="130" spans="1:17" s="7" customFormat="1" x14ac:dyDescent="0.35">
      <c r="A130" s="7">
        <v>15</v>
      </c>
      <c r="B130" s="4" t="s">
        <v>266</v>
      </c>
      <c r="C130" s="4">
        <v>2022</v>
      </c>
      <c r="D130" s="4" t="s">
        <v>267</v>
      </c>
      <c r="E130" s="8" t="s">
        <v>268</v>
      </c>
      <c r="F130" s="5" t="s">
        <v>269</v>
      </c>
      <c r="G130" s="7" t="s">
        <v>86</v>
      </c>
      <c r="H130" s="9" t="s">
        <v>281</v>
      </c>
      <c r="I130" s="7">
        <v>42.847918999999997</v>
      </c>
      <c r="J130" s="7">
        <v>-79.664705999999995</v>
      </c>
      <c r="K130" s="7" t="s">
        <v>138</v>
      </c>
      <c r="L130" s="7" t="s">
        <v>28</v>
      </c>
      <c r="M130" s="7" t="s">
        <v>139</v>
      </c>
      <c r="N130" s="7" t="s">
        <v>271</v>
      </c>
      <c r="O130" s="7" t="s">
        <v>44</v>
      </c>
      <c r="P130" s="7" t="s">
        <v>141</v>
      </c>
      <c r="Q130" s="7" t="s">
        <v>31</v>
      </c>
    </row>
    <row r="131" spans="1:17" s="7" customFormat="1" x14ac:dyDescent="0.35">
      <c r="A131" s="7">
        <v>15</v>
      </c>
      <c r="B131" s="4" t="s">
        <v>266</v>
      </c>
      <c r="C131" s="4">
        <v>2022</v>
      </c>
      <c r="D131" s="4" t="s">
        <v>267</v>
      </c>
      <c r="E131" s="8" t="s">
        <v>268</v>
      </c>
      <c r="F131" s="5" t="s">
        <v>269</v>
      </c>
      <c r="G131" s="7" t="s">
        <v>86</v>
      </c>
      <c r="H131" s="9" t="s">
        <v>282</v>
      </c>
      <c r="I131" s="7">
        <v>41.517741999999998</v>
      </c>
      <c r="J131" s="7">
        <v>-82.932569000000001</v>
      </c>
      <c r="K131" s="7" t="s">
        <v>138</v>
      </c>
      <c r="L131" s="7" t="s">
        <v>28</v>
      </c>
      <c r="M131" s="7" t="s">
        <v>139</v>
      </c>
      <c r="N131" s="7" t="s">
        <v>271</v>
      </c>
      <c r="O131" s="7" t="s">
        <v>44</v>
      </c>
      <c r="P131" s="7" t="s">
        <v>141</v>
      </c>
      <c r="Q131" s="7" t="s">
        <v>31</v>
      </c>
    </row>
    <row r="132" spans="1:17" s="7" customFormat="1" x14ac:dyDescent="0.35">
      <c r="A132" s="7">
        <v>15</v>
      </c>
      <c r="B132" s="4" t="s">
        <v>266</v>
      </c>
      <c r="C132" s="4">
        <v>2022</v>
      </c>
      <c r="D132" s="4" t="s">
        <v>267</v>
      </c>
      <c r="E132" s="8" t="s">
        <v>268</v>
      </c>
      <c r="F132" s="5" t="s">
        <v>269</v>
      </c>
      <c r="G132" s="3" t="s">
        <v>274</v>
      </c>
      <c r="H132" s="9" t="s">
        <v>283</v>
      </c>
      <c r="I132" s="7">
        <v>42.166587999999997</v>
      </c>
      <c r="J132" s="7">
        <v>-80.118110999999999</v>
      </c>
      <c r="K132" s="7" t="s">
        <v>138</v>
      </c>
      <c r="L132" s="7" t="s">
        <v>28</v>
      </c>
      <c r="M132" s="7" t="s">
        <v>139</v>
      </c>
      <c r="N132" s="7" t="s">
        <v>271</v>
      </c>
      <c r="O132" s="7" t="s">
        <v>44</v>
      </c>
      <c r="P132" s="7" t="s">
        <v>141</v>
      </c>
      <c r="Q132" s="7" t="s">
        <v>31</v>
      </c>
    </row>
    <row r="133" spans="1:17" s="7" customFormat="1" x14ac:dyDescent="0.35">
      <c r="A133" s="7">
        <v>15</v>
      </c>
      <c r="B133" s="4" t="s">
        <v>266</v>
      </c>
      <c r="C133" s="4">
        <v>2022</v>
      </c>
      <c r="D133" s="4" t="s">
        <v>267</v>
      </c>
      <c r="E133" s="8" t="s">
        <v>268</v>
      </c>
      <c r="F133" s="5" t="s">
        <v>269</v>
      </c>
      <c r="G133" s="7" t="s">
        <v>86</v>
      </c>
      <c r="H133" s="9" t="s">
        <v>284</v>
      </c>
      <c r="I133" s="7">
        <v>43.021683000000003</v>
      </c>
      <c r="J133" s="7">
        <v>-82.384735000000006</v>
      </c>
      <c r="K133" s="7" t="s">
        <v>138</v>
      </c>
      <c r="L133" s="7" t="s">
        <v>28</v>
      </c>
      <c r="M133" s="7" t="s">
        <v>139</v>
      </c>
      <c r="N133" s="7" t="s">
        <v>271</v>
      </c>
      <c r="O133" s="7" t="s">
        <v>44</v>
      </c>
      <c r="P133" s="7" t="s">
        <v>141</v>
      </c>
      <c r="Q133" s="7" t="s">
        <v>31</v>
      </c>
    </row>
    <row r="134" spans="1:17" s="7" customFormat="1" x14ac:dyDescent="0.35">
      <c r="A134" s="7">
        <v>15</v>
      </c>
      <c r="B134" s="4" t="s">
        <v>266</v>
      </c>
      <c r="C134" s="4">
        <v>2022</v>
      </c>
      <c r="D134" s="4" t="s">
        <v>267</v>
      </c>
      <c r="E134" s="8" t="s">
        <v>268</v>
      </c>
      <c r="F134" s="5" t="s">
        <v>269</v>
      </c>
      <c r="G134" s="7" t="s">
        <v>86</v>
      </c>
      <c r="H134" s="9" t="s">
        <v>285</v>
      </c>
      <c r="I134" s="7">
        <v>43.776668000000001</v>
      </c>
      <c r="J134" s="7">
        <v>-81.721789999999999</v>
      </c>
      <c r="K134" s="7" t="s">
        <v>138</v>
      </c>
      <c r="L134" s="7" t="s">
        <v>28</v>
      </c>
      <c r="M134" s="7" t="s">
        <v>139</v>
      </c>
      <c r="N134" s="7" t="s">
        <v>271</v>
      </c>
      <c r="O134" s="7" t="s">
        <v>44</v>
      </c>
      <c r="P134" s="7" t="s">
        <v>141</v>
      </c>
      <c r="Q134" s="7" t="s">
        <v>31</v>
      </c>
    </row>
    <row r="135" spans="1:17" s="7" customFormat="1" x14ac:dyDescent="0.35">
      <c r="A135" s="7">
        <v>15</v>
      </c>
      <c r="B135" s="4" t="s">
        <v>266</v>
      </c>
      <c r="C135" s="4">
        <v>2022</v>
      </c>
      <c r="D135" s="4" t="s">
        <v>267</v>
      </c>
      <c r="E135" s="8" t="s">
        <v>268</v>
      </c>
      <c r="F135" s="5" t="s">
        <v>269</v>
      </c>
      <c r="G135" s="7" t="s">
        <v>86</v>
      </c>
      <c r="H135" s="9" t="s">
        <v>286</v>
      </c>
      <c r="I135" s="7">
        <v>43.316136999999998</v>
      </c>
      <c r="J135" s="7">
        <v>-81.766025999999997</v>
      </c>
      <c r="K135" s="7" t="s">
        <v>138</v>
      </c>
      <c r="L135" s="7" t="s">
        <v>28</v>
      </c>
      <c r="M135" s="7" t="s">
        <v>139</v>
      </c>
      <c r="N135" s="7" t="s">
        <v>271</v>
      </c>
      <c r="O135" s="7" t="s">
        <v>44</v>
      </c>
      <c r="P135" s="7" t="s">
        <v>141</v>
      </c>
      <c r="Q135" s="7" t="s">
        <v>31</v>
      </c>
    </row>
    <row r="136" spans="1:17" s="7" customFormat="1" x14ac:dyDescent="0.35">
      <c r="A136" s="7">
        <v>15</v>
      </c>
      <c r="B136" s="4" t="s">
        <v>266</v>
      </c>
      <c r="C136" s="4">
        <v>2022</v>
      </c>
      <c r="D136" s="4" t="s">
        <v>267</v>
      </c>
      <c r="E136" s="8" t="s">
        <v>268</v>
      </c>
      <c r="F136" s="5" t="s">
        <v>269</v>
      </c>
      <c r="G136" s="7" t="s">
        <v>86</v>
      </c>
      <c r="H136" s="9" t="s">
        <v>287</v>
      </c>
      <c r="I136" s="7">
        <v>46.260390000000001</v>
      </c>
      <c r="J136" s="7">
        <v>-83.887986999999995</v>
      </c>
      <c r="K136" s="7" t="s">
        <v>138</v>
      </c>
      <c r="L136" s="7" t="s">
        <v>28</v>
      </c>
      <c r="M136" s="7" t="s">
        <v>139</v>
      </c>
      <c r="N136" s="7" t="s">
        <v>271</v>
      </c>
      <c r="O136" s="7" t="s">
        <v>44</v>
      </c>
      <c r="P136" s="7" t="s">
        <v>141</v>
      </c>
      <c r="Q136" s="7" t="s">
        <v>31</v>
      </c>
    </row>
    <row r="137" spans="1:17" s="7" customFormat="1" x14ac:dyDescent="0.35">
      <c r="A137" s="7">
        <v>15</v>
      </c>
      <c r="B137" s="4" t="s">
        <v>266</v>
      </c>
      <c r="C137" s="4">
        <v>2022</v>
      </c>
      <c r="D137" s="4" t="s">
        <v>267</v>
      </c>
      <c r="E137" s="8" t="s">
        <v>268</v>
      </c>
      <c r="F137" s="5" t="s">
        <v>269</v>
      </c>
      <c r="G137" s="3" t="s">
        <v>274</v>
      </c>
      <c r="H137" s="9" t="s">
        <v>288</v>
      </c>
      <c r="I137" s="7" t="s">
        <v>246</v>
      </c>
      <c r="J137" s="7" t="s">
        <v>246</v>
      </c>
      <c r="K137" s="7" t="s">
        <v>138</v>
      </c>
      <c r="L137" s="7" t="s">
        <v>28</v>
      </c>
      <c r="M137" s="7" t="s">
        <v>139</v>
      </c>
      <c r="N137" s="7" t="s">
        <v>271</v>
      </c>
      <c r="O137" s="7" t="s">
        <v>44</v>
      </c>
      <c r="P137" s="7" t="s">
        <v>141</v>
      </c>
      <c r="Q137" s="7" t="s">
        <v>31</v>
      </c>
    </row>
    <row r="138" spans="1:17" s="7" customFormat="1" x14ac:dyDescent="0.35">
      <c r="A138" s="7">
        <v>15</v>
      </c>
      <c r="B138" s="4" t="s">
        <v>266</v>
      </c>
      <c r="C138" s="4">
        <v>2022</v>
      </c>
      <c r="D138" s="4" t="s">
        <v>267</v>
      </c>
      <c r="E138" s="8" t="s">
        <v>268</v>
      </c>
      <c r="F138" s="5" t="s">
        <v>269</v>
      </c>
      <c r="G138" s="7" t="s">
        <v>86</v>
      </c>
      <c r="H138" s="9" t="s">
        <v>290</v>
      </c>
      <c r="I138" s="7">
        <v>43.017567999999997</v>
      </c>
      <c r="J138" s="7">
        <v>-82.418480000000002</v>
      </c>
      <c r="K138" s="7" t="s">
        <v>138</v>
      </c>
      <c r="L138" s="7" t="s">
        <v>28</v>
      </c>
      <c r="M138" s="7" t="s">
        <v>139</v>
      </c>
      <c r="N138" s="7" t="s">
        <v>271</v>
      </c>
      <c r="O138" s="7" t="s">
        <v>44</v>
      </c>
      <c r="P138" s="7" t="s">
        <v>141</v>
      </c>
      <c r="Q138" s="7" t="s">
        <v>31</v>
      </c>
    </row>
    <row r="139" spans="1:17" s="7" customFormat="1" x14ac:dyDescent="0.35">
      <c r="A139" s="7">
        <v>15</v>
      </c>
      <c r="B139" s="4" t="s">
        <v>266</v>
      </c>
      <c r="C139" s="4">
        <v>2022</v>
      </c>
      <c r="D139" s="4" t="s">
        <v>267</v>
      </c>
      <c r="E139" s="8" t="s">
        <v>268</v>
      </c>
      <c r="F139" s="5" t="s">
        <v>269</v>
      </c>
      <c r="G139" s="7" t="s">
        <v>86</v>
      </c>
      <c r="H139" s="9" t="s">
        <v>291</v>
      </c>
      <c r="I139" s="7">
        <v>44.515466000000004</v>
      </c>
      <c r="J139" s="7">
        <v>-80.034621999999999</v>
      </c>
      <c r="K139" s="7" t="s">
        <v>138</v>
      </c>
      <c r="L139" s="7" t="s">
        <v>28</v>
      </c>
      <c r="M139" s="7" t="s">
        <v>139</v>
      </c>
      <c r="N139" s="7" t="s">
        <v>271</v>
      </c>
      <c r="O139" s="7" t="s">
        <v>44</v>
      </c>
      <c r="P139" s="7" t="s">
        <v>141</v>
      </c>
      <c r="Q139" s="7" t="s">
        <v>31</v>
      </c>
    </row>
    <row r="140" spans="1:17" s="7" customFormat="1" x14ac:dyDescent="0.35">
      <c r="A140" s="7">
        <v>15</v>
      </c>
      <c r="B140" s="4" t="s">
        <v>266</v>
      </c>
      <c r="C140" s="4">
        <v>2022</v>
      </c>
      <c r="D140" s="4" t="s">
        <v>267</v>
      </c>
      <c r="E140" s="8" t="s">
        <v>268</v>
      </c>
      <c r="F140" s="5" t="s">
        <v>269</v>
      </c>
      <c r="G140" s="3" t="s">
        <v>274</v>
      </c>
      <c r="H140" s="9" t="s">
        <v>292</v>
      </c>
      <c r="I140" s="7">
        <v>44.047913999999999</v>
      </c>
      <c r="J140" s="7">
        <v>-82.998829999999998</v>
      </c>
      <c r="K140" s="7" t="s">
        <v>138</v>
      </c>
      <c r="L140" s="7" t="s">
        <v>28</v>
      </c>
      <c r="M140" s="7" t="s">
        <v>139</v>
      </c>
      <c r="N140" s="7" t="s">
        <v>271</v>
      </c>
      <c r="O140" s="7" t="s">
        <v>44</v>
      </c>
      <c r="P140" s="7" t="s">
        <v>141</v>
      </c>
      <c r="Q140" s="7" t="s">
        <v>31</v>
      </c>
    </row>
    <row r="141" spans="1:17" s="7" customFormat="1" x14ac:dyDescent="0.35">
      <c r="A141" s="7">
        <v>15</v>
      </c>
      <c r="B141" s="4" t="s">
        <v>266</v>
      </c>
      <c r="C141" s="4">
        <v>2022</v>
      </c>
      <c r="D141" s="4" t="s">
        <v>267</v>
      </c>
      <c r="E141" s="8" t="s">
        <v>268</v>
      </c>
      <c r="F141" s="5" t="s">
        <v>269</v>
      </c>
      <c r="G141" s="3" t="s">
        <v>274</v>
      </c>
      <c r="H141" s="9" t="s">
        <v>293</v>
      </c>
      <c r="I141" s="7">
        <v>45.495347000000002</v>
      </c>
      <c r="J141" s="7">
        <v>-84.090254000000002</v>
      </c>
      <c r="K141" s="7" t="s">
        <v>138</v>
      </c>
      <c r="L141" s="7" t="s">
        <v>28</v>
      </c>
      <c r="M141" s="7" t="s">
        <v>139</v>
      </c>
      <c r="N141" s="7" t="s">
        <v>271</v>
      </c>
      <c r="O141" s="7" t="s">
        <v>44</v>
      </c>
      <c r="P141" s="7" t="s">
        <v>141</v>
      </c>
      <c r="Q141" s="7" t="s">
        <v>31</v>
      </c>
    </row>
    <row r="142" spans="1:17" s="7" customFormat="1" x14ac:dyDescent="0.35">
      <c r="A142" s="7">
        <v>15</v>
      </c>
      <c r="B142" s="4" t="s">
        <v>266</v>
      </c>
      <c r="C142" s="4">
        <v>2022</v>
      </c>
      <c r="D142" s="4" t="s">
        <v>267</v>
      </c>
      <c r="E142" s="8" t="s">
        <v>268</v>
      </c>
      <c r="F142" s="5" t="s">
        <v>269</v>
      </c>
      <c r="G142" s="3" t="s">
        <v>274</v>
      </c>
      <c r="H142" s="9" t="s">
        <v>294</v>
      </c>
      <c r="I142" s="7">
        <v>43.851948</v>
      </c>
      <c r="J142" s="7">
        <v>-82.634641000000002</v>
      </c>
      <c r="K142" s="7" t="s">
        <v>138</v>
      </c>
      <c r="L142" s="7" t="s">
        <v>28</v>
      </c>
      <c r="M142" s="7" t="s">
        <v>139</v>
      </c>
      <c r="N142" s="7" t="s">
        <v>271</v>
      </c>
      <c r="O142" s="7" t="s">
        <v>44</v>
      </c>
      <c r="P142" s="7" t="s">
        <v>141</v>
      </c>
      <c r="Q142" s="7" t="s">
        <v>31</v>
      </c>
    </row>
    <row r="143" spans="1:17" s="7" customFormat="1" x14ac:dyDescent="0.35">
      <c r="A143" s="7">
        <v>15</v>
      </c>
      <c r="B143" s="4" t="s">
        <v>266</v>
      </c>
      <c r="C143" s="4">
        <v>2022</v>
      </c>
      <c r="D143" s="4" t="s">
        <v>267</v>
      </c>
      <c r="E143" s="8" t="s">
        <v>268</v>
      </c>
      <c r="F143" s="5" t="s">
        <v>269</v>
      </c>
      <c r="G143" s="7" t="s">
        <v>86</v>
      </c>
      <c r="H143" s="9" t="s">
        <v>295</v>
      </c>
      <c r="I143" s="7">
        <v>44.078121000000003</v>
      </c>
      <c r="J143" s="7">
        <v>-81.754361000000003</v>
      </c>
      <c r="K143" s="7" t="s">
        <v>138</v>
      </c>
      <c r="L143" s="7" t="s">
        <v>28</v>
      </c>
      <c r="M143" s="7" t="s">
        <v>139</v>
      </c>
      <c r="N143" s="7" t="s">
        <v>271</v>
      </c>
      <c r="O143" s="7" t="s">
        <v>44</v>
      </c>
      <c r="P143" s="7" t="s">
        <v>141</v>
      </c>
      <c r="Q143" s="7" t="s">
        <v>31</v>
      </c>
    </row>
    <row r="144" spans="1:17" s="7" customFormat="1" x14ac:dyDescent="0.35">
      <c r="A144" s="7">
        <v>15</v>
      </c>
      <c r="B144" s="4" t="s">
        <v>266</v>
      </c>
      <c r="C144" s="4">
        <v>2022</v>
      </c>
      <c r="D144" s="4" t="s">
        <v>267</v>
      </c>
      <c r="E144" s="8" t="s">
        <v>268</v>
      </c>
      <c r="F144" s="5" t="s">
        <v>269</v>
      </c>
      <c r="G144" s="3" t="s">
        <v>274</v>
      </c>
      <c r="H144" s="9" t="s">
        <v>296</v>
      </c>
      <c r="I144" s="7">
        <v>43.853369999999998</v>
      </c>
      <c r="J144" s="7">
        <v>-83.921019999999999</v>
      </c>
      <c r="K144" s="7" t="s">
        <v>138</v>
      </c>
      <c r="L144" s="7" t="s">
        <v>28</v>
      </c>
      <c r="M144" s="7" t="s">
        <v>139</v>
      </c>
      <c r="N144" s="7" t="s">
        <v>271</v>
      </c>
      <c r="O144" s="7" t="s">
        <v>44</v>
      </c>
      <c r="P144" s="7" t="s">
        <v>141</v>
      </c>
      <c r="Q144" s="7" t="s">
        <v>31</v>
      </c>
    </row>
    <row r="145" spans="1:17" s="7" customFormat="1" x14ac:dyDescent="0.35">
      <c r="A145" s="7">
        <v>15</v>
      </c>
      <c r="B145" s="4" t="s">
        <v>266</v>
      </c>
      <c r="C145" s="4">
        <v>2022</v>
      </c>
      <c r="D145" s="4" t="s">
        <v>267</v>
      </c>
      <c r="E145" s="8" t="s">
        <v>268</v>
      </c>
      <c r="F145" s="5" t="s">
        <v>269</v>
      </c>
      <c r="G145" s="7" t="s">
        <v>86</v>
      </c>
      <c r="H145" s="9" t="s">
        <v>297</v>
      </c>
      <c r="I145" s="7">
        <v>45.667827000000003</v>
      </c>
      <c r="J145" s="7">
        <v>-82.274952999999996</v>
      </c>
      <c r="K145" s="7" t="s">
        <v>138</v>
      </c>
      <c r="L145" s="7" t="s">
        <v>28</v>
      </c>
      <c r="M145" s="7" t="s">
        <v>139</v>
      </c>
      <c r="N145" s="7" t="s">
        <v>271</v>
      </c>
      <c r="O145" s="7" t="s">
        <v>44</v>
      </c>
      <c r="P145" s="7" t="s">
        <v>141</v>
      </c>
      <c r="Q145" s="7" t="s">
        <v>31</v>
      </c>
    </row>
    <row r="146" spans="1:17" s="7" customFormat="1" x14ac:dyDescent="0.35">
      <c r="A146" s="7">
        <v>15</v>
      </c>
      <c r="B146" s="4" t="s">
        <v>266</v>
      </c>
      <c r="C146" s="4">
        <v>2022</v>
      </c>
      <c r="D146" s="4" t="s">
        <v>267</v>
      </c>
      <c r="E146" s="8" t="s">
        <v>268</v>
      </c>
      <c r="F146" s="5" t="s">
        <v>269</v>
      </c>
      <c r="G146" s="3" t="s">
        <v>274</v>
      </c>
      <c r="H146" s="9" t="s">
        <v>298</v>
      </c>
      <c r="I146" s="7">
        <v>43.653483000000001</v>
      </c>
      <c r="J146" s="7">
        <v>-83.855697000000006</v>
      </c>
      <c r="K146" s="7" t="s">
        <v>138</v>
      </c>
      <c r="L146" s="7" t="s">
        <v>28</v>
      </c>
      <c r="M146" s="7" t="s">
        <v>139</v>
      </c>
      <c r="N146" s="7" t="s">
        <v>271</v>
      </c>
      <c r="O146" s="7" t="s">
        <v>44</v>
      </c>
      <c r="P146" s="7" t="s">
        <v>141</v>
      </c>
      <c r="Q146" s="7" t="s">
        <v>31</v>
      </c>
    </row>
    <row r="147" spans="1:17" s="7" customFormat="1" x14ac:dyDescent="0.35">
      <c r="A147" s="7">
        <v>15</v>
      </c>
      <c r="B147" s="4" t="s">
        <v>266</v>
      </c>
      <c r="C147" s="4">
        <v>2022</v>
      </c>
      <c r="D147" s="4" t="s">
        <v>267</v>
      </c>
      <c r="E147" s="8" t="s">
        <v>268</v>
      </c>
      <c r="F147" s="5" t="s">
        <v>269</v>
      </c>
      <c r="G147" s="3" t="s">
        <v>274</v>
      </c>
      <c r="H147" s="9" t="s">
        <v>299</v>
      </c>
      <c r="I147" s="7">
        <v>44.548772999999997</v>
      </c>
      <c r="J147" s="7">
        <v>-87.988680000000002</v>
      </c>
      <c r="K147" s="7" t="s">
        <v>138</v>
      </c>
      <c r="L147" s="7" t="s">
        <v>28</v>
      </c>
      <c r="M147" s="7" t="s">
        <v>139</v>
      </c>
      <c r="N147" s="7" t="s">
        <v>271</v>
      </c>
      <c r="O147" s="7" t="s">
        <v>44</v>
      </c>
      <c r="P147" s="7" t="s">
        <v>141</v>
      </c>
      <c r="Q147" s="7" t="s">
        <v>31</v>
      </c>
    </row>
    <row r="148" spans="1:17" s="7" customFormat="1" x14ac:dyDescent="0.35">
      <c r="A148" s="7">
        <v>15</v>
      </c>
      <c r="B148" s="4" t="s">
        <v>266</v>
      </c>
      <c r="C148" s="4">
        <v>2022</v>
      </c>
      <c r="D148" s="4" t="s">
        <v>267</v>
      </c>
      <c r="E148" s="8" t="s">
        <v>268</v>
      </c>
      <c r="F148" s="5" t="s">
        <v>269</v>
      </c>
      <c r="G148" s="3" t="s">
        <v>274</v>
      </c>
      <c r="H148" s="9" t="s">
        <v>300</v>
      </c>
      <c r="I148" s="7">
        <v>44.865611000000001</v>
      </c>
      <c r="J148" s="7">
        <v>-87.844815999999994</v>
      </c>
      <c r="K148" s="7" t="s">
        <v>138</v>
      </c>
      <c r="L148" s="7" t="s">
        <v>28</v>
      </c>
      <c r="M148" s="7" t="s">
        <v>139</v>
      </c>
      <c r="N148" s="7" t="s">
        <v>271</v>
      </c>
      <c r="O148" s="7" t="s">
        <v>44</v>
      </c>
      <c r="P148" s="7" t="s">
        <v>141</v>
      </c>
      <c r="Q148" s="7" t="s">
        <v>31</v>
      </c>
    </row>
    <row r="149" spans="1:17" s="7" customFormat="1" x14ac:dyDescent="0.35">
      <c r="A149" s="7">
        <v>15</v>
      </c>
      <c r="B149" s="4" t="s">
        <v>266</v>
      </c>
      <c r="C149" s="4">
        <v>2022</v>
      </c>
      <c r="D149" s="4" t="s">
        <v>267</v>
      </c>
      <c r="E149" s="8" t="s">
        <v>268</v>
      </c>
      <c r="F149" s="5" t="s">
        <v>269</v>
      </c>
      <c r="G149" s="3" t="s">
        <v>274</v>
      </c>
      <c r="H149" s="9" t="s">
        <v>301</v>
      </c>
      <c r="I149" s="7">
        <v>42.579891000000003</v>
      </c>
      <c r="J149" s="7">
        <v>-87.800569999999993</v>
      </c>
      <c r="K149" s="7" t="s">
        <v>138</v>
      </c>
      <c r="L149" s="7" t="s">
        <v>28</v>
      </c>
      <c r="M149" s="7" t="s">
        <v>139</v>
      </c>
      <c r="N149" s="7" t="s">
        <v>271</v>
      </c>
      <c r="O149" s="7" t="s">
        <v>44</v>
      </c>
      <c r="P149" s="7" t="s">
        <v>141</v>
      </c>
      <c r="Q149" s="7" t="s">
        <v>31</v>
      </c>
    </row>
    <row r="150" spans="1:17" s="7" customFormat="1" x14ac:dyDescent="0.35">
      <c r="A150" s="7">
        <v>15</v>
      </c>
      <c r="B150" s="4" t="s">
        <v>266</v>
      </c>
      <c r="C150" s="4">
        <v>2022</v>
      </c>
      <c r="D150" s="4" t="s">
        <v>267</v>
      </c>
      <c r="E150" s="8" t="s">
        <v>268</v>
      </c>
      <c r="F150" s="5" t="s">
        <v>269</v>
      </c>
      <c r="G150" s="3" t="s">
        <v>274</v>
      </c>
      <c r="H150" s="9" t="s">
        <v>302</v>
      </c>
      <c r="I150" s="7">
        <v>43.750487999999997</v>
      </c>
      <c r="J150" s="7">
        <v>-87.697944000000007</v>
      </c>
      <c r="K150" s="7" t="s">
        <v>138</v>
      </c>
      <c r="L150" s="7" t="s">
        <v>28</v>
      </c>
      <c r="M150" s="7" t="s">
        <v>139</v>
      </c>
      <c r="N150" s="7" t="s">
        <v>271</v>
      </c>
      <c r="O150" s="7" t="s">
        <v>44</v>
      </c>
      <c r="P150" s="7" t="s">
        <v>141</v>
      </c>
      <c r="Q150" s="7" t="s">
        <v>31</v>
      </c>
    </row>
    <row r="151" spans="1:17" s="7" customFormat="1" x14ac:dyDescent="0.35">
      <c r="A151" s="7">
        <v>15</v>
      </c>
      <c r="B151" s="4" t="s">
        <v>266</v>
      </c>
      <c r="C151" s="4">
        <v>2022</v>
      </c>
      <c r="D151" s="4" t="s">
        <v>267</v>
      </c>
      <c r="E151" s="8" t="s">
        <v>268</v>
      </c>
      <c r="F151" s="5" t="s">
        <v>269</v>
      </c>
      <c r="G151" s="3" t="s">
        <v>274</v>
      </c>
      <c r="H151" s="9" t="s">
        <v>303</v>
      </c>
      <c r="I151" s="7">
        <v>41.906584000000002</v>
      </c>
      <c r="J151" s="7">
        <v>-86.608022000000005</v>
      </c>
      <c r="K151" s="7" t="s">
        <v>138</v>
      </c>
      <c r="L151" s="7" t="s">
        <v>28</v>
      </c>
      <c r="M151" s="7" t="s">
        <v>139</v>
      </c>
      <c r="N151" s="7" t="s">
        <v>271</v>
      </c>
      <c r="O151" s="7" t="s">
        <v>44</v>
      </c>
      <c r="P151" s="7" t="s">
        <v>141</v>
      </c>
      <c r="Q151" s="7" t="s">
        <v>31</v>
      </c>
    </row>
    <row r="152" spans="1:17" s="7" customFormat="1" x14ac:dyDescent="0.35">
      <c r="A152" s="7">
        <v>15</v>
      </c>
      <c r="B152" s="4" t="s">
        <v>266</v>
      </c>
      <c r="C152" s="4">
        <v>2022</v>
      </c>
      <c r="D152" s="4" t="s">
        <v>267</v>
      </c>
      <c r="E152" s="8" t="s">
        <v>268</v>
      </c>
      <c r="F152" s="5" t="s">
        <v>269</v>
      </c>
      <c r="G152" s="3" t="s">
        <v>274</v>
      </c>
      <c r="H152" s="9" t="s">
        <v>304</v>
      </c>
      <c r="I152" s="7">
        <v>42.776119999999999</v>
      </c>
      <c r="J152" s="7">
        <v>-86.211513999999994</v>
      </c>
      <c r="K152" s="7" t="s">
        <v>138</v>
      </c>
      <c r="L152" s="7" t="s">
        <v>28</v>
      </c>
      <c r="M152" s="7" t="s">
        <v>139</v>
      </c>
      <c r="N152" s="7" t="s">
        <v>271</v>
      </c>
      <c r="O152" s="7" t="s">
        <v>44</v>
      </c>
      <c r="P152" s="7" t="s">
        <v>141</v>
      </c>
      <c r="Q152" s="7" t="s">
        <v>31</v>
      </c>
    </row>
    <row r="153" spans="1:17" s="7" customFormat="1" x14ac:dyDescent="0.35">
      <c r="A153" s="7">
        <v>15</v>
      </c>
      <c r="B153" s="4" t="s">
        <v>266</v>
      </c>
      <c r="C153" s="4">
        <v>2022</v>
      </c>
      <c r="D153" s="4" t="s">
        <v>267</v>
      </c>
      <c r="E153" s="8" t="s">
        <v>268</v>
      </c>
      <c r="F153" s="5" t="s">
        <v>269</v>
      </c>
      <c r="G153" s="3" t="s">
        <v>274</v>
      </c>
      <c r="H153" s="9" t="s">
        <v>305</v>
      </c>
      <c r="I153" s="7">
        <v>44.606726999999999</v>
      </c>
      <c r="J153" s="7">
        <v>-87.431263000000001</v>
      </c>
      <c r="K153" s="7" t="s">
        <v>138</v>
      </c>
      <c r="L153" s="7" t="s">
        <v>28</v>
      </c>
      <c r="M153" s="7" t="s">
        <v>139</v>
      </c>
      <c r="N153" s="7" t="s">
        <v>271</v>
      </c>
      <c r="O153" s="7" t="s">
        <v>44</v>
      </c>
      <c r="P153" s="7" t="s">
        <v>141</v>
      </c>
      <c r="Q153" s="7" t="s">
        <v>31</v>
      </c>
    </row>
    <row r="154" spans="1:17" s="7" customFormat="1" x14ac:dyDescent="0.35">
      <c r="A154" s="7">
        <v>15</v>
      </c>
      <c r="B154" s="4" t="s">
        <v>266</v>
      </c>
      <c r="C154" s="4">
        <v>2022</v>
      </c>
      <c r="D154" s="4" t="s">
        <v>267</v>
      </c>
      <c r="E154" s="8" t="s">
        <v>268</v>
      </c>
      <c r="F154" s="5" t="s">
        <v>269</v>
      </c>
      <c r="G154" s="3" t="s">
        <v>274</v>
      </c>
      <c r="H154" s="9" t="s">
        <v>306</v>
      </c>
      <c r="I154" s="7">
        <v>43.784202000000001</v>
      </c>
      <c r="J154" s="7">
        <v>-86.443544000000003</v>
      </c>
      <c r="K154" s="7" t="s">
        <v>138</v>
      </c>
      <c r="L154" s="7" t="s">
        <v>28</v>
      </c>
      <c r="M154" s="7" t="s">
        <v>139</v>
      </c>
      <c r="N154" s="7" t="s">
        <v>271</v>
      </c>
      <c r="O154" s="7" t="s">
        <v>44</v>
      </c>
      <c r="P154" s="7" t="s">
        <v>141</v>
      </c>
      <c r="Q154" s="7" t="s">
        <v>31</v>
      </c>
    </row>
    <row r="155" spans="1:17" s="7" customFormat="1" x14ac:dyDescent="0.35">
      <c r="A155" s="7">
        <v>15</v>
      </c>
      <c r="B155" s="4" t="s">
        <v>266</v>
      </c>
      <c r="C155" s="4">
        <v>2022</v>
      </c>
      <c r="D155" s="4" t="s">
        <v>267</v>
      </c>
      <c r="E155" s="8" t="s">
        <v>268</v>
      </c>
      <c r="F155" s="5" t="s">
        <v>269</v>
      </c>
      <c r="G155" s="3" t="s">
        <v>274</v>
      </c>
      <c r="H155" s="9" t="s">
        <v>307</v>
      </c>
      <c r="I155" s="7">
        <v>45.757779999999997</v>
      </c>
      <c r="J155" s="7">
        <v>-87.052983999999995</v>
      </c>
      <c r="K155" s="7" t="s">
        <v>138</v>
      </c>
      <c r="L155" s="7" t="s">
        <v>28</v>
      </c>
      <c r="M155" s="7" t="s">
        <v>139</v>
      </c>
      <c r="N155" s="7" t="s">
        <v>271</v>
      </c>
      <c r="O155" s="7" t="s">
        <v>44</v>
      </c>
      <c r="P155" s="7" t="s">
        <v>141</v>
      </c>
      <c r="Q155" s="7" t="s">
        <v>31</v>
      </c>
    </row>
    <row r="156" spans="1:17" s="7" customFormat="1" x14ac:dyDescent="0.35">
      <c r="A156" s="7">
        <v>15</v>
      </c>
      <c r="B156" s="4" t="s">
        <v>266</v>
      </c>
      <c r="C156" s="4">
        <v>2022</v>
      </c>
      <c r="D156" s="4" t="s">
        <v>267</v>
      </c>
      <c r="E156" s="8" t="s">
        <v>268</v>
      </c>
      <c r="F156" s="5" t="s">
        <v>269</v>
      </c>
      <c r="G156" s="3" t="s">
        <v>274</v>
      </c>
      <c r="H156" s="9" t="s">
        <v>308</v>
      </c>
      <c r="I156" s="7">
        <v>43.216386</v>
      </c>
      <c r="J156" s="7">
        <v>-87.884112999999999</v>
      </c>
      <c r="K156" s="7" t="s">
        <v>138</v>
      </c>
      <c r="L156" s="7" t="s">
        <v>28</v>
      </c>
      <c r="M156" s="7" t="s">
        <v>139</v>
      </c>
      <c r="N156" s="7" t="s">
        <v>271</v>
      </c>
      <c r="O156" s="7" t="s">
        <v>44</v>
      </c>
      <c r="P156" s="7" t="s">
        <v>141</v>
      </c>
      <c r="Q156" s="7" t="s">
        <v>31</v>
      </c>
    </row>
    <row r="157" spans="1:17" s="7" customFormat="1" x14ac:dyDescent="0.35">
      <c r="A157" s="7">
        <v>15</v>
      </c>
      <c r="B157" s="4" t="s">
        <v>266</v>
      </c>
      <c r="C157" s="4">
        <v>2022</v>
      </c>
      <c r="D157" s="4" t="s">
        <v>267</v>
      </c>
      <c r="E157" s="8" t="s">
        <v>268</v>
      </c>
      <c r="F157" s="5" t="s">
        <v>269</v>
      </c>
      <c r="G157" s="3" t="s">
        <v>274</v>
      </c>
      <c r="H157" s="9" t="s">
        <v>309</v>
      </c>
      <c r="I157" s="7">
        <v>44.769762999999998</v>
      </c>
      <c r="J157" s="7">
        <v>-85.618432999999996</v>
      </c>
      <c r="K157" s="7" t="s">
        <v>138</v>
      </c>
      <c r="L157" s="7" t="s">
        <v>28</v>
      </c>
      <c r="M157" s="7" t="s">
        <v>139</v>
      </c>
      <c r="N157" s="7" t="s">
        <v>271</v>
      </c>
      <c r="O157" s="7" t="s">
        <v>44</v>
      </c>
      <c r="P157" s="7" t="s">
        <v>141</v>
      </c>
      <c r="Q157" s="7" t="s">
        <v>31</v>
      </c>
    </row>
    <row r="158" spans="1:17" s="7" customFormat="1" x14ac:dyDescent="0.35">
      <c r="A158" s="7">
        <v>15</v>
      </c>
      <c r="B158" s="4" t="s">
        <v>266</v>
      </c>
      <c r="C158" s="4">
        <v>2022</v>
      </c>
      <c r="D158" s="4" t="s">
        <v>267</v>
      </c>
      <c r="E158" s="8" t="s">
        <v>268</v>
      </c>
      <c r="F158" s="5" t="s">
        <v>269</v>
      </c>
      <c r="G158" s="3" t="s">
        <v>274</v>
      </c>
      <c r="H158" s="9" t="s">
        <v>310</v>
      </c>
      <c r="I158" s="7">
        <v>41.629040000000003</v>
      </c>
      <c r="J158" s="7">
        <v>-87.195372000000006</v>
      </c>
      <c r="K158" s="7" t="s">
        <v>138</v>
      </c>
      <c r="L158" s="7" t="s">
        <v>28</v>
      </c>
      <c r="M158" s="7" t="s">
        <v>139</v>
      </c>
      <c r="N158" s="7" t="s">
        <v>271</v>
      </c>
      <c r="O158" s="7" t="s">
        <v>44</v>
      </c>
      <c r="P158" s="7" t="s">
        <v>141</v>
      </c>
      <c r="Q158" s="7" t="s">
        <v>31</v>
      </c>
    </row>
    <row r="159" spans="1:17" s="7" customFormat="1" x14ac:dyDescent="0.35">
      <c r="A159" s="7">
        <v>15</v>
      </c>
      <c r="B159" s="4" t="s">
        <v>266</v>
      </c>
      <c r="C159" s="4">
        <v>2022</v>
      </c>
      <c r="D159" s="4" t="s">
        <v>267</v>
      </c>
      <c r="E159" s="8" t="s">
        <v>268</v>
      </c>
      <c r="F159" s="5" t="s">
        <v>269</v>
      </c>
      <c r="G159" s="3" t="s">
        <v>274</v>
      </c>
      <c r="H159" s="9" t="s">
        <v>311</v>
      </c>
      <c r="I159" s="7">
        <v>41.727809000000001</v>
      </c>
      <c r="J159" s="7">
        <v>-87.512780000000006</v>
      </c>
      <c r="K159" s="7" t="s">
        <v>138</v>
      </c>
      <c r="L159" s="7" t="s">
        <v>28</v>
      </c>
      <c r="M159" s="7" t="s">
        <v>139</v>
      </c>
      <c r="N159" s="7" t="s">
        <v>271</v>
      </c>
      <c r="O159" s="7" t="s">
        <v>44</v>
      </c>
      <c r="P159" s="7" t="s">
        <v>141</v>
      </c>
      <c r="Q159" s="7" t="s">
        <v>31</v>
      </c>
    </row>
    <row r="160" spans="1:17" s="7" customFormat="1" x14ac:dyDescent="0.35">
      <c r="A160" s="7">
        <v>15</v>
      </c>
      <c r="B160" s="4" t="s">
        <v>266</v>
      </c>
      <c r="C160" s="4">
        <v>2022</v>
      </c>
      <c r="D160" s="4" t="s">
        <v>267</v>
      </c>
      <c r="E160" s="8" t="s">
        <v>268</v>
      </c>
      <c r="F160" s="5" t="s">
        <v>269</v>
      </c>
      <c r="G160" s="3" t="s">
        <v>274</v>
      </c>
      <c r="H160" s="9" t="s">
        <v>312</v>
      </c>
      <c r="I160" s="7">
        <v>46.017003000000003</v>
      </c>
      <c r="J160" s="7">
        <v>-85.039823999999996</v>
      </c>
      <c r="K160" s="7" t="s">
        <v>138</v>
      </c>
      <c r="L160" s="7" t="s">
        <v>28</v>
      </c>
      <c r="M160" s="7" t="s">
        <v>139</v>
      </c>
      <c r="N160" s="7" t="s">
        <v>271</v>
      </c>
      <c r="O160" s="7" t="s">
        <v>44</v>
      </c>
      <c r="P160" s="7" t="s">
        <v>141</v>
      </c>
      <c r="Q160" s="7" t="s">
        <v>31</v>
      </c>
    </row>
    <row r="161" spans="1:17" s="7" customFormat="1" x14ac:dyDescent="0.35">
      <c r="A161" s="7">
        <v>15</v>
      </c>
      <c r="B161" s="4" t="s">
        <v>266</v>
      </c>
      <c r="C161" s="4">
        <v>2022</v>
      </c>
      <c r="D161" s="4" t="s">
        <v>267</v>
      </c>
      <c r="E161" s="8" t="s">
        <v>268</v>
      </c>
      <c r="F161" s="5" t="s">
        <v>269</v>
      </c>
      <c r="G161" s="3" t="s">
        <v>274</v>
      </c>
      <c r="H161" s="9" t="s">
        <v>313</v>
      </c>
      <c r="I161" s="7">
        <v>45.942168000000002</v>
      </c>
      <c r="J161" s="7">
        <v>-86.246898000000002</v>
      </c>
      <c r="K161" s="7" t="s">
        <v>138</v>
      </c>
      <c r="L161" s="7" t="s">
        <v>28</v>
      </c>
      <c r="M161" s="7" t="s">
        <v>139</v>
      </c>
      <c r="N161" s="7" t="s">
        <v>271</v>
      </c>
      <c r="O161" s="7" t="s">
        <v>44</v>
      </c>
      <c r="P161" s="7" t="s">
        <v>141</v>
      </c>
      <c r="Q161" s="7" t="s">
        <v>31</v>
      </c>
    </row>
    <row r="162" spans="1:17" s="7" customFormat="1" x14ac:dyDescent="0.35">
      <c r="A162" s="7">
        <v>15</v>
      </c>
      <c r="B162" s="4" t="s">
        <v>266</v>
      </c>
      <c r="C162" s="4">
        <v>2022</v>
      </c>
      <c r="D162" s="4" t="s">
        <v>267</v>
      </c>
      <c r="E162" s="8" t="s">
        <v>268</v>
      </c>
      <c r="F162" s="5" t="s">
        <v>269</v>
      </c>
      <c r="G162" s="7" t="s">
        <v>86</v>
      </c>
      <c r="H162" s="9" t="s">
        <v>314</v>
      </c>
      <c r="I162" s="7">
        <v>43.391897</v>
      </c>
      <c r="J162" s="7">
        <v>-79.708927000000003</v>
      </c>
      <c r="K162" s="7" t="s">
        <v>138</v>
      </c>
      <c r="L162" s="7" t="s">
        <v>28</v>
      </c>
      <c r="M162" s="7" t="s">
        <v>139</v>
      </c>
      <c r="N162" s="7" t="s">
        <v>271</v>
      </c>
      <c r="O162" s="7" t="s">
        <v>44</v>
      </c>
      <c r="P162" s="7" t="s">
        <v>141</v>
      </c>
      <c r="Q162" s="7" t="s">
        <v>31</v>
      </c>
    </row>
    <row r="163" spans="1:17" s="7" customFormat="1" x14ac:dyDescent="0.35">
      <c r="A163" s="7">
        <v>15</v>
      </c>
      <c r="B163" s="4" t="s">
        <v>266</v>
      </c>
      <c r="C163" s="4">
        <v>2022</v>
      </c>
      <c r="D163" s="4" t="s">
        <v>267</v>
      </c>
      <c r="E163" s="8" t="s">
        <v>268</v>
      </c>
      <c r="F163" s="5" t="s">
        <v>269</v>
      </c>
      <c r="G163" s="3" t="s">
        <v>274</v>
      </c>
      <c r="H163" s="9" t="s">
        <v>315</v>
      </c>
      <c r="I163" s="7">
        <v>43.275652000000001</v>
      </c>
      <c r="J163" s="7">
        <v>-76.983630000000005</v>
      </c>
      <c r="K163" s="7" t="s">
        <v>138</v>
      </c>
      <c r="L163" s="7" t="s">
        <v>28</v>
      </c>
      <c r="M163" s="7" t="s">
        <v>139</v>
      </c>
      <c r="N163" s="7" t="s">
        <v>271</v>
      </c>
      <c r="O163" s="7" t="s">
        <v>44</v>
      </c>
      <c r="P163" s="7" t="s">
        <v>141</v>
      </c>
      <c r="Q163" s="7" t="s">
        <v>31</v>
      </c>
    </row>
    <row r="164" spans="1:17" s="7" customFormat="1" x14ac:dyDescent="0.35">
      <c r="A164" s="7">
        <v>15</v>
      </c>
      <c r="B164" s="4" t="s">
        <v>266</v>
      </c>
      <c r="C164" s="4">
        <v>2022</v>
      </c>
      <c r="D164" s="4" t="s">
        <v>267</v>
      </c>
      <c r="E164" s="8" t="s">
        <v>268</v>
      </c>
      <c r="F164" s="5" t="s">
        <v>269</v>
      </c>
      <c r="G164" s="7" t="s">
        <v>86</v>
      </c>
      <c r="H164" s="9" t="s">
        <v>316</v>
      </c>
      <c r="I164" s="7">
        <v>43.589962</v>
      </c>
      <c r="J164" s="7">
        <v>-79.512772999999996</v>
      </c>
      <c r="K164" s="7" t="s">
        <v>138</v>
      </c>
      <c r="L164" s="7" t="s">
        <v>28</v>
      </c>
      <c r="M164" s="7" t="s">
        <v>139</v>
      </c>
      <c r="N164" s="7" t="s">
        <v>271</v>
      </c>
      <c r="O164" s="7" t="s">
        <v>44</v>
      </c>
      <c r="P164" s="7" t="s">
        <v>141</v>
      </c>
      <c r="Q164" s="7" t="s">
        <v>31</v>
      </c>
    </row>
    <row r="165" spans="1:17" s="7" customFormat="1" x14ac:dyDescent="0.35">
      <c r="A165" s="7">
        <v>15</v>
      </c>
      <c r="B165" s="4" t="s">
        <v>266</v>
      </c>
      <c r="C165" s="4">
        <v>2022</v>
      </c>
      <c r="D165" s="4" t="s">
        <v>267</v>
      </c>
      <c r="E165" s="8" t="s">
        <v>268</v>
      </c>
      <c r="F165" s="5" t="s">
        <v>269</v>
      </c>
      <c r="G165" s="7" t="s">
        <v>86</v>
      </c>
      <c r="H165" s="9" t="s">
        <v>317</v>
      </c>
      <c r="I165" s="7">
        <v>43.988762999999999</v>
      </c>
      <c r="J165" s="7">
        <v>-77.713376999999994</v>
      </c>
      <c r="K165" s="7" t="s">
        <v>138</v>
      </c>
      <c r="L165" s="7" t="s">
        <v>28</v>
      </c>
      <c r="M165" s="7" t="s">
        <v>139</v>
      </c>
      <c r="N165" s="7" t="s">
        <v>271</v>
      </c>
      <c r="O165" s="7" t="s">
        <v>44</v>
      </c>
      <c r="P165" s="7" t="s">
        <v>141</v>
      </c>
      <c r="Q165" s="7" t="s">
        <v>31</v>
      </c>
    </row>
    <row r="166" spans="1:17" s="7" customFormat="1" x14ac:dyDescent="0.35">
      <c r="A166" s="7">
        <v>15</v>
      </c>
      <c r="B166" s="4" t="s">
        <v>266</v>
      </c>
      <c r="C166" s="4">
        <v>2022</v>
      </c>
      <c r="D166" s="4" t="s">
        <v>267</v>
      </c>
      <c r="E166" s="8" t="s">
        <v>268</v>
      </c>
      <c r="F166" s="5" t="s">
        <v>269</v>
      </c>
      <c r="G166" s="3" t="s">
        <v>274</v>
      </c>
      <c r="H166" s="9" t="s">
        <v>318</v>
      </c>
      <c r="I166" s="7">
        <v>43.278212000000003</v>
      </c>
      <c r="J166" s="7">
        <v>-78.987469000000004</v>
      </c>
      <c r="K166" s="7" t="s">
        <v>138</v>
      </c>
      <c r="L166" s="7" t="s">
        <v>28</v>
      </c>
      <c r="M166" s="7" t="s">
        <v>139</v>
      </c>
      <c r="N166" s="7" t="s">
        <v>271</v>
      </c>
      <c r="O166" s="7" t="s">
        <v>44</v>
      </c>
      <c r="P166" s="7" t="s">
        <v>141</v>
      </c>
      <c r="Q166" s="7" t="s">
        <v>31</v>
      </c>
    </row>
    <row r="167" spans="1:17" s="7" customFormat="1" x14ac:dyDescent="0.35">
      <c r="A167" s="7">
        <v>15</v>
      </c>
      <c r="B167" s="4" t="s">
        <v>266</v>
      </c>
      <c r="C167" s="4">
        <v>2022</v>
      </c>
      <c r="D167" s="4" t="s">
        <v>267</v>
      </c>
      <c r="E167" s="8" t="s">
        <v>268</v>
      </c>
      <c r="F167" s="5" t="s">
        <v>269</v>
      </c>
      <c r="G167" s="3" t="s">
        <v>274</v>
      </c>
      <c r="H167" s="9" t="s">
        <v>319</v>
      </c>
      <c r="I167" s="7">
        <v>43.261704000000002</v>
      </c>
      <c r="J167" s="7">
        <v>-77.603049999999996</v>
      </c>
      <c r="K167" s="7" t="s">
        <v>138</v>
      </c>
      <c r="L167" s="7" t="s">
        <v>28</v>
      </c>
      <c r="M167" s="7" t="s">
        <v>139</v>
      </c>
      <c r="N167" s="7" t="s">
        <v>271</v>
      </c>
      <c r="O167" s="7" t="s">
        <v>44</v>
      </c>
      <c r="P167" s="7" t="s">
        <v>141</v>
      </c>
      <c r="Q167" s="7" t="s">
        <v>31</v>
      </c>
    </row>
    <row r="168" spans="1:17" s="7" customFormat="1" x14ac:dyDescent="0.35">
      <c r="A168" s="7">
        <v>15</v>
      </c>
      <c r="B168" s="4" t="s">
        <v>266</v>
      </c>
      <c r="C168" s="4">
        <v>2022</v>
      </c>
      <c r="D168" s="4" t="s">
        <v>267</v>
      </c>
      <c r="E168" s="8" t="s">
        <v>268</v>
      </c>
      <c r="F168" s="5" t="s">
        <v>269</v>
      </c>
      <c r="G168" s="7" t="s">
        <v>86</v>
      </c>
      <c r="H168" s="3" t="s">
        <v>320</v>
      </c>
      <c r="I168" s="7" t="s">
        <v>246</v>
      </c>
      <c r="J168" s="7" t="s">
        <v>246</v>
      </c>
      <c r="K168" s="7" t="s">
        <v>138</v>
      </c>
      <c r="L168" s="7" t="s">
        <v>28</v>
      </c>
      <c r="M168" s="7" t="s">
        <v>139</v>
      </c>
      <c r="N168" s="7" t="s">
        <v>271</v>
      </c>
      <c r="O168" s="7" t="s">
        <v>44</v>
      </c>
      <c r="P168" s="7" t="s">
        <v>141</v>
      </c>
      <c r="Q168" s="7" t="s">
        <v>31</v>
      </c>
    </row>
    <row r="169" spans="1:17" s="7" customFormat="1" x14ac:dyDescent="0.35">
      <c r="A169" s="7">
        <v>15</v>
      </c>
      <c r="B169" s="4" t="s">
        <v>266</v>
      </c>
      <c r="C169" s="4">
        <v>2022</v>
      </c>
      <c r="D169" s="4" t="s">
        <v>267</v>
      </c>
      <c r="E169" s="8" t="s">
        <v>268</v>
      </c>
      <c r="F169" s="5" t="s">
        <v>269</v>
      </c>
      <c r="G169" s="7" t="s">
        <v>86</v>
      </c>
      <c r="H169" s="7" t="s">
        <v>321</v>
      </c>
      <c r="I169" s="7">
        <v>43.635879000000003</v>
      </c>
      <c r="J169" s="7">
        <v>-79.459928000000005</v>
      </c>
      <c r="K169" s="7" t="s">
        <v>138</v>
      </c>
      <c r="L169" s="7" t="s">
        <v>28</v>
      </c>
      <c r="M169" s="7" t="s">
        <v>139</v>
      </c>
      <c r="N169" s="7" t="s">
        <v>271</v>
      </c>
      <c r="O169" s="7" t="s">
        <v>44</v>
      </c>
      <c r="P169" s="7" t="s">
        <v>141</v>
      </c>
      <c r="Q169" s="7" t="s">
        <v>31</v>
      </c>
    </row>
    <row r="170" spans="1:17" s="7" customFormat="1" x14ac:dyDescent="0.35">
      <c r="A170" s="7">
        <v>15</v>
      </c>
      <c r="B170" s="4" t="s">
        <v>266</v>
      </c>
      <c r="C170" s="4">
        <v>2022</v>
      </c>
      <c r="D170" s="4" t="s">
        <v>267</v>
      </c>
      <c r="E170" s="8" t="s">
        <v>268</v>
      </c>
      <c r="F170" s="5" t="s">
        <v>269</v>
      </c>
      <c r="G170" s="7" t="s">
        <v>86</v>
      </c>
      <c r="H170" s="9" t="s">
        <v>322</v>
      </c>
      <c r="I170" s="7">
        <v>43.864058</v>
      </c>
      <c r="J170" s="7">
        <v>-78.820284999999998</v>
      </c>
      <c r="K170" s="7" t="s">
        <v>138</v>
      </c>
      <c r="L170" s="7" t="s">
        <v>28</v>
      </c>
      <c r="M170" s="7" t="s">
        <v>139</v>
      </c>
      <c r="N170" s="7" t="s">
        <v>271</v>
      </c>
      <c r="O170" s="7" t="s">
        <v>44</v>
      </c>
      <c r="P170" s="7" t="s">
        <v>141</v>
      </c>
      <c r="Q170" s="7" t="s">
        <v>31</v>
      </c>
    </row>
    <row r="171" spans="1:17" s="7" customFormat="1" x14ac:dyDescent="0.35">
      <c r="A171" s="7">
        <v>15</v>
      </c>
      <c r="B171" s="4" t="s">
        <v>266</v>
      </c>
      <c r="C171" s="4">
        <v>2022</v>
      </c>
      <c r="D171" s="4" t="s">
        <v>267</v>
      </c>
      <c r="E171" s="8" t="s">
        <v>268</v>
      </c>
      <c r="F171" s="5" t="s">
        <v>269</v>
      </c>
      <c r="G171" s="7" t="s">
        <v>86</v>
      </c>
      <c r="H171" s="7" t="s">
        <v>323</v>
      </c>
      <c r="I171" s="7">
        <v>48.833696000000003</v>
      </c>
      <c r="J171" s="7">
        <v>-87.517557999999994</v>
      </c>
      <c r="K171" s="7" t="s">
        <v>138</v>
      </c>
      <c r="L171" s="7" t="s">
        <v>28</v>
      </c>
      <c r="M171" s="7" t="s">
        <v>139</v>
      </c>
      <c r="N171" s="7" t="s">
        <v>271</v>
      </c>
      <c r="O171" s="7" t="s">
        <v>44</v>
      </c>
      <c r="P171" s="7" t="s">
        <v>141</v>
      </c>
      <c r="Q171" s="7" t="s">
        <v>31</v>
      </c>
    </row>
    <row r="172" spans="1:17" s="7" customFormat="1" x14ac:dyDescent="0.35">
      <c r="A172" s="7">
        <v>15</v>
      </c>
      <c r="B172" s="4" t="s">
        <v>266</v>
      </c>
      <c r="C172" s="4">
        <v>2022</v>
      </c>
      <c r="D172" s="4" t="s">
        <v>267</v>
      </c>
      <c r="E172" s="8" t="s">
        <v>268</v>
      </c>
      <c r="F172" s="5" t="s">
        <v>269</v>
      </c>
      <c r="G172" s="7" t="s">
        <v>86</v>
      </c>
      <c r="H172" s="7" t="s">
        <v>324</v>
      </c>
      <c r="I172" s="7">
        <v>47.441200000000002</v>
      </c>
      <c r="J172" s="7">
        <v>-84.749448000000001</v>
      </c>
      <c r="K172" s="7" t="s">
        <v>138</v>
      </c>
      <c r="L172" s="7" t="s">
        <v>28</v>
      </c>
      <c r="M172" s="7" t="s">
        <v>139</v>
      </c>
      <c r="N172" s="7" t="s">
        <v>271</v>
      </c>
      <c r="O172" s="7" t="s">
        <v>44</v>
      </c>
      <c r="P172" s="7" t="s">
        <v>141</v>
      </c>
      <c r="Q172" s="7" t="s">
        <v>31</v>
      </c>
    </row>
    <row r="173" spans="1:17" s="7" customFormat="1" x14ac:dyDescent="0.35">
      <c r="A173" s="7">
        <v>15</v>
      </c>
      <c r="B173" s="4" t="s">
        <v>266</v>
      </c>
      <c r="C173" s="4">
        <v>2022</v>
      </c>
      <c r="D173" s="4" t="s">
        <v>267</v>
      </c>
      <c r="E173" s="8" t="s">
        <v>268</v>
      </c>
      <c r="F173" s="5" t="s">
        <v>269</v>
      </c>
      <c r="G173" s="3" t="s">
        <v>274</v>
      </c>
      <c r="H173" s="9" t="s">
        <v>325</v>
      </c>
      <c r="I173" s="7">
        <v>46.415249000000003</v>
      </c>
      <c r="J173" s="7">
        <v>-84.570626000000004</v>
      </c>
      <c r="K173" s="7" t="s">
        <v>138</v>
      </c>
      <c r="L173" s="7" t="s">
        <v>28</v>
      </c>
      <c r="M173" s="7" t="s">
        <v>139</v>
      </c>
      <c r="N173" s="7" t="s">
        <v>271</v>
      </c>
      <c r="O173" s="7" t="s">
        <v>44</v>
      </c>
      <c r="P173" s="7" t="s">
        <v>141</v>
      </c>
      <c r="Q173" s="7" t="s">
        <v>31</v>
      </c>
    </row>
    <row r="174" spans="1:17" s="7" customFormat="1" x14ac:dyDescent="0.35">
      <c r="A174" s="7">
        <v>15</v>
      </c>
      <c r="B174" s="4" t="s">
        <v>266</v>
      </c>
      <c r="C174" s="4">
        <v>2022</v>
      </c>
      <c r="D174" s="4" t="s">
        <v>267</v>
      </c>
      <c r="E174" s="8" t="s">
        <v>268</v>
      </c>
      <c r="F174" s="5" t="s">
        <v>269</v>
      </c>
      <c r="G174" s="3" t="s">
        <v>274</v>
      </c>
      <c r="H174" s="9" t="s">
        <v>326</v>
      </c>
      <c r="I174" s="7">
        <v>46.416649999999997</v>
      </c>
      <c r="J174" s="7">
        <v>-86.647426999999993</v>
      </c>
      <c r="K174" s="7" t="s">
        <v>138</v>
      </c>
      <c r="L174" s="7" t="s">
        <v>28</v>
      </c>
      <c r="M174" s="7" t="s">
        <v>139</v>
      </c>
      <c r="N174" s="7" t="s">
        <v>271</v>
      </c>
      <c r="O174" s="7" t="s">
        <v>44</v>
      </c>
      <c r="P174" s="7" t="s">
        <v>141</v>
      </c>
      <c r="Q174" s="7" t="s">
        <v>31</v>
      </c>
    </row>
    <row r="175" spans="1:17" s="7" customFormat="1" x14ac:dyDescent="0.35">
      <c r="A175" s="7">
        <v>15</v>
      </c>
      <c r="B175" s="4" t="s">
        <v>266</v>
      </c>
      <c r="C175" s="4">
        <v>2022</v>
      </c>
      <c r="D175" s="4" t="s">
        <v>267</v>
      </c>
      <c r="E175" s="8" t="s">
        <v>268</v>
      </c>
      <c r="F175" s="5" t="s">
        <v>269</v>
      </c>
      <c r="G175" s="3" t="s">
        <v>274</v>
      </c>
      <c r="H175" s="7" t="s">
        <v>327</v>
      </c>
      <c r="I175" s="7">
        <v>46.471012999999999</v>
      </c>
      <c r="J175" s="7">
        <v>-84.462573000000006</v>
      </c>
      <c r="K175" s="7" t="s">
        <v>138</v>
      </c>
      <c r="L175" s="7" t="s">
        <v>28</v>
      </c>
      <c r="M175" s="7" t="s">
        <v>139</v>
      </c>
      <c r="N175" s="7" t="s">
        <v>271</v>
      </c>
      <c r="O175" s="7" t="s">
        <v>44</v>
      </c>
      <c r="P175" s="7" t="s">
        <v>141</v>
      </c>
      <c r="Q175" s="7" t="s">
        <v>31</v>
      </c>
    </row>
    <row r="176" spans="1:17" s="7" customFormat="1" x14ac:dyDescent="0.35">
      <c r="A176" s="7">
        <v>15</v>
      </c>
      <c r="B176" s="4" t="s">
        <v>266</v>
      </c>
      <c r="C176" s="4">
        <v>2022</v>
      </c>
      <c r="D176" s="4" t="s">
        <v>267</v>
      </c>
      <c r="E176" s="8" t="s">
        <v>268</v>
      </c>
      <c r="F176" s="5" t="s">
        <v>269</v>
      </c>
      <c r="G176" s="3" t="s">
        <v>274</v>
      </c>
      <c r="H176" s="3" t="s">
        <v>328</v>
      </c>
      <c r="I176" s="7">
        <v>46.864530999999999</v>
      </c>
      <c r="J176" s="7">
        <v>-88.364053999999996</v>
      </c>
      <c r="K176" s="7" t="s">
        <v>138</v>
      </c>
      <c r="L176" s="7" t="s">
        <v>28</v>
      </c>
      <c r="M176" s="7" t="s">
        <v>139</v>
      </c>
      <c r="N176" s="7" t="s">
        <v>271</v>
      </c>
      <c r="O176" s="7" t="s">
        <v>44</v>
      </c>
      <c r="P176" s="7" t="s">
        <v>141</v>
      </c>
      <c r="Q176" s="7" t="s">
        <v>31</v>
      </c>
    </row>
    <row r="177" spans="1:18" s="7" customFormat="1" x14ac:dyDescent="0.35">
      <c r="A177" s="7">
        <v>15</v>
      </c>
      <c r="B177" s="4" t="s">
        <v>266</v>
      </c>
      <c r="C177" s="4">
        <v>2022</v>
      </c>
      <c r="D177" s="4" t="s">
        <v>267</v>
      </c>
      <c r="E177" s="8" t="s">
        <v>268</v>
      </c>
      <c r="F177" s="5" t="s">
        <v>269</v>
      </c>
      <c r="G177" s="7" t="s">
        <v>86</v>
      </c>
      <c r="H177" s="3" t="s">
        <v>329</v>
      </c>
      <c r="I177" s="7">
        <v>47.931103</v>
      </c>
      <c r="J177" s="7">
        <v>-84.896705999999995</v>
      </c>
      <c r="K177" s="7" t="s">
        <v>138</v>
      </c>
      <c r="L177" s="7" t="s">
        <v>28</v>
      </c>
      <c r="M177" s="7" t="s">
        <v>139</v>
      </c>
      <c r="N177" s="7" t="s">
        <v>271</v>
      </c>
      <c r="O177" s="7" t="s">
        <v>44</v>
      </c>
      <c r="P177" s="7" t="s">
        <v>141</v>
      </c>
      <c r="Q177" s="7" t="s">
        <v>31</v>
      </c>
    </row>
    <row r="178" spans="1:18" s="7" customFormat="1" x14ac:dyDescent="0.35">
      <c r="A178" s="7">
        <v>15</v>
      </c>
      <c r="B178" s="4" t="s">
        <v>266</v>
      </c>
      <c r="C178" s="4">
        <v>2022</v>
      </c>
      <c r="D178" s="4" t="s">
        <v>267</v>
      </c>
      <c r="E178" s="8" t="s">
        <v>268</v>
      </c>
      <c r="F178" s="5" t="s">
        <v>269</v>
      </c>
      <c r="G178" s="3" t="s">
        <v>274</v>
      </c>
      <c r="H178" s="3" t="s">
        <v>330</v>
      </c>
      <c r="I178" s="7">
        <v>46.879444999999997</v>
      </c>
      <c r="J178" s="7">
        <v>-89.319040999999999</v>
      </c>
      <c r="K178" s="7" t="s">
        <v>138</v>
      </c>
      <c r="L178" s="7" t="s">
        <v>28</v>
      </c>
      <c r="M178" s="7" t="s">
        <v>139</v>
      </c>
      <c r="N178" s="7" t="s">
        <v>271</v>
      </c>
      <c r="O178" s="7" t="s">
        <v>44</v>
      </c>
      <c r="P178" s="7" t="s">
        <v>141</v>
      </c>
      <c r="Q178" s="7" t="s">
        <v>31</v>
      </c>
    </row>
    <row r="179" spans="1:18" s="7" customFormat="1" x14ac:dyDescent="0.35">
      <c r="A179" s="7">
        <v>15</v>
      </c>
      <c r="B179" s="4" t="s">
        <v>266</v>
      </c>
      <c r="C179" s="4">
        <v>2022</v>
      </c>
      <c r="D179" s="4" t="s">
        <v>267</v>
      </c>
      <c r="E179" s="8" t="s">
        <v>268</v>
      </c>
      <c r="F179" s="5" t="s">
        <v>269</v>
      </c>
      <c r="G179" s="3" t="s">
        <v>274</v>
      </c>
      <c r="H179" s="9" t="s">
        <v>331</v>
      </c>
      <c r="I179" s="7">
        <v>46.744911999999999</v>
      </c>
      <c r="J179" s="7">
        <v>-92.058916999999994</v>
      </c>
      <c r="K179" s="7" t="s">
        <v>138</v>
      </c>
      <c r="L179" s="7" t="s">
        <v>28</v>
      </c>
      <c r="M179" s="7" t="s">
        <v>139</v>
      </c>
      <c r="N179" s="7" t="s">
        <v>271</v>
      </c>
      <c r="O179" s="7" t="s">
        <v>44</v>
      </c>
      <c r="P179" s="7" t="s">
        <v>141</v>
      </c>
      <c r="Q179" s="7" t="s">
        <v>31</v>
      </c>
    </row>
    <row r="180" spans="1:18" s="7" customFormat="1" x14ac:dyDescent="0.35">
      <c r="A180" s="7">
        <v>15</v>
      </c>
      <c r="B180" s="4" t="s">
        <v>266</v>
      </c>
      <c r="C180" s="4">
        <v>2022</v>
      </c>
      <c r="D180" s="4" t="s">
        <v>267</v>
      </c>
      <c r="E180" s="8" t="s">
        <v>268</v>
      </c>
      <c r="F180" s="5" t="s">
        <v>269</v>
      </c>
      <c r="G180" s="3" t="s">
        <v>274</v>
      </c>
      <c r="H180" s="3" t="s">
        <v>332</v>
      </c>
      <c r="I180" s="7">
        <v>47.747363999999997</v>
      </c>
      <c r="J180" s="7">
        <v>-90.337182999999996</v>
      </c>
      <c r="K180" s="7" t="s">
        <v>138</v>
      </c>
      <c r="L180" s="7" t="s">
        <v>28</v>
      </c>
      <c r="M180" s="7" t="s">
        <v>139</v>
      </c>
      <c r="N180" s="7" t="s">
        <v>271</v>
      </c>
      <c r="O180" s="7" t="s">
        <v>44</v>
      </c>
      <c r="P180" s="7" t="s">
        <v>141</v>
      </c>
      <c r="Q180" s="7" t="s">
        <v>31</v>
      </c>
    </row>
    <row r="181" spans="1:18" s="7" customFormat="1" x14ac:dyDescent="0.35">
      <c r="A181" s="7">
        <v>15</v>
      </c>
      <c r="B181" s="4" t="s">
        <v>266</v>
      </c>
      <c r="C181" s="4">
        <v>2022</v>
      </c>
      <c r="D181" s="4" t="s">
        <v>267</v>
      </c>
      <c r="E181" s="8" t="s">
        <v>268</v>
      </c>
      <c r="F181" s="5" t="s">
        <v>269</v>
      </c>
      <c r="G181" s="7" t="s">
        <v>86</v>
      </c>
      <c r="H181" s="7" t="s">
        <v>333</v>
      </c>
      <c r="I181" s="7">
        <v>48.504961000000002</v>
      </c>
      <c r="J181" s="7">
        <v>-88.865020999999999</v>
      </c>
      <c r="K181" s="7" t="s">
        <v>138</v>
      </c>
      <c r="L181" s="7" t="s">
        <v>28</v>
      </c>
      <c r="M181" s="7" t="s">
        <v>139</v>
      </c>
      <c r="N181" s="7" t="s">
        <v>271</v>
      </c>
      <c r="O181" s="7" t="s">
        <v>44</v>
      </c>
      <c r="P181" s="7" t="s">
        <v>141</v>
      </c>
      <c r="Q181" s="7" t="s">
        <v>31</v>
      </c>
    </row>
    <row r="182" spans="1:18" s="7" customFormat="1" x14ac:dyDescent="0.35">
      <c r="A182" s="7">
        <v>15</v>
      </c>
      <c r="B182" s="4" t="s">
        <v>266</v>
      </c>
      <c r="C182" s="4">
        <v>2022</v>
      </c>
      <c r="D182" s="4" t="s">
        <v>267</v>
      </c>
      <c r="E182" s="8" t="s">
        <v>268</v>
      </c>
      <c r="F182" s="5" t="s">
        <v>269</v>
      </c>
      <c r="G182" s="3" t="s">
        <v>274</v>
      </c>
      <c r="H182" s="7" t="s">
        <v>334</v>
      </c>
      <c r="I182" s="7">
        <v>46.665064999999998</v>
      </c>
      <c r="J182" s="7">
        <v>-86.057647000000003</v>
      </c>
      <c r="K182" s="7" t="s">
        <v>138</v>
      </c>
      <c r="L182" s="7" t="s">
        <v>28</v>
      </c>
      <c r="M182" s="7" t="s">
        <v>139</v>
      </c>
      <c r="N182" s="7" t="s">
        <v>271</v>
      </c>
      <c r="O182" s="7" t="s">
        <v>44</v>
      </c>
      <c r="P182" s="7" t="s">
        <v>141</v>
      </c>
      <c r="Q182" s="7" t="s">
        <v>31</v>
      </c>
    </row>
    <row r="183" spans="1:18" s="7" customFormat="1" x14ac:dyDescent="0.35">
      <c r="A183" s="7">
        <v>15</v>
      </c>
      <c r="B183" s="4" t="s">
        <v>266</v>
      </c>
      <c r="C183" s="4">
        <v>2022</v>
      </c>
      <c r="D183" s="4" t="s">
        <v>267</v>
      </c>
      <c r="E183" s="8" t="s">
        <v>268</v>
      </c>
      <c r="F183" s="5" t="s">
        <v>269</v>
      </c>
      <c r="G183" s="7" t="s">
        <v>86</v>
      </c>
      <c r="H183" s="7" t="s">
        <v>335</v>
      </c>
      <c r="I183" s="7">
        <v>46.925668999999999</v>
      </c>
      <c r="J183" s="7">
        <v>-84.601018999999994</v>
      </c>
      <c r="K183" s="7" t="s">
        <v>138</v>
      </c>
      <c r="L183" s="7" t="s">
        <v>28</v>
      </c>
      <c r="M183" s="7" t="s">
        <v>139</v>
      </c>
      <c r="N183" s="7" t="s">
        <v>271</v>
      </c>
      <c r="O183" s="7" t="s">
        <v>44</v>
      </c>
      <c r="P183" s="7" t="s">
        <v>141</v>
      </c>
      <c r="Q183" s="7" t="s">
        <v>31</v>
      </c>
    </row>
    <row r="184" spans="1:18" s="7" customFormat="1" x14ac:dyDescent="0.35">
      <c r="A184" s="7">
        <v>15</v>
      </c>
      <c r="B184" s="4" t="s">
        <v>266</v>
      </c>
      <c r="C184" s="4">
        <v>2022</v>
      </c>
      <c r="D184" s="4" t="s">
        <v>267</v>
      </c>
      <c r="E184" s="8" t="s">
        <v>268</v>
      </c>
      <c r="F184" s="5" t="s">
        <v>269</v>
      </c>
      <c r="G184" s="3" t="s">
        <v>274</v>
      </c>
      <c r="H184" s="7" t="s">
        <v>336</v>
      </c>
      <c r="I184" s="7">
        <v>46.564995000000003</v>
      </c>
      <c r="J184" s="7">
        <v>-87.386804999999995</v>
      </c>
      <c r="K184" s="7" t="s">
        <v>138</v>
      </c>
      <c r="L184" s="7" t="s">
        <v>28</v>
      </c>
      <c r="M184" s="7" t="s">
        <v>139</v>
      </c>
      <c r="N184" s="7" t="s">
        <v>271</v>
      </c>
      <c r="O184" s="7" t="s">
        <v>44</v>
      </c>
      <c r="P184" s="7" t="s">
        <v>141</v>
      </c>
      <c r="Q184" s="7" t="s">
        <v>31</v>
      </c>
    </row>
    <row r="185" spans="1:18" s="7" customFormat="1" x14ac:dyDescent="0.35">
      <c r="A185" s="7">
        <v>15</v>
      </c>
      <c r="B185" s="4" t="s">
        <v>266</v>
      </c>
      <c r="C185" s="4">
        <v>2022</v>
      </c>
      <c r="D185" s="4" t="s">
        <v>267</v>
      </c>
      <c r="E185" s="8" t="s">
        <v>268</v>
      </c>
      <c r="F185" s="5" t="s">
        <v>269</v>
      </c>
      <c r="G185" s="3" t="s">
        <v>274</v>
      </c>
      <c r="H185" s="7" t="s">
        <v>337</v>
      </c>
      <c r="I185" s="7">
        <v>47.549489999999999</v>
      </c>
      <c r="J185" s="7">
        <v>-90.864504999999994</v>
      </c>
      <c r="K185" s="7" t="s">
        <v>138</v>
      </c>
      <c r="L185" s="7" t="s">
        <v>28</v>
      </c>
      <c r="M185" s="7" t="s">
        <v>139</v>
      </c>
      <c r="N185" s="7" t="s">
        <v>271</v>
      </c>
      <c r="O185" s="7" t="s">
        <v>44</v>
      </c>
      <c r="P185" s="7" t="s">
        <v>141</v>
      </c>
      <c r="Q185" s="7" t="s">
        <v>31</v>
      </c>
    </row>
    <row r="186" spans="1:18" s="7" customFormat="1" x14ac:dyDescent="0.35">
      <c r="A186" s="7">
        <v>15</v>
      </c>
      <c r="B186" s="4" t="s">
        <v>266</v>
      </c>
      <c r="C186" s="4">
        <v>2022</v>
      </c>
      <c r="D186" s="4" t="s">
        <v>267</v>
      </c>
      <c r="E186" s="8" t="s">
        <v>268</v>
      </c>
      <c r="F186" s="5" t="s">
        <v>269</v>
      </c>
      <c r="G186" s="7" t="s">
        <v>86</v>
      </c>
      <c r="H186" s="7" t="s">
        <v>338</v>
      </c>
      <c r="I186" s="7">
        <v>47.990954000000002</v>
      </c>
      <c r="J186" s="7">
        <v>-89.624223999999998</v>
      </c>
      <c r="K186" s="7" t="s">
        <v>138</v>
      </c>
      <c r="L186" s="7" t="s">
        <v>28</v>
      </c>
      <c r="M186" s="7" t="s">
        <v>139</v>
      </c>
      <c r="N186" s="7" t="s">
        <v>271</v>
      </c>
      <c r="O186" s="7" t="s">
        <v>44</v>
      </c>
      <c r="P186" s="7" t="s">
        <v>141</v>
      </c>
      <c r="Q186" s="7" t="s">
        <v>31</v>
      </c>
    </row>
    <row r="187" spans="1:18" s="7" customFormat="1" x14ac:dyDescent="0.35">
      <c r="A187" s="7">
        <v>15</v>
      </c>
      <c r="B187" s="4" t="s">
        <v>266</v>
      </c>
      <c r="C187" s="4">
        <v>2022</v>
      </c>
      <c r="D187" s="4" t="s">
        <v>267</v>
      </c>
      <c r="E187" s="8" t="s">
        <v>268</v>
      </c>
      <c r="F187" s="5" t="s">
        <v>269</v>
      </c>
      <c r="G187" s="3" t="s">
        <v>274</v>
      </c>
      <c r="H187" s="7" t="s">
        <v>339</v>
      </c>
      <c r="I187" s="7">
        <v>47.106681000000002</v>
      </c>
      <c r="J187" s="7">
        <v>-88.505419000000003</v>
      </c>
      <c r="K187" s="7" t="s">
        <v>138</v>
      </c>
      <c r="L187" s="7" t="s">
        <v>28</v>
      </c>
      <c r="M187" s="7" t="s">
        <v>139</v>
      </c>
      <c r="N187" s="7" t="s">
        <v>271</v>
      </c>
      <c r="O187" s="7" t="s">
        <v>44</v>
      </c>
      <c r="P187" s="7" t="s">
        <v>141</v>
      </c>
      <c r="Q187" s="7" t="s">
        <v>31</v>
      </c>
    </row>
    <row r="188" spans="1:18" s="7" customFormat="1" x14ac:dyDescent="0.35">
      <c r="A188" s="7">
        <v>15</v>
      </c>
      <c r="B188" s="4" t="s">
        <v>266</v>
      </c>
      <c r="C188" s="4">
        <v>2022</v>
      </c>
      <c r="D188" s="4" t="s">
        <v>267</v>
      </c>
      <c r="E188" s="8" t="s">
        <v>268</v>
      </c>
      <c r="F188" s="5" t="s">
        <v>269</v>
      </c>
      <c r="G188" s="7" t="s">
        <v>86</v>
      </c>
      <c r="H188" s="7" t="s">
        <v>340</v>
      </c>
      <c r="I188" s="7">
        <v>48.705826999999999</v>
      </c>
      <c r="J188" s="7">
        <v>-86.393902999999995</v>
      </c>
      <c r="K188" s="7" t="s">
        <v>138</v>
      </c>
      <c r="L188" s="7" t="s">
        <v>28</v>
      </c>
      <c r="M188" s="7" t="s">
        <v>139</v>
      </c>
      <c r="N188" s="7" t="s">
        <v>271</v>
      </c>
      <c r="O188" s="7" t="s">
        <v>44</v>
      </c>
      <c r="P188" s="7" t="s">
        <v>141</v>
      </c>
      <c r="Q188" s="7" t="s">
        <v>31</v>
      </c>
    </row>
    <row r="189" spans="1:18" s="7" customFormat="1" x14ac:dyDescent="0.35">
      <c r="A189" s="7">
        <v>16</v>
      </c>
      <c r="B189" s="7" t="s">
        <v>341</v>
      </c>
      <c r="C189" s="7">
        <v>2020</v>
      </c>
      <c r="D189" s="7" t="s">
        <v>178</v>
      </c>
      <c r="E189" s="7" t="s">
        <v>342</v>
      </c>
      <c r="F189" s="7" t="s">
        <v>343</v>
      </c>
      <c r="G189" s="7" t="s">
        <v>86</v>
      </c>
      <c r="H189" s="7" t="s">
        <v>344</v>
      </c>
      <c r="I189" s="7">
        <v>43.483263000000001</v>
      </c>
      <c r="J189" s="10">
        <v>-81.190910000000002</v>
      </c>
      <c r="K189" s="7" t="s">
        <v>103</v>
      </c>
      <c r="L189" s="7" t="s">
        <v>223</v>
      </c>
      <c r="M189" s="7" t="s">
        <v>345</v>
      </c>
      <c r="N189" s="7">
        <v>4382</v>
      </c>
      <c r="O189" s="7" t="s">
        <v>31</v>
      </c>
      <c r="P189" s="7">
        <f t="shared" ref="P189:P220" si="1">N189</f>
        <v>4382</v>
      </c>
      <c r="Q189" s="7" t="s">
        <v>31</v>
      </c>
      <c r="R189" s="7" t="s">
        <v>347</v>
      </c>
    </row>
    <row r="190" spans="1:18" s="7" customFormat="1" x14ac:dyDescent="0.35">
      <c r="A190" s="7">
        <v>16</v>
      </c>
      <c r="B190" s="7" t="s">
        <v>341</v>
      </c>
      <c r="C190" s="7">
        <v>2020</v>
      </c>
      <c r="D190" s="7" t="s">
        <v>178</v>
      </c>
      <c r="E190" s="7" t="s">
        <v>342</v>
      </c>
      <c r="F190" s="7" t="s">
        <v>343</v>
      </c>
      <c r="G190" s="7" t="s">
        <v>86</v>
      </c>
      <c r="H190" s="7" t="s">
        <v>348</v>
      </c>
      <c r="I190" s="7">
        <v>43.462809999999998</v>
      </c>
      <c r="J190" s="10">
        <v>-81.202703</v>
      </c>
      <c r="K190" s="7" t="s">
        <v>103</v>
      </c>
      <c r="L190" s="7" t="s">
        <v>223</v>
      </c>
      <c r="M190" s="7" t="s">
        <v>345</v>
      </c>
      <c r="N190" s="7">
        <v>4382</v>
      </c>
      <c r="O190" s="7" t="s">
        <v>31</v>
      </c>
      <c r="P190" s="7">
        <f t="shared" si="1"/>
        <v>4382</v>
      </c>
      <c r="Q190" s="7" t="s">
        <v>31</v>
      </c>
      <c r="R190" s="7" t="s">
        <v>347</v>
      </c>
    </row>
    <row r="191" spans="1:18" s="7" customFormat="1" x14ac:dyDescent="0.35">
      <c r="A191" s="7">
        <v>16</v>
      </c>
      <c r="B191" s="7" t="s">
        <v>341</v>
      </c>
      <c r="C191" s="7">
        <v>2020</v>
      </c>
      <c r="D191" s="7" t="s">
        <v>178</v>
      </c>
      <c r="E191" s="7" t="s">
        <v>342</v>
      </c>
      <c r="F191" s="7" t="s">
        <v>343</v>
      </c>
      <c r="G191" s="7" t="s">
        <v>86</v>
      </c>
      <c r="H191" s="7" t="s">
        <v>349</v>
      </c>
      <c r="I191" s="7">
        <v>43.450996000000004</v>
      </c>
      <c r="J191" s="10">
        <v>-81.206593999999996</v>
      </c>
      <c r="K191" s="7" t="s">
        <v>103</v>
      </c>
      <c r="L191" s="7" t="s">
        <v>223</v>
      </c>
      <c r="M191" s="7" t="s">
        <v>345</v>
      </c>
      <c r="N191" s="7">
        <v>4382</v>
      </c>
      <c r="O191" s="7" t="s">
        <v>31</v>
      </c>
      <c r="P191" s="7">
        <f t="shared" si="1"/>
        <v>4382</v>
      </c>
      <c r="Q191" s="7" t="s">
        <v>31</v>
      </c>
      <c r="R191" s="7" t="s">
        <v>347</v>
      </c>
    </row>
    <row r="192" spans="1:18" s="7" customFormat="1" x14ac:dyDescent="0.35">
      <c r="A192" s="7">
        <v>16</v>
      </c>
      <c r="B192" s="7" t="s">
        <v>341</v>
      </c>
      <c r="C192" s="7">
        <v>2020</v>
      </c>
      <c r="D192" s="7" t="s">
        <v>178</v>
      </c>
      <c r="E192" s="7" t="s">
        <v>342</v>
      </c>
      <c r="F192" s="7" t="s">
        <v>343</v>
      </c>
      <c r="G192" s="7" t="s">
        <v>86</v>
      </c>
      <c r="H192" s="7" t="s">
        <v>350</v>
      </c>
      <c r="I192" s="7">
        <v>42.374299999999998</v>
      </c>
      <c r="J192" s="10">
        <v>-82.278872000000007</v>
      </c>
      <c r="K192" s="7" t="s">
        <v>103</v>
      </c>
      <c r="L192" s="7" t="s">
        <v>223</v>
      </c>
      <c r="M192" s="7" t="s">
        <v>345</v>
      </c>
      <c r="N192" s="7">
        <v>4382</v>
      </c>
      <c r="O192" s="7" t="s">
        <v>31</v>
      </c>
      <c r="P192" s="7">
        <f t="shared" si="1"/>
        <v>4382</v>
      </c>
      <c r="Q192" s="7" t="s">
        <v>31</v>
      </c>
      <c r="R192" s="7" t="s">
        <v>347</v>
      </c>
    </row>
    <row r="193" spans="1:18" s="7" customFormat="1" x14ac:dyDescent="0.35">
      <c r="A193" s="7">
        <v>16</v>
      </c>
      <c r="B193" s="7" t="s">
        <v>341</v>
      </c>
      <c r="C193" s="7">
        <v>2020</v>
      </c>
      <c r="D193" s="7" t="s">
        <v>178</v>
      </c>
      <c r="E193" s="7" t="s">
        <v>342</v>
      </c>
      <c r="F193" s="7" t="s">
        <v>343</v>
      </c>
      <c r="G193" s="7" t="s">
        <v>86</v>
      </c>
      <c r="H193" s="7" t="s">
        <v>351</v>
      </c>
      <c r="I193" s="7">
        <v>42.393312000000002</v>
      </c>
      <c r="J193" s="10">
        <v>-82.210854999999995</v>
      </c>
      <c r="K193" s="7" t="s">
        <v>103</v>
      </c>
      <c r="L193" s="7" t="s">
        <v>223</v>
      </c>
      <c r="M193" s="7" t="s">
        <v>345</v>
      </c>
      <c r="N193" s="7">
        <v>4382</v>
      </c>
      <c r="O193" s="7" t="s">
        <v>31</v>
      </c>
      <c r="P193" s="7">
        <f t="shared" si="1"/>
        <v>4382</v>
      </c>
      <c r="Q193" s="7" t="s">
        <v>31</v>
      </c>
      <c r="R193" s="7" t="s">
        <v>347</v>
      </c>
    </row>
    <row r="194" spans="1:18" s="7" customFormat="1" x14ac:dyDescent="0.35">
      <c r="A194" s="7">
        <v>16</v>
      </c>
      <c r="B194" s="7" t="s">
        <v>341</v>
      </c>
      <c r="C194" s="7">
        <v>2020</v>
      </c>
      <c r="D194" s="7" t="s">
        <v>178</v>
      </c>
      <c r="E194" s="7" t="s">
        <v>342</v>
      </c>
      <c r="F194" s="7" t="s">
        <v>343</v>
      </c>
      <c r="G194" s="7" t="s">
        <v>86</v>
      </c>
      <c r="H194" s="7" t="s">
        <v>352</v>
      </c>
      <c r="I194" s="7">
        <v>42.977558999999999</v>
      </c>
      <c r="J194" s="10">
        <v>-81.276173999999997</v>
      </c>
      <c r="K194" s="7" t="s">
        <v>103</v>
      </c>
      <c r="L194" s="7" t="s">
        <v>223</v>
      </c>
      <c r="M194" s="7" t="s">
        <v>345</v>
      </c>
      <c r="N194" s="7">
        <v>4382</v>
      </c>
      <c r="O194" s="7" t="s">
        <v>31</v>
      </c>
      <c r="P194" s="7">
        <f t="shared" si="1"/>
        <v>4382</v>
      </c>
      <c r="Q194" s="7" t="s">
        <v>31</v>
      </c>
      <c r="R194" s="7" t="s">
        <v>347</v>
      </c>
    </row>
    <row r="195" spans="1:18" s="7" customFormat="1" x14ac:dyDescent="0.35">
      <c r="A195" s="7">
        <v>16</v>
      </c>
      <c r="B195" s="7" t="s">
        <v>341</v>
      </c>
      <c r="C195" s="7">
        <v>2020</v>
      </c>
      <c r="D195" s="7" t="s">
        <v>178</v>
      </c>
      <c r="E195" s="7" t="s">
        <v>342</v>
      </c>
      <c r="F195" s="7" t="s">
        <v>343</v>
      </c>
      <c r="G195" s="7" t="s">
        <v>86</v>
      </c>
      <c r="H195" s="7" t="s">
        <v>353</v>
      </c>
      <c r="I195" s="7">
        <v>43.153412000000003</v>
      </c>
      <c r="J195" s="10">
        <v>-80.748754000000005</v>
      </c>
      <c r="K195" s="7" t="s">
        <v>103</v>
      </c>
      <c r="L195" s="7" t="s">
        <v>223</v>
      </c>
      <c r="M195" s="7" t="s">
        <v>345</v>
      </c>
      <c r="N195" s="7">
        <v>4382</v>
      </c>
      <c r="O195" s="7" t="s">
        <v>31</v>
      </c>
      <c r="P195" s="7">
        <f t="shared" si="1"/>
        <v>4382</v>
      </c>
      <c r="Q195" s="7" t="s">
        <v>31</v>
      </c>
      <c r="R195" s="7" t="s">
        <v>347</v>
      </c>
    </row>
    <row r="196" spans="1:18" s="7" customFormat="1" x14ac:dyDescent="0.35">
      <c r="A196" s="7">
        <v>16</v>
      </c>
      <c r="B196" s="7" t="s">
        <v>341</v>
      </c>
      <c r="C196" s="7">
        <v>2020</v>
      </c>
      <c r="D196" s="7" t="s">
        <v>178</v>
      </c>
      <c r="E196" s="7" t="s">
        <v>342</v>
      </c>
      <c r="F196" s="7" t="s">
        <v>343</v>
      </c>
      <c r="G196" s="7" t="s">
        <v>86</v>
      </c>
      <c r="H196" s="7" t="s">
        <v>354</v>
      </c>
      <c r="I196" s="7">
        <v>43.111448000000003</v>
      </c>
      <c r="J196" s="10">
        <v>-80.796115</v>
      </c>
      <c r="K196" s="7" t="s">
        <v>103</v>
      </c>
      <c r="L196" s="7" t="s">
        <v>223</v>
      </c>
      <c r="M196" s="7" t="s">
        <v>345</v>
      </c>
      <c r="N196" s="7">
        <v>4382</v>
      </c>
      <c r="O196" s="7" t="s">
        <v>31</v>
      </c>
      <c r="P196" s="7">
        <f t="shared" si="1"/>
        <v>4382</v>
      </c>
      <c r="Q196" s="7" t="s">
        <v>31</v>
      </c>
      <c r="R196" s="7" t="s">
        <v>347</v>
      </c>
    </row>
    <row r="197" spans="1:18" s="7" customFormat="1" x14ac:dyDescent="0.35">
      <c r="A197" s="7">
        <v>16</v>
      </c>
      <c r="B197" s="7" t="s">
        <v>341</v>
      </c>
      <c r="C197" s="7">
        <v>2020</v>
      </c>
      <c r="D197" s="7" t="s">
        <v>178</v>
      </c>
      <c r="E197" s="7" t="s">
        <v>342</v>
      </c>
      <c r="F197" s="7" t="s">
        <v>343</v>
      </c>
      <c r="G197" s="7" t="s">
        <v>86</v>
      </c>
      <c r="H197" s="7" t="s">
        <v>355</v>
      </c>
      <c r="I197" s="7">
        <v>43.120449000000001</v>
      </c>
      <c r="J197" s="10">
        <v>-80.750353000000004</v>
      </c>
      <c r="K197" s="7" t="s">
        <v>103</v>
      </c>
      <c r="L197" s="7" t="s">
        <v>223</v>
      </c>
      <c r="M197" s="7" t="s">
        <v>345</v>
      </c>
      <c r="N197" s="7">
        <v>4382</v>
      </c>
      <c r="O197" s="7" t="s">
        <v>31</v>
      </c>
      <c r="P197" s="7">
        <f t="shared" si="1"/>
        <v>4382</v>
      </c>
      <c r="Q197" s="7" t="s">
        <v>31</v>
      </c>
      <c r="R197" s="7" t="s">
        <v>347</v>
      </c>
    </row>
    <row r="198" spans="1:18" s="7" customFormat="1" x14ac:dyDescent="0.35">
      <c r="A198" s="7">
        <v>16</v>
      </c>
      <c r="B198" s="7" t="s">
        <v>341</v>
      </c>
      <c r="C198" s="7">
        <v>2020</v>
      </c>
      <c r="D198" s="7" t="s">
        <v>178</v>
      </c>
      <c r="E198" s="7" t="s">
        <v>342</v>
      </c>
      <c r="F198" s="7" t="s">
        <v>343</v>
      </c>
      <c r="G198" s="7" t="s">
        <v>86</v>
      </c>
      <c r="H198" s="7" t="s">
        <v>356</v>
      </c>
      <c r="I198" s="7">
        <v>43.063138000000002</v>
      </c>
      <c r="J198" s="10">
        <v>-80.854614999999995</v>
      </c>
      <c r="K198" s="7" t="s">
        <v>103</v>
      </c>
      <c r="L198" s="7" t="s">
        <v>223</v>
      </c>
      <c r="M198" s="7" t="s">
        <v>345</v>
      </c>
      <c r="N198" s="7">
        <v>4382</v>
      </c>
      <c r="O198" s="7" t="s">
        <v>31</v>
      </c>
      <c r="P198" s="7">
        <f t="shared" si="1"/>
        <v>4382</v>
      </c>
      <c r="Q198" s="7" t="s">
        <v>31</v>
      </c>
      <c r="R198" s="7" t="s">
        <v>347</v>
      </c>
    </row>
    <row r="199" spans="1:18" s="7" customFormat="1" x14ac:dyDescent="0.35">
      <c r="A199" s="7">
        <v>16</v>
      </c>
      <c r="B199" s="7" t="s">
        <v>341</v>
      </c>
      <c r="C199" s="7">
        <v>2020</v>
      </c>
      <c r="D199" s="7" t="s">
        <v>178</v>
      </c>
      <c r="E199" s="7" t="s">
        <v>342</v>
      </c>
      <c r="F199" s="7" t="s">
        <v>343</v>
      </c>
      <c r="G199" s="7" t="s">
        <v>86</v>
      </c>
      <c r="H199" s="7" t="s">
        <v>357</v>
      </c>
      <c r="I199" s="7">
        <v>43.025058999999999</v>
      </c>
      <c r="J199" s="10">
        <v>-80.914713000000006</v>
      </c>
      <c r="K199" s="7" t="s">
        <v>103</v>
      </c>
      <c r="L199" s="7" t="s">
        <v>223</v>
      </c>
      <c r="M199" s="7" t="s">
        <v>345</v>
      </c>
      <c r="N199" s="7">
        <v>4382</v>
      </c>
      <c r="O199" s="7" t="s">
        <v>31</v>
      </c>
      <c r="P199" s="7">
        <f t="shared" si="1"/>
        <v>4382</v>
      </c>
      <c r="Q199" s="7" t="s">
        <v>31</v>
      </c>
      <c r="R199" s="7" t="s">
        <v>347</v>
      </c>
    </row>
    <row r="200" spans="1:18" s="7" customFormat="1" x14ac:dyDescent="0.35">
      <c r="A200" s="7">
        <v>16</v>
      </c>
      <c r="B200" s="7" t="s">
        <v>341</v>
      </c>
      <c r="C200" s="7">
        <v>2020</v>
      </c>
      <c r="D200" s="7" t="s">
        <v>178</v>
      </c>
      <c r="E200" s="7" t="s">
        <v>342</v>
      </c>
      <c r="F200" s="7" t="s">
        <v>343</v>
      </c>
      <c r="G200" s="7" t="s">
        <v>86</v>
      </c>
      <c r="H200" s="7" t="s">
        <v>358</v>
      </c>
      <c r="I200" s="7">
        <v>43.061110999999997</v>
      </c>
      <c r="J200" s="10">
        <v>-80.996205000000003</v>
      </c>
      <c r="K200" s="7" t="s">
        <v>103</v>
      </c>
      <c r="L200" s="7" t="s">
        <v>223</v>
      </c>
      <c r="M200" s="7" t="s">
        <v>345</v>
      </c>
      <c r="N200" s="7">
        <v>4382</v>
      </c>
      <c r="O200" s="7" t="s">
        <v>31</v>
      </c>
      <c r="P200" s="7">
        <f t="shared" si="1"/>
        <v>4382</v>
      </c>
      <c r="Q200" s="7" t="s">
        <v>31</v>
      </c>
      <c r="R200" s="7" t="s">
        <v>347</v>
      </c>
    </row>
    <row r="201" spans="1:18" s="7" customFormat="1" x14ac:dyDescent="0.35">
      <c r="A201" s="7">
        <v>16</v>
      </c>
      <c r="B201" s="7" t="s">
        <v>341</v>
      </c>
      <c r="C201" s="7">
        <v>2020</v>
      </c>
      <c r="D201" s="7" t="s">
        <v>178</v>
      </c>
      <c r="E201" s="7" t="s">
        <v>342</v>
      </c>
      <c r="F201" s="7" t="s">
        <v>343</v>
      </c>
      <c r="G201" s="7" t="s">
        <v>86</v>
      </c>
      <c r="H201" s="7" t="s">
        <v>359</v>
      </c>
      <c r="I201" s="7">
        <v>42.991491000000003</v>
      </c>
      <c r="J201" s="10">
        <v>-80.954795000000004</v>
      </c>
      <c r="K201" s="7" t="s">
        <v>103</v>
      </c>
      <c r="L201" s="7" t="s">
        <v>223</v>
      </c>
      <c r="M201" s="7" t="s">
        <v>345</v>
      </c>
      <c r="N201" s="7">
        <v>4382</v>
      </c>
      <c r="O201" s="7" t="s">
        <v>31</v>
      </c>
      <c r="P201" s="7">
        <f t="shared" si="1"/>
        <v>4382</v>
      </c>
      <c r="Q201" s="7" t="s">
        <v>31</v>
      </c>
      <c r="R201" s="7" t="s">
        <v>347</v>
      </c>
    </row>
    <row r="202" spans="1:18" s="7" customFormat="1" x14ac:dyDescent="0.35">
      <c r="A202" s="7">
        <v>16</v>
      </c>
      <c r="B202" s="7" t="s">
        <v>341</v>
      </c>
      <c r="C202" s="7">
        <v>2020</v>
      </c>
      <c r="D202" s="7" t="s">
        <v>178</v>
      </c>
      <c r="E202" s="7" t="s">
        <v>342</v>
      </c>
      <c r="F202" s="7" t="s">
        <v>343</v>
      </c>
      <c r="G202" s="7" t="s">
        <v>86</v>
      </c>
      <c r="H202" s="7" t="s">
        <v>360</v>
      </c>
      <c r="I202" s="7">
        <v>43.317821000000002</v>
      </c>
      <c r="J202" s="10">
        <v>-81.231727000000006</v>
      </c>
      <c r="K202" s="7" t="s">
        <v>103</v>
      </c>
      <c r="L202" s="7" t="s">
        <v>223</v>
      </c>
      <c r="M202" s="7" t="s">
        <v>345</v>
      </c>
      <c r="N202" s="7">
        <v>4382</v>
      </c>
      <c r="O202" s="7" t="s">
        <v>31</v>
      </c>
      <c r="P202" s="7">
        <f t="shared" si="1"/>
        <v>4382</v>
      </c>
      <c r="Q202" s="7" t="s">
        <v>31</v>
      </c>
      <c r="R202" s="7" t="s">
        <v>347</v>
      </c>
    </row>
    <row r="203" spans="1:18" s="7" customFormat="1" x14ac:dyDescent="0.35">
      <c r="A203" s="7">
        <v>16</v>
      </c>
      <c r="B203" s="7" t="s">
        <v>341</v>
      </c>
      <c r="C203" s="7">
        <v>2020</v>
      </c>
      <c r="D203" s="7" t="s">
        <v>178</v>
      </c>
      <c r="E203" s="7" t="s">
        <v>342</v>
      </c>
      <c r="F203" s="7" t="s">
        <v>343</v>
      </c>
      <c r="G203" s="7" t="s">
        <v>86</v>
      </c>
      <c r="H203" s="7" t="s">
        <v>361</v>
      </c>
      <c r="I203" s="7">
        <v>43.268331000000003</v>
      </c>
      <c r="J203" s="10">
        <v>-81.169905</v>
      </c>
      <c r="K203" s="7" t="s">
        <v>103</v>
      </c>
      <c r="L203" s="7" t="s">
        <v>223</v>
      </c>
      <c r="M203" s="7" t="s">
        <v>345</v>
      </c>
      <c r="N203" s="7">
        <v>4382</v>
      </c>
      <c r="O203" s="7" t="s">
        <v>31</v>
      </c>
      <c r="P203" s="7">
        <f t="shared" si="1"/>
        <v>4382</v>
      </c>
      <c r="Q203" s="7" t="s">
        <v>31</v>
      </c>
      <c r="R203" s="7" t="s">
        <v>347</v>
      </c>
    </row>
    <row r="204" spans="1:18" s="7" customFormat="1" x14ac:dyDescent="0.35">
      <c r="A204" s="7">
        <v>16</v>
      </c>
      <c r="B204" s="7" t="s">
        <v>341</v>
      </c>
      <c r="C204" s="7">
        <v>2020</v>
      </c>
      <c r="D204" s="7" t="s">
        <v>178</v>
      </c>
      <c r="E204" s="7" t="s">
        <v>342</v>
      </c>
      <c r="F204" s="7" t="s">
        <v>343</v>
      </c>
      <c r="G204" s="7" t="s">
        <v>86</v>
      </c>
      <c r="H204" s="7" t="s">
        <v>362</v>
      </c>
      <c r="I204" s="7">
        <v>43.238950000000003</v>
      </c>
      <c r="J204" s="10">
        <v>-81.162694999999999</v>
      </c>
      <c r="K204" s="7" t="s">
        <v>103</v>
      </c>
      <c r="L204" s="7" t="s">
        <v>223</v>
      </c>
      <c r="M204" s="7" t="s">
        <v>345</v>
      </c>
      <c r="N204" s="7">
        <v>4382</v>
      </c>
      <c r="O204" s="7" t="s">
        <v>31</v>
      </c>
      <c r="P204" s="7">
        <f t="shared" si="1"/>
        <v>4382</v>
      </c>
      <c r="Q204" s="7" t="s">
        <v>31</v>
      </c>
      <c r="R204" s="7" t="s">
        <v>347</v>
      </c>
    </row>
    <row r="205" spans="1:18" s="7" customFormat="1" x14ac:dyDescent="0.35">
      <c r="A205" s="7">
        <v>16</v>
      </c>
      <c r="B205" s="7" t="s">
        <v>341</v>
      </c>
      <c r="C205" s="7">
        <v>2020</v>
      </c>
      <c r="D205" s="7" t="s">
        <v>178</v>
      </c>
      <c r="E205" s="7" t="s">
        <v>342</v>
      </c>
      <c r="F205" s="7" t="s">
        <v>343</v>
      </c>
      <c r="G205" s="7" t="s">
        <v>86</v>
      </c>
      <c r="H205" s="7" t="s">
        <v>363</v>
      </c>
      <c r="I205" s="7">
        <v>43.149239000000001</v>
      </c>
      <c r="J205" s="10">
        <v>-81.191500000000005</v>
      </c>
      <c r="K205" s="7" t="s">
        <v>103</v>
      </c>
      <c r="L205" s="7" t="s">
        <v>223</v>
      </c>
      <c r="M205" s="7" t="s">
        <v>345</v>
      </c>
      <c r="N205" s="7">
        <v>4382</v>
      </c>
      <c r="O205" s="7" t="s">
        <v>31</v>
      </c>
      <c r="P205" s="7">
        <f t="shared" si="1"/>
        <v>4382</v>
      </c>
      <c r="Q205" s="7" t="s">
        <v>31</v>
      </c>
      <c r="R205" s="7" t="s">
        <v>347</v>
      </c>
    </row>
    <row r="206" spans="1:18" s="7" customFormat="1" x14ac:dyDescent="0.35">
      <c r="A206" s="7">
        <v>16</v>
      </c>
      <c r="B206" s="7" t="s">
        <v>341</v>
      </c>
      <c r="C206" s="7">
        <v>2020</v>
      </c>
      <c r="D206" s="7" t="s">
        <v>178</v>
      </c>
      <c r="E206" s="7" t="s">
        <v>342</v>
      </c>
      <c r="F206" s="7" t="s">
        <v>343</v>
      </c>
      <c r="G206" s="7" t="s">
        <v>86</v>
      </c>
      <c r="H206" s="7" t="s">
        <v>364</v>
      </c>
      <c r="I206" s="7">
        <v>43.039906999999999</v>
      </c>
      <c r="J206" s="10">
        <v>-81.213483999999994</v>
      </c>
      <c r="K206" s="7" t="s">
        <v>103</v>
      </c>
      <c r="L206" s="7" t="s">
        <v>223</v>
      </c>
      <c r="M206" s="7" t="s">
        <v>345</v>
      </c>
      <c r="N206" s="7">
        <v>4382</v>
      </c>
      <c r="O206" s="7" t="s">
        <v>31</v>
      </c>
      <c r="P206" s="7">
        <f t="shared" si="1"/>
        <v>4382</v>
      </c>
      <c r="Q206" s="7" t="s">
        <v>31</v>
      </c>
      <c r="R206" s="7" t="s">
        <v>347</v>
      </c>
    </row>
    <row r="207" spans="1:18" s="7" customFormat="1" x14ac:dyDescent="0.35">
      <c r="A207" s="7">
        <v>16</v>
      </c>
      <c r="B207" s="7" t="s">
        <v>341</v>
      </c>
      <c r="C207" s="7">
        <v>2020</v>
      </c>
      <c r="D207" s="7" t="s">
        <v>178</v>
      </c>
      <c r="E207" s="7" t="s">
        <v>342</v>
      </c>
      <c r="F207" s="7" t="s">
        <v>343</v>
      </c>
      <c r="G207" s="7" t="s">
        <v>86</v>
      </c>
      <c r="H207" s="7" t="s">
        <v>365</v>
      </c>
      <c r="I207" s="7">
        <v>43.106349999999999</v>
      </c>
      <c r="J207" s="10">
        <v>-81.14864</v>
      </c>
      <c r="K207" s="7" t="s">
        <v>103</v>
      </c>
      <c r="L207" s="7" t="s">
        <v>223</v>
      </c>
      <c r="M207" s="7" t="s">
        <v>345</v>
      </c>
      <c r="N207" s="7">
        <v>4382</v>
      </c>
      <c r="O207" s="7" t="s">
        <v>31</v>
      </c>
      <c r="P207" s="7">
        <f t="shared" si="1"/>
        <v>4382</v>
      </c>
      <c r="Q207" s="7" t="s">
        <v>31</v>
      </c>
      <c r="R207" s="7" t="s">
        <v>347</v>
      </c>
    </row>
    <row r="208" spans="1:18" s="7" customFormat="1" x14ac:dyDescent="0.35">
      <c r="A208" s="7">
        <v>16</v>
      </c>
      <c r="B208" s="7" t="s">
        <v>341</v>
      </c>
      <c r="C208" s="7">
        <v>2020</v>
      </c>
      <c r="D208" s="7" t="s">
        <v>178</v>
      </c>
      <c r="E208" s="7" t="s">
        <v>342</v>
      </c>
      <c r="F208" s="7" t="s">
        <v>343</v>
      </c>
      <c r="G208" s="7" t="s">
        <v>86</v>
      </c>
      <c r="H208" s="7" t="s">
        <v>366</v>
      </c>
      <c r="I208" s="7">
        <v>42.823331000000003</v>
      </c>
      <c r="J208" s="10">
        <v>-81.432798000000005</v>
      </c>
      <c r="K208" s="7" t="s">
        <v>103</v>
      </c>
      <c r="L208" s="7" t="s">
        <v>223</v>
      </c>
      <c r="M208" s="7" t="s">
        <v>345</v>
      </c>
      <c r="N208" s="7">
        <v>4382</v>
      </c>
      <c r="O208" s="7" t="s">
        <v>31</v>
      </c>
      <c r="P208" s="7">
        <f t="shared" si="1"/>
        <v>4382</v>
      </c>
      <c r="Q208" s="7" t="s">
        <v>31</v>
      </c>
      <c r="R208" s="7" t="s">
        <v>347</v>
      </c>
    </row>
    <row r="209" spans="1:18" s="7" customFormat="1" x14ac:dyDescent="0.35">
      <c r="A209" s="7">
        <v>16</v>
      </c>
      <c r="B209" s="7" t="s">
        <v>341</v>
      </c>
      <c r="C209" s="7">
        <v>2020</v>
      </c>
      <c r="D209" s="7" t="s">
        <v>178</v>
      </c>
      <c r="E209" s="7" t="s">
        <v>342</v>
      </c>
      <c r="F209" s="7" t="s">
        <v>343</v>
      </c>
      <c r="G209" s="7" t="s">
        <v>86</v>
      </c>
      <c r="H209" s="7" t="s">
        <v>367</v>
      </c>
      <c r="I209" s="7">
        <v>42.765011999999999</v>
      </c>
      <c r="J209" s="10">
        <v>-81.513762</v>
      </c>
      <c r="K209" s="7" t="s">
        <v>103</v>
      </c>
      <c r="L209" s="7" t="s">
        <v>223</v>
      </c>
      <c r="M209" s="7" t="s">
        <v>345</v>
      </c>
      <c r="N209" s="7">
        <v>4382</v>
      </c>
      <c r="O209" s="7" t="s">
        <v>31</v>
      </c>
      <c r="P209" s="7">
        <f t="shared" si="1"/>
        <v>4382</v>
      </c>
      <c r="Q209" s="7" t="s">
        <v>31</v>
      </c>
      <c r="R209" s="7" t="s">
        <v>347</v>
      </c>
    </row>
    <row r="210" spans="1:18" s="7" customFormat="1" x14ac:dyDescent="0.35">
      <c r="A210" s="7">
        <v>16</v>
      </c>
      <c r="B210" s="7" t="s">
        <v>341</v>
      </c>
      <c r="C210" s="7">
        <v>2020</v>
      </c>
      <c r="D210" s="7" t="s">
        <v>178</v>
      </c>
      <c r="E210" s="7" t="s">
        <v>342</v>
      </c>
      <c r="F210" s="7" t="s">
        <v>343</v>
      </c>
      <c r="G210" s="7" t="s">
        <v>86</v>
      </c>
      <c r="H210" s="7" t="s">
        <v>368</v>
      </c>
      <c r="I210" s="7">
        <v>42.911074999999997</v>
      </c>
      <c r="J210" s="10">
        <v>-81.260900000000007</v>
      </c>
      <c r="K210" s="7" t="s">
        <v>103</v>
      </c>
      <c r="L210" s="7" t="s">
        <v>223</v>
      </c>
      <c r="M210" s="7" t="s">
        <v>345</v>
      </c>
      <c r="N210" s="7">
        <v>4382</v>
      </c>
      <c r="O210" s="7" t="s">
        <v>31</v>
      </c>
      <c r="P210" s="7">
        <f t="shared" si="1"/>
        <v>4382</v>
      </c>
      <c r="Q210" s="7" t="s">
        <v>31</v>
      </c>
      <c r="R210" s="7" t="s">
        <v>347</v>
      </c>
    </row>
    <row r="211" spans="1:18" s="7" customFormat="1" x14ac:dyDescent="0.35">
      <c r="A211" s="7">
        <v>16</v>
      </c>
      <c r="B211" s="7" t="s">
        <v>341</v>
      </c>
      <c r="C211" s="7">
        <v>2020</v>
      </c>
      <c r="D211" s="7" t="s">
        <v>178</v>
      </c>
      <c r="E211" s="7" t="s">
        <v>342</v>
      </c>
      <c r="F211" s="7" t="s">
        <v>343</v>
      </c>
      <c r="G211" s="7" t="s">
        <v>86</v>
      </c>
      <c r="H211" s="7" t="s">
        <v>369</v>
      </c>
      <c r="I211" s="7">
        <v>43.039906999999999</v>
      </c>
      <c r="J211" s="10">
        <v>-81.213483999999994</v>
      </c>
      <c r="K211" s="7" t="s">
        <v>103</v>
      </c>
      <c r="L211" s="7" t="s">
        <v>223</v>
      </c>
      <c r="M211" s="7" t="s">
        <v>345</v>
      </c>
      <c r="N211" s="7">
        <v>4382</v>
      </c>
      <c r="O211" s="7" t="s">
        <v>31</v>
      </c>
      <c r="P211" s="7">
        <f t="shared" si="1"/>
        <v>4382</v>
      </c>
      <c r="Q211" s="7" t="s">
        <v>31</v>
      </c>
      <c r="R211" s="7" t="s">
        <v>347</v>
      </c>
    </row>
    <row r="212" spans="1:18" s="7" customFormat="1" x14ac:dyDescent="0.35">
      <c r="A212" s="7">
        <v>16</v>
      </c>
      <c r="B212" s="7" t="s">
        <v>341</v>
      </c>
      <c r="C212" s="7">
        <v>2020</v>
      </c>
      <c r="D212" s="7" t="s">
        <v>178</v>
      </c>
      <c r="E212" s="7" t="s">
        <v>342</v>
      </c>
      <c r="F212" s="7" t="s">
        <v>343</v>
      </c>
      <c r="G212" s="7" t="s">
        <v>86</v>
      </c>
      <c r="H212" s="7" t="s">
        <v>370</v>
      </c>
      <c r="I212" s="7">
        <v>42.600403999999997</v>
      </c>
      <c r="J212" s="10">
        <v>-81.863322999999994</v>
      </c>
      <c r="K212" s="7" t="s">
        <v>103</v>
      </c>
      <c r="L212" s="7" t="s">
        <v>223</v>
      </c>
      <c r="M212" s="7" t="s">
        <v>345</v>
      </c>
      <c r="N212" s="7">
        <v>4382</v>
      </c>
      <c r="O212" s="7" t="s">
        <v>31</v>
      </c>
      <c r="P212" s="7">
        <f t="shared" si="1"/>
        <v>4382</v>
      </c>
      <c r="Q212" s="7" t="s">
        <v>31</v>
      </c>
      <c r="R212" s="7" t="s">
        <v>347</v>
      </c>
    </row>
    <row r="213" spans="1:18" s="7" customFormat="1" x14ac:dyDescent="0.35">
      <c r="A213" s="7">
        <v>16</v>
      </c>
      <c r="B213" s="7" t="s">
        <v>341</v>
      </c>
      <c r="C213" s="7">
        <v>2020</v>
      </c>
      <c r="D213" s="7" t="s">
        <v>178</v>
      </c>
      <c r="E213" s="7" t="s">
        <v>342</v>
      </c>
      <c r="F213" s="7" t="s">
        <v>343</v>
      </c>
      <c r="G213" s="7" t="s">
        <v>86</v>
      </c>
      <c r="H213" s="7" t="s">
        <v>371</v>
      </c>
      <c r="I213" s="7">
        <v>42.546309999999998</v>
      </c>
      <c r="J213" s="10">
        <v>-81.966395000000006</v>
      </c>
      <c r="K213" s="7" t="s">
        <v>103</v>
      </c>
      <c r="L213" s="7" t="s">
        <v>223</v>
      </c>
      <c r="M213" s="7" t="s">
        <v>345</v>
      </c>
      <c r="N213" s="7">
        <v>4382</v>
      </c>
      <c r="O213" s="7" t="s">
        <v>31</v>
      </c>
      <c r="P213" s="7">
        <f t="shared" si="1"/>
        <v>4382</v>
      </c>
      <c r="Q213" s="7" t="s">
        <v>31</v>
      </c>
      <c r="R213" s="7" t="s">
        <v>347</v>
      </c>
    </row>
    <row r="214" spans="1:18" s="7" customFormat="1" x14ac:dyDescent="0.35">
      <c r="A214" s="7">
        <v>16</v>
      </c>
      <c r="B214" s="7" t="s">
        <v>341</v>
      </c>
      <c r="C214" s="7">
        <v>2020</v>
      </c>
      <c r="D214" s="7" t="s">
        <v>178</v>
      </c>
      <c r="E214" s="7" t="s">
        <v>342</v>
      </c>
      <c r="F214" s="7" t="s">
        <v>343</v>
      </c>
      <c r="G214" s="7" t="s">
        <v>86</v>
      </c>
      <c r="H214" s="7" t="s">
        <v>372</v>
      </c>
      <c r="I214" s="7">
        <v>42.456665999999998</v>
      </c>
      <c r="J214" s="10">
        <v>-82.122613000000001</v>
      </c>
      <c r="K214" s="7" t="s">
        <v>103</v>
      </c>
      <c r="L214" s="7" t="s">
        <v>223</v>
      </c>
      <c r="M214" s="7" t="s">
        <v>345</v>
      </c>
      <c r="N214" s="7">
        <v>4382</v>
      </c>
      <c r="O214" s="7" t="s">
        <v>31</v>
      </c>
      <c r="P214" s="7">
        <f t="shared" si="1"/>
        <v>4382</v>
      </c>
      <c r="Q214" s="7" t="s">
        <v>31</v>
      </c>
      <c r="R214" s="7" t="s">
        <v>347</v>
      </c>
    </row>
    <row r="215" spans="1:18" s="7" customFormat="1" x14ac:dyDescent="0.35">
      <c r="A215" s="7">
        <v>16</v>
      </c>
      <c r="B215" s="7" t="s">
        <v>341</v>
      </c>
      <c r="C215" s="7">
        <v>2020</v>
      </c>
      <c r="D215" s="7" t="s">
        <v>178</v>
      </c>
      <c r="E215" s="7" t="s">
        <v>342</v>
      </c>
      <c r="F215" s="7" t="s">
        <v>343</v>
      </c>
      <c r="G215" s="7" t="s">
        <v>86</v>
      </c>
      <c r="H215" s="7" t="s">
        <v>373</v>
      </c>
      <c r="I215" s="7">
        <v>42.414619000000002</v>
      </c>
      <c r="J215" s="10">
        <v>-82.169062999999994</v>
      </c>
      <c r="K215" s="7" t="s">
        <v>103</v>
      </c>
      <c r="L215" s="7" t="s">
        <v>223</v>
      </c>
      <c r="M215" s="7" t="s">
        <v>345</v>
      </c>
      <c r="N215" s="7">
        <v>4382</v>
      </c>
      <c r="O215" s="7" t="s">
        <v>31</v>
      </c>
      <c r="P215" s="7">
        <f t="shared" si="1"/>
        <v>4382</v>
      </c>
      <c r="Q215" s="7" t="s">
        <v>31</v>
      </c>
      <c r="R215" s="7" t="s">
        <v>347</v>
      </c>
    </row>
    <row r="216" spans="1:18" s="7" customFormat="1" x14ac:dyDescent="0.35">
      <c r="A216" s="7">
        <v>16</v>
      </c>
      <c r="B216" s="7" t="s">
        <v>341</v>
      </c>
      <c r="C216" s="7">
        <v>2020</v>
      </c>
      <c r="D216" s="7" t="s">
        <v>178</v>
      </c>
      <c r="E216" s="7" t="s">
        <v>342</v>
      </c>
      <c r="F216" s="7" t="s">
        <v>343</v>
      </c>
      <c r="G216" s="7" t="s">
        <v>86</v>
      </c>
      <c r="H216" s="7" t="s">
        <v>374</v>
      </c>
      <c r="I216" s="7">
        <v>42.344534000000003</v>
      </c>
      <c r="J216" s="10">
        <v>-82.358630000000005</v>
      </c>
      <c r="K216" s="7" t="s">
        <v>103</v>
      </c>
      <c r="L216" s="7" t="s">
        <v>223</v>
      </c>
      <c r="M216" s="7" t="s">
        <v>345</v>
      </c>
      <c r="N216" s="7">
        <v>4382</v>
      </c>
      <c r="O216" s="7" t="s">
        <v>31</v>
      </c>
      <c r="P216" s="7">
        <f t="shared" si="1"/>
        <v>4382</v>
      </c>
      <c r="Q216" s="7" t="s">
        <v>31</v>
      </c>
      <c r="R216" s="7" t="s">
        <v>347</v>
      </c>
    </row>
    <row r="217" spans="1:18" s="7" customFormat="1" x14ac:dyDescent="0.35">
      <c r="A217" s="7">
        <v>16</v>
      </c>
      <c r="B217" s="7" t="s">
        <v>341</v>
      </c>
      <c r="C217" s="7">
        <v>2020</v>
      </c>
      <c r="D217" s="7" t="s">
        <v>178</v>
      </c>
      <c r="E217" s="7" t="s">
        <v>342</v>
      </c>
      <c r="F217" s="7" t="s">
        <v>343</v>
      </c>
      <c r="G217" s="7" t="s">
        <v>86</v>
      </c>
      <c r="H217" s="7" t="s">
        <v>375</v>
      </c>
      <c r="I217" s="7">
        <v>42.340349000000003</v>
      </c>
      <c r="J217" s="10">
        <v>-82.410702999999998</v>
      </c>
      <c r="K217" s="7" t="s">
        <v>103</v>
      </c>
      <c r="L217" s="7" t="s">
        <v>223</v>
      </c>
      <c r="M217" s="7" t="s">
        <v>345</v>
      </c>
      <c r="N217" s="7">
        <v>4382</v>
      </c>
      <c r="O217" s="7" t="s">
        <v>31</v>
      </c>
      <c r="P217" s="7">
        <f t="shared" si="1"/>
        <v>4382</v>
      </c>
      <c r="Q217" s="7" t="s">
        <v>31</v>
      </c>
      <c r="R217" s="7" t="s">
        <v>347</v>
      </c>
    </row>
    <row r="218" spans="1:18" s="7" customFormat="1" x14ac:dyDescent="0.35">
      <c r="A218" s="7">
        <v>16</v>
      </c>
      <c r="B218" s="7" t="s">
        <v>341</v>
      </c>
      <c r="C218" s="7">
        <v>2020</v>
      </c>
      <c r="D218" s="7" t="s">
        <v>178</v>
      </c>
      <c r="E218" s="7" t="s">
        <v>342</v>
      </c>
      <c r="F218" s="7" t="s">
        <v>343</v>
      </c>
      <c r="G218" s="7" t="s">
        <v>86</v>
      </c>
      <c r="H218" s="7" t="s">
        <v>376</v>
      </c>
      <c r="I218" s="7">
        <v>42.989403000000003</v>
      </c>
      <c r="J218" s="10">
        <v>-81.054699999999997</v>
      </c>
      <c r="K218" s="7" t="s">
        <v>103</v>
      </c>
      <c r="L218" s="7" t="s">
        <v>223</v>
      </c>
      <c r="M218" s="7" t="s">
        <v>345</v>
      </c>
      <c r="N218" s="7">
        <v>4382</v>
      </c>
      <c r="O218" s="7" t="s">
        <v>31</v>
      </c>
      <c r="P218" s="7">
        <f t="shared" si="1"/>
        <v>4382</v>
      </c>
      <c r="Q218" s="7" t="s">
        <v>31</v>
      </c>
      <c r="R218" s="7" t="s">
        <v>347</v>
      </c>
    </row>
    <row r="219" spans="1:18" s="7" customFormat="1" x14ac:dyDescent="0.35">
      <c r="A219" s="7">
        <v>16</v>
      </c>
      <c r="B219" s="7" t="s">
        <v>341</v>
      </c>
      <c r="C219" s="7">
        <v>2020</v>
      </c>
      <c r="D219" s="7" t="s">
        <v>178</v>
      </c>
      <c r="E219" s="7" t="s">
        <v>342</v>
      </c>
      <c r="F219" s="7" t="s">
        <v>343</v>
      </c>
      <c r="G219" s="7" t="s">
        <v>86</v>
      </c>
      <c r="H219" s="7" t="s">
        <v>377</v>
      </c>
      <c r="I219" s="7">
        <v>42.960807000000003</v>
      </c>
      <c r="J219" s="10">
        <v>-81.302605</v>
      </c>
      <c r="K219" s="7" t="s">
        <v>103</v>
      </c>
      <c r="L219" s="7" t="s">
        <v>223</v>
      </c>
      <c r="M219" s="7" t="s">
        <v>345</v>
      </c>
      <c r="N219" s="7">
        <v>4382</v>
      </c>
      <c r="O219" s="7" t="s">
        <v>31</v>
      </c>
      <c r="P219" s="7">
        <f t="shared" si="1"/>
        <v>4382</v>
      </c>
      <c r="Q219" s="7" t="s">
        <v>31</v>
      </c>
      <c r="R219" s="7" t="s">
        <v>347</v>
      </c>
    </row>
    <row r="220" spans="1:18" s="7" customFormat="1" x14ac:dyDescent="0.35">
      <c r="A220" s="7">
        <v>16</v>
      </c>
      <c r="B220" s="7" t="s">
        <v>341</v>
      </c>
      <c r="C220" s="7">
        <v>2020</v>
      </c>
      <c r="D220" s="7" t="s">
        <v>178</v>
      </c>
      <c r="E220" s="7" t="s">
        <v>342</v>
      </c>
      <c r="F220" s="7" t="s">
        <v>343</v>
      </c>
      <c r="G220" s="7" t="s">
        <v>86</v>
      </c>
      <c r="H220" s="7" t="s">
        <v>378</v>
      </c>
      <c r="I220" s="7">
        <v>42.981498999999999</v>
      </c>
      <c r="J220" s="10">
        <v>-81.257435000000001</v>
      </c>
      <c r="K220" s="7" t="s">
        <v>103</v>
      </c>
      <c r="L220" s="7" t="s">
        <v>223</v>
      </c>
      <c r="M220" s="7" t="s">
        <v>345</v>
      </c>
      <c r="N220" s="7">
        <v>4382</v>
      </c>
      <c r="O220" s="7" t="s">
        <v>31</v>
      </c>
      <c r="P220" s="7">
        <f t="shared" si="1"/>
        <v>4382</v>
      </c>
      <c r="Q220" s="7" t="s">
        <v>31</v>
      </c>
      <c r="R220" s="7" t="s">
        <v>347</v>
      </c>
    </row>
    <row r="221" spans="1:18" s="7" customFormat="1" x14ac:dyDescent="0.35">
      <c r="A221" s="7">
        <v>16</v>
      </c>
      <c r="B221" s="7" t="s">
        <v>341</v>
      </c>
      <c r="C221" s="7">
        <v>2020</v>
      </c>
      <c r="D221" s="7" t="s">
        <v>178</v>
      </c>
      <c r="E221" s="7" t="s">
        <v>342</v>
      </c>
      <c r="F221" s="7" t="s">
        <v>343</v>
      </c>
      <c r="G221" s="7" t="s">
        <v>86</v>
      </c>
      <c r="H221" s="7" t="s">
        <v>379</v>
      </c>
      <c r="I221" s="7">
        <v>43.039906999999999</v>
      </c>
      <c r="J221" s="10">
        <v>-81.213483999999994</v>
      </c>
      <c r="K221" s="7" t="s">
        <v>103</v>
      </c>
      <c r="L221" s="7" t="s">
        <v>223</v>
      </c>
      <c r="M221" s="7" t="s">
        <v>345</v>
      </c>
      <c r="N221" s="7">
        <v>4382</v>
      </c>
      <c r="O221" s="7" t="s">
        <v>31</v>
      </c>
      <c r="P221" s="7">
        <f t="shared" ref="P221:P246" si="2">N221</f>
        <v>4382</v>
      </c>
      <c r="Q221" s="7" t="s">
        <v>31</v>
      </c>
      <c r="R221" s="7" t="s">
        <v>347</v>
      </c>
    </row>
    <row r="222" spans="1:18" s="7" customFormat="1" x14ac:dyDescent="0.35">
      <c r="A222" s="7">
        <v>16</v>
      </c>
      <c r="B222" s="7" t="s">
        <v>341</v>
      </c>
      <c r="C222" s="7">
        <v>2020</v>
      </c>
      <c r="D222" s="7" t="s">
        <v>178</v>
      </c>
      <c r="E222" s="7" t="s">
        <v>342</v>
      </c>
      <c r="F222" s="7" t="s">
        <v>343</v>
      </c>
      <c r="G222" s="7" t="s">
        <v>86</v>
      </c>
      <c r="H222" s="7" t="s">
        <v>380</v>
      </c>
      <c r="I222" s="7">
        <v>42.981498999999999</v>
      </c>
      <c r="J222" s="10">
        <v>-81.257435000000001</v>
      </c>
      <c r="K222" s="7" t="s">
        <v>103</v>
      </c>
      <c r="L222" s="7" t="s">
        <v>223</v>
      </c>
      <c r="M222" s="7" t="s">
        <v>345</v>
      </c>
      <c r="N222" s="7">
        <v>4382</v>
      </c>
      <c r="O222" s="7" t="s">
        <v>31</v>
      </c>
      <c r="P222" s="7">
        <f t="shared" si="2"/>
        <v>4382</v>
      </c>
      <c r="Q222" s="7" t="s">
        <v>31</v>
      </c>
      <c r="R222" s="7" t="s">
        <v>347</v>
      </c>
    </row>
    <row r="223" spans="1:18" s="7" customFormat="1" x14ac:dyDescent="0.35">
      <c r="A223" s="7">
        <v>17</v>
      </c>
      <c r="B223" s="7" t="s">
        <v>381</v>
      </c>
      <c r="C223" s="7">
        <v>2018</v>
      </c>
      <c r="D223" s="7" t="s">
        <v>382</v>
      </c>
      <c r="E223" s="8" t="s">
        <v>383</v>
      </c>
      <c r="F223" s="7" t="s">
        <v>384</v>
      </c>
      <c r="G223" s="7" t="s">
        <v>54</v>
      </c>
      <c r="H223" s="7" t="s">
        <v>385</v>
      </c>
      <c r="I223" s="7">
        <v>49.682892000000002</v>
      </c>
      <c r="J223" s="10">
        <v>-124.98348799999999</v>
      </c>
      <c r="K223" s="7" t="s">
        <v>103</v>
      </c>
      <c r="L223" s="7" t="s">
        <v>163</v>
      </c>
      <c r="M223" s="7" t="s">
        <v>386</v>
      </c>
      <c r="N223" s="7">
        <v>63</v>
      </c>
      <c r="O223" s="7" t="s">
        <v>31</v>
      </c>
      <c r="P223" s="7">
        <f t="shared" si="2"/>
        <v>63</v>
      </c>
      <c r="Q223" s="7" t="s">
        <v>31</v>
      </c>
      <c r="R223" s="7" t="s">
        <v>388</v>
      </c>
    </row>
    <row r="224" spans="1:18" s="7" customFormat="1" x14ac:dyDescent="0.35">
      <c r="A224" s="7">
        <v>17</v>
      </c>
      <c r="B224" s="7" t="s">
        <v>381</v>
      </c>
      <c r="C224" s="7">
        <v>2018</v>
      </c>
      <c r="D224" s="7" t="s">
        <v>382</v>
      </c>
      <c r="E224" s="7" t="s">
        <v>383</v>
      </c>
      <c r="F224" s="7" t="s">
        <v>384</v>
      </c>
      <c r="G224" s="7" t="s">
        <v>54</v>
      </c>
      <c r="H224" s="7" t="s">
        <v>389</v>
      </c>
      <c r="I224" s="7">
        <v>49.469099</v>
      </c>
      <c r="J224" s="10">
        <v>-124.70455800000001</v>
      </c>
      <c r="K224" s="7" t="s">
        <v>103</v>
      </c>
      <c r="L224" s="7" t="s">
        <v>163</v>
      </c>
      <c r="M224" s="7" t="s">
        <v>386</v>
      </c>
      <c r="N224" s="7">
        <v>63</v>
      </c>
      <c r="O224" s="7" t="s">
        <v>31</v>
      </c>
      <c r="P224" s="7">
        <f t="shared" si="2"/>
        <v>63</v>
      </c>
      <c r="Q224" s="7" t="s">
        <v>31</v>
      </c>
      <c r="R224" s="7" t="s">
        <v>388</v>
      </c>
    </row>
    <row r="225" spans="1:19" s="7" customFormat="1" x14ac:dyDescent="0.35">
      <c r="A225" s="7">
        <v>17</v>
      </c>
      <c r="B225" s="7" t="s">
        <v>381</v>
      </c>
      <c r="C225" s="7">
        <v>2018</v>
      </c>
      <c r="D225" s="7" t="s">
        <v>382</v>
      </c>
      <c r="E225" s="7" t="s">
        <v>383</v>
      </c>
      <c r="F225" s="7" t="s">
        <v>384</v>
      </c>
      <c r="G225" s="7" t="s">
        <v>54</v>
      </c>
      <c r="H225" s="7" t="s">
        <v>390</v>
      </c>
      <c r="I225" s="7">
        <v>49.193823999999999</v>
      </c>
      <c r="J225" s="10">
        <v>-123.955344</v>
      </c>
      <c r="K225" s="7" t="s">
        <v>103</v>
      </c>
      <c r="L225" s="7" t="s">
        <v>163</v>
      </c>
      <c r="M225" s="7" t="s">
        <v>386</v>
      </c>
      <c r="N225" s="7">
        <v>63</v>
      </c>
      <c r="O225" s="7" t="s">
        <v>31</v>
      </c>
      <c r="P225" s="7">
        <f t="shared" si="2"/>
        <v>63</v>
      </c>
      <c r="Q225" s="7" t="s">
        <v>31</v>
      </c>
      <c r="R225" s="7" t="s">
        <v>388</v>
      </c>
    </row>
    <row r="226" spans="1:19" s="7" customFormat="1" x14ac:dyDescent="0.35">
      <c r="A226" s="7">
        <v>17</v>
      </c>
      <c r="B226" s="7" t="s">
        <v>381</v>
      </c>
      <c r="C226" s="7">
        <v>2018</v>
      </c>
      <c r="D226" s="7" t="s">
        <v>382</v>
      </c>
      <c r="E226" s="7" t="s">
        <v>383</v>
      </c>
      <c r="F226" s="7" t="s">
        <v>384</v>
      </c>
      <c r="G226" s="7" t="s">
        <v>54</v>
      </c>
      <c r="H226" s="7" t="s">
        <v>391</v>
      </c>
      <c r="I226" s="7">
        <v>49.545563999999999</v>
      </c>
      <c r="J226" s="10">
        <v>-124.749488</v>
      </c>
      <c r="K226" s="7" t="s">
        <v>103</v>
      </c>
      <c r="L226" s="7" t="s">
        <v>163</v>
      </c>
      <c r="M226" s="7" t="s">
        <v>392</v>
      </c>
      <c r="N226" s="7">
        <v>157</v>
      </c>
      <c r="O226" s="7" t="s">
        <v>31</v>
      </c>
      <c r="P226" s="7">
        <f t="shared" si="2"/>
        <v>157</v>
      </c>
      <c r="Q226" s="7" t="s">
        <v>31</v>
      </c>
      <c r="R226" s="7" t="s">
        <v>388</v>
      </c>
    </row>
    <row r="227" spans="1:19" s="7" customFormat="1" x14ac:dyDescent="0.35">
      <c r="A227" s="7">
        <v>17</v>
      </c>
      <c r="B227" s="7" t="s">
        <v>381</v>
      </c>
      <c r="C227" s="7">
        <v>2018</v>
      </c>
      <c r="D227" s="7" t="s">
        <v>382</v>
      </c>
      <c r="E227" s="7" t="s">
        <v>383</v>
      </c>
      <c r="F227" s="7" t="s">
        <v>384</v>
      </c>
      <c r="G227" s="7" t="s">
        <v>54</v>
      </c>
      <c r="H227" s="7" t="s">
        <v>393</v>
      </c>
      <c r="I227" s="7">
        <v>49.497588999999998</v>
      </c>
      <c r="J227" s="10">
        <v>-124.71007</v>
      </c>
      <c r="K227" s="7" t="s">
        <v>103</v>
      </c>
      <c r="L227" s="7" t="s">
        <v>163</v>
      </c>
      <c r="M227" s="7" t="s">
        <v>392</v>
      </c>
      <c r="N227" s="7">
        <v>157</v>
      </c>
      <c r="O227" s="7" t="s">
        <v>31</v>
      </c>
      <c r="P227" s="7">
        <f t="shared" si="2"/>
        <v>157</v>
      </c>
      <c r="Q227" s="7" t="s">
        <v>31</v>
      </c>
      <c r="R227" s="7" t="s">
        <v>388</v>
      </c>
    </row>
    <row r="228" spans="1:19" s="7" customFormat="1" x14ac:dyDescent="0.35">
      <c r="A228" s="7">
        <v>17</v>
      </c>
      <c r="B228" s="7" t="s">
        <v>381</v>
      </c>
      <c r="C228" s="7">
        <v>2018</v>
      </c>
      <c r="D228" s="7" t="s">
        <v>382</v>
      </c>
      <c r="E228" s="7" t="s">
        <v>383</v>
      </c>
      <c r="F228" s="7" t="s">
        <v>384</v>
      </c>
      <c r="G228" s="7" t="s">
        <v>54</v>
      </c>
      <c r="H228" s="7" t="s">
        <v>394</v>
      </c>
      <c r="I228" s="7">
        <v>49.614386000000003</v>
      </c>
      <c r="J228" s="10">
        <v>-124.86168000000001</v>
      </c>
      <c r="K228" s="7" t="s">
        <v>103</v>
      </c>
      <c r="L228" s="7" t="s">
        <v>163</v>
      </c>
      <c r="M228" s="7" t="s">
        <v>386</v>
      </c>
      <c r="N228" s="7">
        <v>63</v>
      </c>
      <c r="O228" s="7" t="s">
        <v>31</v>
      </c>
      <c r="P228" s="7">
        <f t="shared" si="2"/>
        <v>63</v>
      </c>
      <c r="Q228" s="7" t="s">
        <v>31</v>
      </c>
      <c r="R228" s="7" t="s">
        <v>388</v>
      </c>
    </row>
    <row r="229" spans="1:19" s="7" customFormat="1" x14ac:dyDescent="0.35">
      <c r="A229" s="7">
        <v>17</v>
      </c>
      <c r="B229" s="7" t="s">
        <v>381</v>
      </c>
      <c r="C229" s="7">
        <v>2018</v>
      </c>
      <c r="D229" s="7" t="s">
        <v>382</v>
      </c>
      <c r="E229" s="7" t="s">
        <v>383</v>
      </c>
      <c r="F229" s="7" t="s">
        <v>384</v>
      </c>
      <c r="G229" s="7" t="s">
        <v>54</v>
      </c>
      <c r="H229" s="7" t="s">
        <v>395</v>
      </c>
      <c r="I229" s="7">
        <v>50.282153999999998</v>
      </c>
      <c r="J229" s="10">
        <v>-125.382876</v>
      </c>
      <c r="K229" s="7" t="s">
        <v>103</v>
      </c>
      <c r="L229" s="7" t="s">
        <v>163</v>
      </c>
      <c r="M229" s="7" t="s">
        <v>386</v>
      </c>
      <c r="N229" s="7">
        <v>63</v>
      </c>
      <c r="O229" s="7" t="s">
        <v>31</v>
      </c>
      <c r="P229" s="7">
        <f t="shared" si="2"/>
        <v>63</v>
      </c>
      <c r="Q229" s="7" t="s">
        <v>31</v>
      </c>
      <c r="R229" s="7" t="s">
        <v>388</v>
      </c>
    </row>
    <row r="230" spans="1:19" s="7" customFormat="1" x14ac:dyDescent="0.35">
      <c r="A230" s="7">
        <v>17</v>
      </c>
      <c r="B230" s="7" t="s">
        <v>381</v>
      </c>
      <c r="C230" s="7">
        <v>2018</v>
      </c>
      <c r="D230" s="7" t="s">
        <v>382</v>
      </c>
      <c r="E230" s="7" t="s">
        <v>383</v>
      </c>
      <c r="F230" s="7" t="s">
        <v>384</v>
      </c>
      <c r="G230" s="7" t="s">
        <v>54</v>
      </c>
      <c r="H230" s="7" t="s">
        <v>396</v>
      </c>
      <c r="I230" s="7">
        <v>49.252270000000003</v>
      </c>
      <c r="J230" s="10">
        <v>-123.972441</v>
      </c>
      <c r="K230" s="7" t="s">
        <v>103</v>
      </c>
      <c r="L230" s="7" t="s">
        <v>163</v>
      </c>
      <c r="M230" s="7" t="s">
        <v>392</v>
      </c>
      <c r="N230" s="7">
        <v>157</v>
      </c>
      <c r="O230" s="7" t="s">
        <v>31</v>
      </c>
      <c r="P230" s="7">
        <f t="shared" si="2"/>
        <v>157</v>
      </c>
      <c r="Q230" s="7" t="s">
        <v>31</v>
      </c>
      <c r="R230" s="7" t="s">
        <v>388</v>
      </c>
    </row>
    <row r="231" spans="1:19" s="7" customFormat="1" x14ac:dyDescent="0.35">
      <c r="A231" s="7">
        <v>17</v>
      </c>
      <c r="B231" s="7" t="s">
        <v>381</v>
      </c>
      <c r="C231" s="7">
        <v>2018</v>
      </c>
      <c r="D231" s="7" t="s">
        <v>382</v>
      </c>
      <c r="E231" s="7" t="s">
        <v>383</v>
      </c>
      <c r="F231" s="7" t="s">
        <v>384</v>
      </c>
      <c r="G231" s="7" t="s">
        <v>54</v>
      </c>
      <c r="H231" s="7" t="s">
        <v>397</v>
      </c>
      <c r="I231" s="7">
        <v>49.480407</v>
      </c>
      <c r="J231" s="10">
        <v>-124.77525799999999</v>
      </c>
      <c r="K231" s="7" t="s">
        <v>103</v>
      </c>
      <c r="L231" s="7" t="s">
        <v>163</v>
      </c>
      <c r="M231" s="7" t="s">
        <v>386</v>
      </c>
      <c r="N231" s="7">
        <v>63</v>
      </c>
      <c r="O231" s="7" t="s">
        <v>31</v>
      </c>
      <c r="P231" s="7">
        <f t="shared" si="2"/>
        <v>63</v>
      </c>
      <c r="Q231" s="7" t="s">
        <v>31</v>
      </c>
      <c r="R231" s="7" t="s">
        <v>388</v>
      </c>
    </row>
    <row r="232" spans="1:19" s="7" customFormat="1" x14ac:dyDescent="0.35">
      <c r="A232" s="7">
        <v>17</v>
      </c>
      <c r="B232" s="7" t="s">
        <v>381</v>
      </c>
      <c r="C232" s="7">
        <v>2018</v>
      </c>
      <c r="D232" s="7" t="s">
        <v>382</v>
      </c>
      <c r="E232" s="7" t="s">
        <v>383</v>
      </c>
      <c r="F232" s="7" t="s">
        <v>384</v>
      </c>
      <c r="G232" s="7" t="s">
        <v>54</v>
      </c>
      <c r="H232" s="7" t="s">
        <v>398</v>
      </c>
      <c r="I232" s="7">
        <v>49.656013000000002</v>
      </c>
      <c r="J232" s="10">
        <v>-124.93997299999999</v>
      </c>
      <c r="K232" s="7" t="s">
        <v>103</v>
      </c>
      <c r="L232" s="7" t="s">
        <v>163</v>
      </c>
      <c r="M232" s="7" t="s">
        <v>386</v>
      </c>
      <c r="N232" s="7">
        <v>63</v>
      </c>
      <c r="O232" s="7" t="s">
        <v>31</v>
      </c>
      <c r="P232" s="7">
        <f t="shared" si="2"/>
        <v>63</v>
      </c>
      <c r="Q232" s="7" t="s">
        <v>31</v>
      </c>
      <c r="R232" s="7" t="s">
        <v>388</v>
      </c>
      <c r="S232" s="11"/>
    </row>
    <row r="233" spans="1:19" s="7" customFormat="1" x14ac:dyDescent="0.35">
      <c r="A233" s="7">
        <v>18</v>
      </c>
      <c r="B233" s="7" t="s">
        <v>399</v>
      </c>
      <c r="C233" s="7">
        <v>2021</v>
      </c>
      <c r="D233" s="7" t="s">
        <v>400</v>
      </c>
      <c r="E233" s="7" t="s">
        <v>401</v>
      </c>
      <c r="F233" s="7" t="s">
        <v>402</v>
      </c>
      <c r="G233" s="7" t="s">
        <v>54</v>
      </c>
      <c r="H233" s="7" t="s">
        <v>403</v>
      </c>
      <c r="I233" s="7">
        <v>49.616691000000003</v>
      </c>
      <c r="J233" s="10">
        <v>-124.900291</v>
      </c>
      <c r="K233" s="7" t="s">
        <v>103</v>
      </c>
      <c r="L233" s="7" t="s">
        <v>163</v>
      </c>
      <c r="M233" s="7" t="s">
        <v>404</v>
      </c>
      <c r="N233" s="7" t="s">
        <v>245</v>
      </c>
      <c r="O233" s="7" t="s">
        <v>246</v>
      </c>
      <c r="P233" s="7" t="str">
        <f t="shared" si="2"/>
        <v>missing</v>
      </c>
      <c r="Q233" s="7" t="s">
        <v>31</v>
      </c>
    </row>
    <row r="234" spans="1:19" s="7" customFormat="1" x14ac:dyDescent="0.35">
      <c r="A234" s="7">
        <v>18</v>
      </c>
      <c r="B234" s="7" t="s">
        <v>399</v>
      </c>
      <c r="C234" s="7">
        <v>2021</v>
      </c>
      <c r="D234" s="7" t="s">
        <v>400</v>
      </c>
      <c r="E234" s="7" t="s">
        <v>401</v>
      </c>
      <c r="F234" s="7" t="s">
        <v>402</v>
      </c>
      <c r="G234" s="7" t="s">
        <v>54</v>
      </c>
      <c r="H234" s="7" t="s">
        <v>406</v>
      </c>
      <c r="I234" s="7">
        <v>49.55536</v>
      </c>
      <c r="J234" s="10">
        <v>-124.84799</v>
      </c>
      <c r="K234" s="7" t="s">
        <v>103</v>
      </c>
      <c r="L234" s="7" t="s">
        <v>163</v>
      </c>
      <c r="M234" s="7" t="s">
        <v>404</v>
      </c>
      <c r="N234" s="7" t="s">
        <v>245</v>
      </c>
      <c r="O234" s="7" t="s">
        <v>246</v>
      </c>
      <c r="P234" s="7" t="str">
        <f t="shared" si="2"/>
        <v>missing</v>
      </c>
      <c r="Q234" s="7" t="s">
        <v>31</v>
      </c>
    </row>
    <row r="235" spans="1:19" s="7" customFormat="1" x14ac:dyDescent="0.35">
      <c r="A235" s="7">
        <v>18</v>
      </c>
      <c r="B235" s="7" t="s">
        <v>399</v>
      </c>
      <c r="C235" s="7">
        <v>2021</v>
      </c>
      <c r="D235" s="7" t="s">
        <v>400</v>
      </c>
      <c r="E235" s="7" t="s">
        <v>401</v>
      </c>
      <c r="F235" s="7" t="s">
        <v>402</v>
      </c>
      <c r="G235" s="7" t="s">
        <v>54</v>
      </c>
      <c r="H235" s="7" t="s">
        <v>407</v>
      </c>
      <c r="I235" s="7">
        <v>49.572825999999999</v>
      </c>
      <c r="J235" s="10">
        <v>-124.843659</v>
      </c>
      <c r="K235" s="7" t="s">
        <v>103</v>
      </c>
      <c r="L235" s="7" t="s">
        <v>163</v>
      </c>
      <c r="M235" s="7" t="s">
        <v>404</v>
      </c>
      <c r="N235" s="7" t="s">
        <v>245</v>
      </c>
      <c r="O235" s="7" t="s">
        <v>246</v>
      </c>
      <c r="P235" s="7" t="str">
        <f t="shared" si="2"/>
        <v>missing</v>
      </c>
      <c r="Q235" s="7" t="s">
        <v>31</v>
      </c>
    </row>
    <row r="236" spans="1:19" s="7" customFormat="1" x14ac:dyDescent="0.35">
      <c r="A236" s="7">
        <v>18</v>
      </c>
      <c r="B236" s="7" t="s">
        <v>399</v>
      </c>
      <c r="C236" s="7">
        <v>2021</v>
      </c>
      <c r="D236" s="7" t="s">
        <v>400</v>
      </c>
      <c r="E236" s="7" t="s">
        <v>401</v>
      </c>
      <c r="F236" s="7" t="s">
        <v>402</v>
      </c>
      <c r="G236" s="7" t="s">
        <v>54</v>
      </c>
      <c r="H236" s="7" t="s">
        <v>408</v>
      </c>
      <c r="I236" s="7">
        <v>49.608964</v>
      </c>
      <c r="J236" s="10">
        <v>-124.845606</v>
      </c>
      <c r="K236" s="7" t="s">
        <v>103</v>
      </c>
      <c r="L236" s="7" t="s">
        <v>163</v>
      </c>
      <c r="M236" s="7" t="s">
        <v>404</v>
      </c>
      <c r="N236" s="7" t="s">
        <v>245</v>
      </c>
      <c r="O236" s="7" t="s">
        <v>246</v>
      </c>
      <c r="P236" s="7" t="str">
        <f t="shared" si="2"/>
        <v>missing</v>
      </c>
      <c r="Q236" s="7" t="s">
        <v>31</v>
      </c>
    </row>
    <row r="237" spans="1:19" s="7" customFormat="1" x14ac:dyDescent="0.35">
      <c r="A237" s="7">
        <v>18</v>
      </c>
      <c r="B237" s="7" t="s">
        <v>399</v>
      </c>
      <c r="C237" s="7">
        <v>2021</v>
      </c>
      <c r="D237" s="7" t="s">
        <v>400</v>
      </c>
      <c r="E237" s="7" t="s">
        <v>401</v>
      </c>
      <c r="F237" s="7" t="s">
        <v>402</v>
      </c>
      <c r="G237" s="7" t="s">
        <v>54</v>
      </c>
      <c r="H237" s="7" t="s">
        <v>409</v>
      </c>
      <c r="I237" s="7">
        <v>49.584235999999997</v>
      </c>
      <c r="J237" s="10">
        <v>-124.80220799999999</v>
      </c>
      <c r="K237" s="7" t="s">
        <v>103</v>
      </c>
      <c r="L237" s="7" t="s">
        <v>163</v>
      </c>
      <c r="M237" s="7" t="s">
        <v>404</v>
      </c>
      <c r="N237" s="7" t="s">
        <v>245</v>
      </c>
      <c r="O237" s="7" t="s">
        <v>246</v>
      </c>
      <c r="P237" s="7" t="str">
        <f t="shared" si="2"/>
        <v>missing</v>
      </c>
      <c r="Q237" s="7" t="s">
        <v>31</v>
      </c>
    </row>
    <row r="238" spans="1:19" s="7" customFormat="1" x14ac:dyDescent="0.35">
      <c r="A238" s="7">
        <v>18</v>
      </c>
      <c r="B238" s="7" t="s">
        <v>399</v>
      </c>
      <c r="C238" s="7">
        <v>2021</v>
      </c>
      <c r="D238" s="7" t="s">
        <v>400</v>
      </c>
      <c r="E238" s="7" t="s">
        <v>401</v>
      </c>
      <c r="F238" s="7" t="s">
        <v>402</v>
      </c>
      <c r="G238" s="7" t="s">
        <v>54</v>
      </c>
      <c r="H238" s="7" t="s">
        <v>410</v>
      </c>
      <c r="I238" s="7">
        <v>49.545062000000001</v>
      </c>
      <c r="J238" s="10">
        <v>-124.751144</v>
      </c>
      <c r="K238" s="7" t="s">
        <v>103</v>
      </c>
      <c r="L238" s="7" t="s">
        <v>163</v>
      </c>
      <c r="M238" s="7" t="s">
        <v>404</v>
      </c>
      <c r="N238" s="7" t="s">
        <v>245</v>
      </c>
      <c r="O238" s="7" t="s">
        <v>246</v>
      </c>
      <c r="P238" s="7" t="str">
        <f t="shared" si="2"/>
        <v>missing</v>
      </c>
      <c r="Q238" s="7" t="s">
        <v>31</v>
      </c>
    </row>
    <row r="239" spans="1:19" s="7" customFormat="1" x14ac:dyDescent="0.35">
      <c r="A239" s="7">
        <v>18</v>
      </c>
      <c r="B239" s="7" t="s">
        <v>399</v>
      </c>
      <c r="C239" s="7">
        <v>2021</v>
      </c>
      <c r="D239" s="7" t="s">
        <v>400</v>
      </c>
      <c r="E239" s="7" t="s">
        <v>401</v>
      </c>
      <c r="F239" s="7" t="s">
        <v>402</v>
      </c>
      <c r="G239" s="7" t="s">
        <v>54</v>
      </c>
      <c r="H239" s="7" t="s">
        <v>411</v>
      </c>
      <c r="I239" s="7">
        <v>49.592295999999997</v>
      </c>
      <c r="J239" s="10">
        <v>-124.879074</v>
      </c>
      <c r="K239" s="7" t="s">
        <v>103</v>
      </c>
      <c r="L239" s="7" t="s">
        <v>163</v>
      </c>
      <c r="M239" s="7" t="s">
        <v>404</v>
      </c>
      <c r="N239" s="7" t="s">
        <v>245</v>
      </c>
      <c r="O239" s="7" t="s">
        <v>246</v>
      </c>
      <c r="P239" s="7" t="str">
        <f t="shared" si="2"/>
        <v>missing</v>
      </c>
      <c r="Q239" s="7" t="s">
        <v>31</v>
      </c>
    </row>
    <row r="240" spans="1:19" s="7" customFormat="1" x14ac:dyDescent="0.35">
      <c r="A240" s="7">
        <v>18</v>
      </c>
      <c r="B240" s="7" t="s">
        <v>399</v>
      </c>
      <c r="C240" s="7">
        <v>2021</v>
      </c>
      <c r="D240" s="7" t="s">
        <v>400</v>
      </c>
      <c r="E240" s="7" t="s">
        <v>401</v>
      </c>
      <c r="F240" s="7" t="s">
        <v>402</v>
      </c>
      <c r="G240" s="7" t="s">
        <v>54</v>
      </c>
      <c r="H240" s="7" t="s">
        <v>412</v>
      </c>
      <c r="I240" s="7">
        <v>49.507238000000001</v>
      </c>
      <c r="J240" s="10">
        <v>-124.802665</v>
      </c>
      <c r="K240" s="7" t="s">
        <v>103</v>
      </c>
      <c r="L240" s="7" t="s">
        <v>163</v>
      </c>
      <c r="M240" s="7" t="s">
        <v>404</v>
      </c>
      <c r="N240" s="7" t="s">
        <v>245</v>
      </c>
      <c r="O240" s="7" t="s">
        <v>246</v>
      </c>
      <c r="P240" s="7" t="str">
        <f t="shared" si="2"/>
        <v>missing</v>
      </c>
      <c r="Q240" s="7" t="s">
        <v>31</v>
      </c>
    </row>
    <row r="241" spans="1:18" s="7" customFormat="1" x14ac:dyDescent="0.35">
      <c r="A241" s="7">
        <v>18</v>
      </c>
      <c r="B241" s="7" t="s">
        <v>399</v>
      </c>
      <c r="C241" s="7">
        <v>2021</v>
      </c>
      <c r="D241" s="7" t="s">
        <v>400</v>
      </c>
      <c r="E241" s="7" t="s">
        <v>401</v>
      </c>
      <c r="F241" s="7" t="s">
        <v>402</v>
      </c>
      <c r="G241" s="7" t="s">
        <v>54</v>
      </c>
      <c r="H241" s="7" t="s">
        <v>413</v>
      </c>
      <c r="I241" s="7">
        <v>49.485005999999998</v>
      </c>
      <c r="J241" s="10">
        <v>-124.78940299999999</v>
      </c>
      <c r="K241" s="7" t="s">
        <v>103</v>
      </c>
      <c r="L241" s="7" t="s">
        <v>163</v>
      </c>
      <c r="M241" s="7" t="s">
        <v>404</v>
      </c>
      <c r="N241" s="7" t="s">
        <v>245</v>
      </c>
      <c r="O241" s="7" t="s">
        <v>246</v>
      </c>
      <c r="P241" s="7" t="str">
        <f t="shared" si="2"/>
        <v>missing</v>
      </c>
      <c r="Q241" s="7" t="s">
        <v>31</v>
      </c>
    </row>
    <row r="242" spans="1:18" s="7" customFormat="1" x14ac:dyDescent="0.35">
      <c r="A242" s="7">
        <v>18</v>
      </c>
      <c r="B242" s="7" t="s">
        <v>399</v>
      </c>
      <c r="C242" s="7">
        <v>2021</v>
      </c>
      <c r="D242" s="7" t="s">
        <v>400</v>
      </c>
      <c r="E242" s="7" t="s">
        <v>401</v>
      </c>
      <c r="F242" s="7" t="s">
        <v>402</v>
      </c>
      <c r="G242" s="7" t="s">
        <v>54</v>
      </c>
      <c r="H242" s="7" t="s">
        <v>414</v>
      </c>
      <c r="I242" s="7">
        <v>49.463031999999998</v>
      </c>
      <c r="J242" s="10">
        <v>-124.74795</v>
      </c>
      <c r="K242" s="7" t="s">
        <v>103</v>
      </c>
      <c r="L242" s="7" t="s">
        <v>163</v>
      </c>
      <c r="M242" s="7" t="s">
        <v>404</v>
      </c>
      <c r="N242" s="7" t="s">
        <v>245</v>
      </c>
      <c r="O242" s="7" t="s">
        <v>246</v>
      </c>
      <c r="P242" s="7" t="str">
        <f t="shared" si="2"/>
        <v>missing</v>
      </c>
      <c r="Q242" s="7" t="s">
        <v>31</v>
      </c>
    </row>
    <row r="243" spans="1:18" s="7" customFormat="1" x14ac:dyDescent="0.35">
      <c r="A243" s="7">
        <v>18</v>
      </c>
      <c r="B243" s="7" t="s">
        <v>399</v>
      </c>
      <c r="C243" s="7">
        <v>2021</v>
      </c>
      <c r="D243" s="7" t="s">
        <v>400</v>
      </c>
      <c r="E243" s="7" t="s">
        <v>401</v>
      </c>
      <c r="F243" s="7" t="s">
        <v>402</v>
      </c>
      <c r="G243" s="7" t="s">
        <v>54</v>
      </c>
      <c r="H243" s="7" t="s">
        <v>415</v>
      </c>
      <c r="I243" s="7">
        <v>49.475783</v>
      </c>
      <c r="J243" s="10">
        <v>-124.698229</v>
      </c>
      <c r="K243" s="7" t="s">
        <v>103</v>
      </c>
      <c r="L243" s="7" t="s">
        <v>163</v>
      </c>
      <c r="M243" s="7" t="s">
        <v>404</v>
      </c>
      <c r="N243" s="7" t="s">
        <v>245</v>
      </c>
      <c r="O243" s="7" t="s">
        <v>246</v>
      </c>
      <c r="P243" s="7" t="str">
        <f t="shared" si="2"/>
        <v>missing</v>
      </c>
      <c r="Q243" s="7" t="s">
        <v>31</v>
      </c>
    </row>
    <row r="244" spans="1:18" s="7" customFormat="1" x14ac:dyDescent="0.35">
      <c r="A244" s="7">
        <v>18</v>
      </c>
      <c r="B244" s="7" t="s">
        <v>399</v>
      </c>
      <c r="C244" s="7">
        <v>2021</v>
      </c>
      <c r="D244" s="7" t="s">
        <v>400</v>
      </c>
      <c r="E244" s="7" t="s">
        <v>401</v>
      </c>
      <c r="F244" s="7" t="s">
        <v>402</v>
      </c>
      <c r="G244" s="7" t="s">
        <v>54</v>
      </c>
      <c r="H244" s="7" t="s">
        <v>416</v>
      </c>
      <c r="I244" s="7">
        <v>49.486469999999997</v>
      </c>
      <c r="J244" s="10">
        <v>-124.74876999999999</v>
      </c>
      <c r="K244" s="7" t="s">
        <v>103</v>
      </c>
      <c r="L244" s="7" t="s">
        <v>163</v>
      </c>
      <c r="M244" s="7" t="s">
        <v>404</v>
      </c>
      <c r="N244" s="7" t="s">
        <v>245</v>
      </c>
      <c r="O244" s="7" t="s">
        <v>246</v>
      </c>
      <c r="P244" s="7" t="str">
        <f t="shared" si="2"/>
        <v>missing</v>
      </c>
      <c r="Q244" s="7" t="s">
        <v>31</v>
      </c>
    </row>
    <row r="245" spans="1:18" s="7" customFormat="1" x14ac:dyDescent="0.35">
      <c r="A245" s="7">
        <v>18</v>
      </c>
      <c r="B245" s="7" t="s">
        <v>399</v>
      </c>
      <c r="C245" s="7">
        <v>2021</v>
      </c>
      <c r="D245" s="7" t="s">
        <v>400</v>
      </c>
      <c r="E245" s="7" t="s">
        <v>401</v>
      </c>
      <c r="F245" s="7" t="s">
        <v>402</v>
      </c>
      <c r="G245" s="7" t="s">
        <v>54</v>
      </c>
      <c r="H245" s="7" t="s">
        <v>417</v>
      </c>
      <c r="I245" s="7">
        <v>49.512542000000003</v>
      </c>
      <c r="J245" s="10">
        <v>-124.78612800000001</v>
      </c>
      <c r="K245" s="7" t="s">
        <v>103</v>
      </c>
      <c r="L245" s="7" t="s">
        <v>163</v>
      </c>
      <c r="M245" s="7" t="s">
        <v>404</v>
      </c>
      <c r="N245" s="7" t="s">
        <v>245</v>
      </c>
      <c r="O245" s="7" t="s">
        <v>246</v>
      </c>
      <c r="P245" s="7" t="str">
        <f t="shared" si="2"/>
        <v>missing</v>
      </c>
      <c r="Q245" s="7" t="s">
        <v>31</v>
      </c>
    </row>
    <row r="246" spans="1:18" s="7" customFormat="1" x14ac:dyDescent="0.35">
      <c r="A246" s="7">
        <v>18</v>
      </c>
      <c r="B246" s="7" t="s">
        <v>399</v>
      </c>
      <c r="C246" s="7">
        <v>2021</v>
      </c>
      <c r="D246" s="7" t="s">
        <v>400</v>
      </c>
      <c r="E246" s="7" t="s">
        <v>401</v>
      </c>
      <c r="F246" s="7" t="s">
        <v>402</v>
      </c>
      <c r="G246" s="7" t="s">
        <v>54</v>
      </c>
      <c r="H246" s="7" t="s">
        <v>418</v>
      </c>
      <c r="I246" s="7">
        <v>49.534460000000003</v>
      </c>
      <c r="J246" s="10">
        <v>-124.823497</v>
      </c>
      <c r="K246" s="7" t="s">
        <v>103</v>
      </c>
      <c r="L246" s="7" t="s">
        <v>163</v>
      </c>
      <c r="M246" s="7" t="s">
        <v>404</v>
      </c>
      <c r="N246" s="7" t="s">
        <v>245</v>
      </c>
      <c r="O246" s="7" t="s">
        <v>246</v>
      </c>
      <c r="P246" s="7" t="str">
        <f t="shared" si="2"/>
        <v>missing</v>
      </c>
      <c r="Q246" s="7" t="s">
        <v>31</v>
      </c>
    </row>
    <row r="247" spans="1:18" s="7" customFormat="1" x14ac:dyDescent="0.35">
      <c r="A247" s="7">
        <v>19</v>
      </c>
      <c r="B247" s="7" t="s">
        <v>419</v>
      </c>
      <c r="C247" s="7">
        <v>2025</v>
      </c>
      <c r="D247" s="7" t="s">
        <v>420</v>
      </c>
      <c r="E247" s="7" t="s">
        <v>421</v>
      </c>
      <c r="F247" s="7" t="s">
        <v>422</v>
      </c>
      <c r="G247" s="7" t="s">
        <v>54</v>
      </c>
      <c r="H247" s="7" t="s">
        <v>423</v>
      </c>
      <c r="I247" s="7">
        <v>48.760381000000002</v>
      </c>
      <c r="J247" s="10">
        <v>-123.62701199999999</v>
      </c>
      <c r="K247" s="7" t="s">
        <v>103</v>
      </c>
      <c r="L247" s="7" t="s">
        <v>163</v>
      </c>
      <c r="N247" s="7" t="s">
        <v>424</v>
      </c>
      <c r="O247" s="6" t="s">
        <v>44</v>
      </c>
      <c r="P247" s="7" t="s">
        <v>425</v>
      </c>
      <c r="Q247" s="7" t="s">
        <v>31</v>
      </c>
      <c r="R247" s="7" t="s">
        <v>427</v>
      </c>
    </row>
    <row r="248" spans="1:18" s="7" customFormat="1" x14ac:dyDescent="0.35">
      <c r="A248" s="7">
        <v>19</v>
      </c>
      <c r="B248" s="7" t="s">
        <v>419</v>
      </c>
      <c r="C248" s="7">
        <v>2025</v>
      </c>
      <c r="D248" s="7" t="s">
        <v>420</v>
      </c>
      <c r="E248" s="7" t="s">
        <v>421</v>
      </c>
      <c r="F248" s="7" t="s">
        <v>422</v>
      </c>
      <c r="G248" s="7" t="s">
        <v>54</v>
      </c>
      <c r="H248" s="7" t="s">
        <v>428</v>
      </c>
      <c r="I248" s="7">
        <v>49.660881000000003</v>
      </c>
      <c r="J248" s="10">
        <v>-124.94075100000001</v>
      </c>
      <c r="K248" s="7" t="s">
        <v>103</v>
      </c>
      <c r="L248" s="7" t="s">
        <v>163</v>
      </c>
      <c r="N248" s="7" t="s">
        <v>424</v>
      </c>
      <c r="O248" s="6" t="s">
        <v>44</v>
      </c>
      <c r="P248" s="6" t="s">
        <v>425</v>
      </c>
      <c r="Q248" s="7" t="s">
        <v>31</v>
      </c>
      <c r="R248" s="7" t="s">
        <v>427</v>
      </c>
    </row>
    <row r="249" spans="1:18" s="7" customFormat="1" x14ac:dyDescent="0.35">
      <c r="A249" s="7">
        <v>20</v>
      </c>
      <c r="B249" s="7" t="s">
        <v>429</v>
      </c>
      <c r="C249" s="7">
        <v>2024</v>
      </c>
      <c r="D249" s="7" t="s">
        <v>430</v>
      </c>
      <c r="E249" s="7" t="s">
        <v>431</v>
      </c>
      <c r="F249" s="7" t="s">
        <v>432</v>
      </c>
      <c r="G249" s="7" t="s">
        <v>161</v>
      </c>
      <c r="H249" s="7" t="s">
        <v>433</v>
      </c>
      <c r="I249" s="7">
        <v>46.715499999999999</v>
      </c>
      <c r="J249" s="7">
        <v>-71.391666999999998</v>
      </c>
      <c r="K249" s="7" t="s">
        <v>41</v>
      </c>
      <c r="L249" s="7" t="s">
        <v>163</v>
      </c>
      <c r="M249" s="7" t="s">
        <v>434</v>
      </c>
      <c r="N249" s="7" t="s">
        <v>435</v>
      </c>
      <c r="O249" s="7" t="s">
        <v>31</v>
      </c>
      <c r="P249" s="7" t="s">
        <v>435</v>
      </c>
      <c r="Q249" s="7" t="s">
        <v>31</v>
      </c>
    </row>
    <row r="250" spans="1:18" s="7" customFormat="1" x14ac:dyDescent="0.35">
      <c r="A250" s="7">
        <v>20</v>
      </c>
      <c r="B250" s="7" t="s">
        <v>429</v>
      </c>
      <c r="C250" s="7">
        <v>2024</v>
      </c>
      <c r="D250" s="7" t="s">
        <v>430</v>
      </c>
      <c r="E250" s="7" t="s">
        <v>431</v>
      </c>
      <c r="F250" s="7" t="s">
        <v>432</v>
      </c>
      <c r="G250" s="7" t="s">
        <v>161</v>
      </c>
      <c r="H250" s="7" t="s">
        <v>437</v>
      </c>
      <c r="I250" s="7">
        <v>46.887166999999998</v>
      </c>
      <c r="J250" s="7">
        <v>-70.923500000000004</v>
      </c>
      <c r="K250" s="7" t="s">
        <v>41</v>
      </c>
      <c r="L250" s="7" t="s">
        <v>163</v>
      </c>
      <c r="M250" s="7" t="s">
        <v>434</v>
      </c>
      <c r="N250" s="7" t="s">
        <v>435</v>
      </c>
      <c r="O250" s="7" t="s">
        <v>31</v>
      </c>
      <c r="P250" s="7" t="s">
        <v>435</v>
      </c>
      <c r="Q250" s="7" t="s">
        <v>31</v>
      </c>
    </row>
    <row r="251" spans="1:18" s="7" customFormat="1" x14ac:dyDescent="0.35">
      <c r="A251" s="7">
        <v>20</v>
      </c>
      <c r="B251" s="7" t="s">
        <v>429</v>
      </c>
      <c r="C251" s="7">
        <v>2024</v>
      </c>
      <c r="D251" s="7" t="s">
        <v>430</v>
      </c>
      <c r="E251" s="7" t="s">
        <v>431</v>
      </c>
      <c r="F251" s="7" t="s">
        <v>432</v>
      </c>
      <c r="G251" s="7" t="s">
        <v>161</v>
      </c>
      <c r="H251" s="7" t="s">
        <v>438</v>
      </c>
      <c r="I251" s="7">
        <v>47.094667000000001</v>
      </c>
      <c r="J251" s="7">
        <v>-70.716166999999999</v>
      </c>
      <c r="K251" s="7" t="s">
        <v>41</v>
      </c>
      <c r="L251" s="7" t="s">
        <v>163</v>
      </c>
      <c r="M251" s="7" t="s">
        <v>434</v>
      </c>
      <c r="N251" s="7" t="s">
        <v>435</v>
      </c>
      <c r="O251" s="7" t="s">
        <v>31</v>
      </c>
      <c r="P251" s="7" t="s">
        <v>435</v>
      </c>
      <c r="Q251" s="7" t="s">
        <v>31</v>
      </c>
    </row>
    <row r="252" spans="1:18" s="7" customFormat="1" x14ac:dyDescent="0.35">
      <c r="A252" s="7">
        <v>20</v>
      </c>
      <c r="B252" s="7" t="s">
        <v>429</v>
      </c>
      <c r="C252" s="7">
        <v>2024</v>
      </c>
      <c r="D252" s="7" t="s">
        <v>430</v>
      </c>
      <c r="E252" s="7" t="s">
        <v>431</v>
      </c>
      <c r="F252" s="7" t="s">
        <v>432</v>
      </c>
      <c r="G252" s="7" t="s">
        <v>161</v>
      </c>
      <c r="H252" s="7" t="s">
        <v>439</v>
      </c>
      <c r="I252" s="7">
        <v>47.415666999999999</v>
      </c>
      <c r="J252" s="7">
        <v>-70.440832999999998</v>
      </c>
      <c r="K252" s="7" t="s">
        <v>41</v>
      </c>
      <c r="L252" s="7" t="s">
        <v>163</v>
      </c>
      <c r="M252" s="7" t="s">
        <v>434</v>
      </c>
      <c r="N252" s="7" t="s">
        <v>435</v>
      </c>
      <c r="O252" s="7" t="s">
        <v>31</v>
      </c>
      <c r="P252" s="7" t="s">
        <v>435</v>
      </c>
      <c r="Q252" s="7" t="s">
        <v>31</v>
      </c>
    </row>
    <row r="253" spans="1:18" s="7" customFormat="1" x14ac:dyDescent="0.35">
      <c r="A253" s="7">
        <v>20</v>
      </c>
      <c r="B253" s="7" t="s">
        <v>429</v>
      </c>
      <c r="C253" s="7">
        <v>2024</v>
      </c>
      <c r="D253" s="7" t="s">
        <v>430</v>
      </c>
      <c r="E253" s="7" t="s">
        <v>431</v>
      </c>
      <c r="F253" s="7" t="s">
        <v>432</v>
      </c>
      <c r="G253" s="7" t="s">
        <v>161</v>
      </c>
      <c r="H253" s="7" t="s">
        <v>440</v>
      </c>
      <c r="I253" s="7">
        <v>47.403832999999999</v>
      </c>
      <c r="J253" s="7">
        <v>-70.283833000000001</v>
      </c>
      <c r="K253" s="7" t="s">
        <v>41</v>
      </c>
      <c r="L253" s="7" t="s">
        <v>163</v>
      </c>
      <c r="M253" s="7" t="s">
        <v>434</v>
      </c>
      <c r="N253" s="7" t="s">
        <v>435</v>
      </c>
      <c r="O253" s="7" t="s">
        <v>31</v>
      </c>
      <c r="P253" s="7" t="s">
        <v>435</v>
      </c>
      <c r="Q253" s="7" t="s">
        <v>31</v>
      </c>
    </row>
    <row r="254" spans="1:18" s="7" customFormat="1" x14ac:dyDescent="0.35">
      <c r="A254" s="7">
        <v>20</v>
      </c>
      <c r="B254" s="7" t="s">
        <v>429</v>
      </c>
      <c r="C254" s="7">
        <v>2024</v>
      </c>
      <c r="D254" s="7" t="s">
        <v>430</v>
      </c>
      <c r="E254" s="7" t="s">
        <v>431</v>
      </c>
      <c r="F254" s="7" t="s">
        <v>432</v>
      </c>
      <c r="G254" s="7" t="s">
        <v>161</v>
      </c>
      <c r="H254" s="7" t="s">
        <v>441</v>
      </c>
      <c r="I254" s="7">
        <v>47.393500000000003</v>
      </c>
      <c r="J254" s="7">
        <v>-70.229832999999999</v>
      </c>
      <c r="K254" s="7" t="s">
        <v>41</v>
      </c>
      <c r="L254" s="7" t="s">
        <v>163</v>
      </c>
      <c r="M254" s="7" t="s">
        <v>434</v>
      </c>
      <c r="N254" s="7" t="s">
        <v>435</v>
      </c>
      <c r="O254" s="7" t="s">
        <v>31</v>
      </c>
      <c r="P254" s="7" t="s">
        <v>435</v>
      </c>
      <c r="Q254" s="7" t="s">
        <v>31</v>
      </c>
    </row>
    <row r="255" spans="1:18" s="7" customFormat="1" x14ac:dyDescent="0.35">
      <c r="A255" s="7">
        <v>20</v>
      </c>
      <c r="B255" s="7" t="s">
        <v>429</v>
      </c>
      <c r="C255" s="7">
        <v>2024</v>
      </c>
      <c r="D255" s="7" t="s">
        <v>430</v>
      </c>
      <c r="E255" s="7" t="s">
        <v>431</v>
      </c>
      <c r="F255" s="7" t="s">
        <v>432</v>
      </c>
      <c r="G255" s="7" t="s">
        <v>161</v>
      </c>
      <c r="H255" s="7" t="s">
        <v>442</v>
      </c>
      <c r="I255" s="7">
        <v>47.742333000000002</v>
      </c>
      <c r="J255" s="7">
        <v>-69.927833000000007</v>
      </c>
      <c r="K255" s="7" t="s">
        <v>41</v>
      </c>
      <c r="L255" s="7" t="s">
        <v>163</v>
      </c>
      <c r="M255" s="7" t="s">
        <v>434</v>
      </c>
      <c r="N255" s="7" t="s">
        <v>435</v>
      </c>
      <c r="O255" s="7" t="s">
        <v>31</v>
      </c>
      <c r="P255" s="7" t="s">
        <v>435</v>
      </c>
      <c r="Q255" s="7" t="s">
        <v>31</v>
      </c>
    </row>
    <row r="256" spans="1:18" s="7" customFormat="1" x14ac:dyDescent="0.35">
      <c r="A256" s="7">
        <v>20</v>
      </c>
      <c r="B256" s="7" t="s">
        <v>429</v>
      </c>
      <c r="C256" s="7">
        <v>2024</v>
      </c>
      <c r="D256" s="7" t="s">
        <v>430</v>
      </c>
      <c r="E256" s="7" t="s">
        <v>431</v>
      </c>
      <c r="F256" s="7" t="s">
        <v>432</v>
      </c>
      <c r="G256" s="7" t="s">
        <v>161</v>
      </c>
      <c r="H256" s="7" t="s">
        <v>443</v>
      </c>
      <c r="I256" s="7">
        <v>47.718333000000001</v>
      </c>
      <c r="J256" s="7">
        <v>-69.886332999999993</v>
      </c>
      <c r="K256" s="7" t="s">
        <v>41</v>
      </c>
      <c r="L256" s="7" t="s">
        <v>163</v>
      </c>
      <c r="M256" s="7" t="s">
        <v>434</v>
      </c>
      <c r="N256" s="7" t="s">
        <v>435</v>
      </c>
      <c r="O256" s="7" t="s">
        <v>31</v>
      </c>
      <c r="P256" s="7" t="s">
        <v>435</v>
      </c>
      <c r="Q256" s="7" t="s">
        <v>31</v>
      </c>
    </row>
    <row r="257" spans="1:17" s="7" customFormat="1" x14ac:dyDescent="0.35">
      <c r="A257" s="7">
        <v>20</v>
      </c>
      <c r="B257" s="7" t="s">
        <v>429</v>
      </c>
      <c r="C257" s="7">
        <v>2024</v>
      </c>
      <c r="D257" s="7" t="s">
        <v>430</v>
      </c>
      <c r="E257" s="7" t="s">
        <v>431</v>
      </c>
      <c r="F257" s="7" t="s">
        <v>432</v>
      </c>
      <c r="G257" s="7" t="s">
        <v>161</v>
      </c>
      <c r="H257" s="7" t="s">
        <v>444</v>
      </c>
      <c r="I257" s="7">
        <v>47.695999999999998</v>
      </c>
      <c r="J257" s="7">
        <v>-69.821667000000005</v>
      </c>
      <c r="K257" s="7" t="s">
        <v>41</v>
      </c>
      <c r="L257" s="7" t="s">
        <v>163</v>
      </c>
      <c r="M257" s="7" t="s">
        <v>434</v>
      </c>
      <c r="N257" s="7" t="s">
        <v>435</v>
      </c>
      <c r="O257" s="7" t="s">
        <v>31</v>
      </c>
      <c r="P257" s="7" t="s">
        <v>435</v>
      </c>
      <c r="Q257" s="7" t="s">
        <v>31</v>
      </c>
    </row>
    <row r="258" spans="1:17" s="7" customFormat="1" x14ac:dyDescent="0.35">
      <c r="A258" s="7">
        <v>20</v>
      </c>
      <c r="B258" s="7" t="s">
        <v>429</v>
      </c>
      <c r="C258" s="7">
        <v>2024</v>
      </c>
      <c r="D258" s="7" t="s">
        <v>430</v>
      </c>
      <c r="E258" s="7" t="s">
        <v>431</v>
      </c>
      <c r="F258" s="7" t="s">
        <v>432</v>
      </c>
      <c r="G258" s="7" t="s">
        <v>161</v>
      </c>
      <c r="H258" s="7" t="s">
        <v>445</v>
      </c>
      <c r="I258" s="7">
        <v>48.072833000000003</v>
      </c>
      <c r="J258" s="7">
        <v>-69.624499999999998</v>
      </c>
      <c r="K258" s="7" t="s">
        <v>41</v>
      </c>
      <c r="L258" s="7" t="s">
        <v>163</v>
      </c>
      <c r="M258" s="7" t="s">
        <v>434</v>
      </c>
      <c r="N258" s="7" t="s">
        <v>435</v>
      </c>
      <c r="O258" s="7" t="s">
        <v>31</v>
      </c>
      <c r="P258" s="7" t="s">
        <v>435</v>
      </c>
      <c r="Q258" s="7" t="s">
        <v>31</v>
      </c>
    </row>
    <row r="259" spans="1:17" s="7" customFormat="1" x14ac:dyDescent="0.35">
      <c r="A259" s="7">
        <v>20</v>
      </c>
      <c r="B259" s="7" t="s">
        <v>429</v>
      </c>
      <c r="C259" s="7">
        <v>2024</v>
      </c>
      <c r="D259" s="7" t="s">
        <v>430</v>
      </c>
      <c r="E259" s="7" t="s">
        <v>431</v>
      </c>
      <c r="F259" s="7" t="s">
        <v>432</v>
      </c>
      <c r="G259" s="7" t="s">
        <v>161</v>
      </c>
      <c r="H259" s="7" t="s">
        <v>446</v>
      </c>
      <c r="I259" s="7">
        <v>48.057667000000002</v>
      </c>
      <c r="J259" s="7">
        <v>-69.548833000000002</v>
      </c>
      <c r="K259" s="7" t="s">
        <v>41</v>
      </c>
      <c r="L259" s="7" t="s">
        <v>163</v>
      </c>
      <c r="M259" s="7" t="s">
        <v>434</v>
      </c>
      <c r="N259" s="7" t="s">
        <v>435</v>
      </c>
      <c r="O259" s="7" t="s">
        <v>31</v>
      </c>
      <c r="P259" s="7" t="s">
        <v>435</v>
      </c>
      <c r="Q259" s="7" t="s">
        <v>31</v>
      </c>
    </row>
    <row r="260" spans="1:17" s="7" customFormat="1" x14ac:dyDescent="0.35">
      <c r="A260" s="7">
        <v>20</v>
      </c>
      <c r="B260" s="7" t="s">
        <v>429</v>
      </c>
      <c r="C260" s="7">
        <v>2024</v>
      </c>
      <c r="D260" s="7" t="s">
        <v>430</v>
      </c>
      <c r="E260" s="7" t="s">
        <v>431</v>
      </c>
      <c r="F260" s="7" t="s">
        <v>432</v>
      </c>
      <c r="G260" s="7" t="s">
        <v>161</v>
      </c>
      <c r="H260" s="7" t="s">
        <v>447</v>
      </c>
      <c r="I260" s="7">
        <v>48.027667000000001</v>
      </c>
      <c r="J260" s="7">
        <v>-69.485667000000007</v>
      </c>
      <c r="K260" s="7" t="s">
        <v>41</v>
      </c>
      <c r="L260" s="7" t="s">
        <v>163</v>
      </c>
      <c r="M260" s="7" t="s">
        <v>434</v>
      </c>
      <c r="N260" s="7" t="s">
        <v>435</v>
      </c>
      <c r="O260" s="7" t="s">
        <v>31</v>
      </c>
      <c r="P260" s="7" t="s">
        <v>435</v>
      </c>
      <c r="Q260" s="7" t="s">
        <v>31</v>
      </c>
    </row>
    <row r="261" spans="1:17" s="7" customFormat="1" x14ac:dyDescent="0.35">
      <c r="A261" s="7">
        <v>20</v>
      </c>
      <c r="B261" s="7" t="s">
        <v>429</v>
      </c>
      <c r="C261" s="7">
        <v>2024</v>
      </c>
      <c r="D261" s="7" t="s">
        <v>430</v>
      </c>
      <c r="E261" s="7" t="s">
        <v>431</v>
      </c>
      <c r="F261" s="7" t="s">
        <v>432</v>
      </c>
      <c r="G261" s="7" t="s">
        <v>161</v>
      </c>
      <c r="H261" s="7" t="s">
        <v>448</v>
      </c>
      <c r="I261" s="7">
        <v>48.348332999999997</v>
      </c>
      <c r="J261" s="7">
        <v>-69.327667000000005</v>
      </c>
      <c r="K261" s="7" t="s">
        <v>41</v>
      </c>
      <c r="L261" s="7" t="s">
        <v>163</v>
      </c>
      <c r="M261" s="7" t="s">
        <v>434</v>
      </c>
      <c r="N261" s="7" t="s">
        <v>435</v>
      </c>
      <c r="O261" s="7" t="s">
        <v>31</v>
      </c>
      <c r="P261" s="7" t="s">
        <v>435</v>
      </c>
      <c r="Q261" s="7" t="s">
        <v>31</v>
      </c>
    </row>
    <row r="262" spans="1:17" s="7" customFormat="1" x14ac:dyDescent="0.35">
      <c r="A262" s="7">
        <v>20</v>
      </c>
      <c r="B262" s="7" t="s">
        <v>429</v>
      </c>
      <c r="C262" s="7">
        <v>2024</v>
      </c>
      <c r="D262" s="7" t="s">
        <v>430</v>
      </c>
      <c r="E262" s="7" t="s">
        <v>431</v>
      </c>
      <c r="F262" s="7" t="s">
        <v>432</v>
      </c>
      <c r="G262" s="7" t="s">
        <v>161</v>
      </c>
      <c r="H262" s="7" t="s">
        <v>449</v>
      </c>
      <c r="I262" s="7">
        <v>48.317332999999998</v>
      </c>
      <c r="J262" s="7">
        <v>-69.199667000000005</v>
      </c>
      <c r="K262" s="7" t="s">
        <v>41</v>
      </c>
      <c r="L262" s="7" t="s">
        <v>163</v>
      </c>
      <c r="M262" s="7" t="s">
        <v>434</v>
      </c>
      <c r="N262" s="7" t="s">
        <v>435</v>
      </c>
      <c r="O262" s="7" t="s">
        <v>31</v>
      </c>
      <c r="P262" s="7" t="s">
        <v>435</v>
      </c>
      <c r="Q262" s="7" t="s">
        <v>31</v>
      </c>
    </row>
    <row r="263" spans="1:17" s="7" customFormat="1" x14ac:dyDescent="0.35">
      <c r="A263" s="7">
        <v>20</v>
      </c>
      <c r="B263" s="7" t="s">
        <v>429</v>
      </c>
      <c r="C263" s="7">
        <v>2024</v>
      </c>
      <c r="D263" s="7" t="s">
        <v>430</v>
      </c>
      <c r="E263" s="7" t="s">
        <v>431</v>
      </c>
      <c r="F263" s="7" t="s">
        <v>432</v>
      </c>
      <c r="G263" s="7" t="s">
        <v>161</v>
      </c>
      <c r="H263" s="7" t="s">
        <v>450</v>
      </c>
      <c r="I263" s="7">
        <v>48.279499999999999</v>
      </c>
      <c r="J263" s="7">
        <v>-69.072166999999993</v>
      </c>
      <c r="K263" s="7" t="s">
        <v>41</v>
      </c>
      <c r="L263" s="7" t="s">
        <v>163</v>
      </c>
      <c r="M263" s="7" t="s">
        <v>434</v>
      </c>
      <c r="N263" s="7" t="s">
        <v>435</v>
      </c>
      <c r="O263" s="7" t="s">
        <v>31</v>
      </c>
      <c r="P263" s="7" t="s">
        <v>435</v>
      </c>
      <c r="Q263" s="7" t="s">
        <v>31</v>
      </c>
    </row>
    <row r="264" spans="1:17" s="7" customFormat="1" x14ac:dyDescent="0.35">
      <c r="A264" s="7">
        <v>20</v>
      </c>
      <c r="B264" s="7" t="s">
        <v>429</v>
      </c>
      <c r="C264" s="7">
        <v>2024</v>
      </c>
      <c r="D264" s="7" t="s">
        <v>430</v>
      </c>
      <c r="E264" s="7" t="s">
        <v>431</v>
      </c>
      <c r="F264" s="7" t="s">
        <v>432</v>
      </c>
      <c r="G264" s="7" t="s">
        <v>161</v>
      </c>
      <c r="H264" s="7" t="s">
        <v>451</v>
      </c>
      <c r="I264" s="7">
        <v>48.629167000000002</v>
      </c>
      <c r="J264" s="7">
        <v>-69.013666999999998</v>
      </c>
      <c r="K264" s="7" t="s">
        <v>41</v>
      </c>
      <c r="L264" s="7" t="s">
        <v>163</v>
      </c>
      <c r="M264" s="7" t="s">
        <v>434</v>
      </c>
      <c r="N264" s="7" t="s">
        <v>435</v>
      </c>
      <c r="O264" s="7" t="s">
        <v>31</v>
      </c>
      <c r="P264" s="7" t="s">
        <v>435</v>
      </c>
      <c r="Q264" s="7" t="s">
        <v>31</v>
      </c>
    </row>
    <row r="265" spans="1:17" s="7" customFormat="1" x14ac:dyDescent="0.35">
      <c r="A265" s="7">
        <v>20</v>
      </c>
      <c r="B265" s="7" t="s">
        <v>429</v>
      </c>
      <c r="C265" s="7">
        <v>2024</v>
      </c>
      <c r="D265" s="7" t="s">
        <v>430</v>
      </c>
      <c r="E265" s="7" t="s">
        <v>431</v>
      </c>
      <c r="F265" s="7" t="s">
        <v>432</v>
      </c>
      <c r="G265" s="7" t="s">
        <v>161</v>
      </c>
      <c r="H265" s="7" t="s">
        <v>452</v>
      </c>
      <c r="I265" s="7">
        <v>48.558667</v>
      </c>
      <c r="J265" s="7">
        <v>-68.845332999999997</v>
      </c>
      <c r="K265" s="7" t="s">
        <v>41</v>
      </c>
      <c r="L265" s="7" t="s">
        <v>163</v>
      </c>
      <c r="M265" s="7" t="s">
        <v>434</v>
      </c>
      <c r="N265" s="7" t="s">
        <v>435</v>
      </c>
      <c r="O265" s="7" t="s">
        <v>31</v>
      </c>
      <c r="P265" s="7" t="s">
        <v>435</v>
      </c>
      <c r="Q265" s="7" t="s">
        <v>31</v>
      </c>
    </row>
    <row r="266" spans="1:17" s="7" customFormat="1" x14ac:dyDescent="0.35">
      <c r="A266" s="7">
        <v>20</v>
      </c>
      <c r="B266" s="7" t="s">
        <v>429</v>
      </c>
      <c r="C266" s="7">
        <v>2024</v>
      </c>
      <c r="D266" s="7" t="s">
        <v>430</v>
      </c>
      <c r="E266" s="7" t="s">
        <v>431</v>
      </c>
      <c r="F266" s="7" t="s">
        <v>432</v>
      </c>
      <c r="G266" s="7" t="s">
        <v>161</v>
      </c>
      <c r="H266" s="7" t="s">
        <v>453</v>
      </c>
      <c r="I266" s="7">
        <v>48.473666999999999</v>
      </c>
      <c r="J266" s="7">
        <v>-68.665499999999994</v>
      </c>
      <c r="K266" s="7" t="s">
        <v>41</v>
      </c>
      <c r="L266" s="7" t="s">
        <v>163</v>
      </c>
      <c r="M266" s="7" t="s">
        <v>434</v>
      </c>
      <c r="N266" s="7" t="s">
        <v>435</v>
      </c>
      <c r="O266" s="7" t="s">
        <v>31</v>
      </c>
      <c r="P266" s="7" t="s">
        <v>435</v>
      </c>
      <c r="Q266" s="7" t="s">
        <v>31</v>
      </c>
    </row>
    <row r="267" spans="1:17" s="7" customFormat="1" x14ac:dyDescent="0.35">
      <c r="A267" s="7">
        <v>20</v>
      </c>
      <c r="B267" s="7" t="s">
        <v>429</v>
      </c>
      <c r="C267" s="7">
        <v>2024</v>
      </c>
      <c r="D267" s="7" t="s">
        <v>430</v>
      </c>
      <c r="E267" s="7" t="s">
        <v>431</v>
      </c>
      <c r="F267" s="7" t="s">
        <v>432</v>
      </c>
      <c r="G267" s="7" t="s">
        <v>161</v>
      </c>
      <c r="H267" s="7" t="s">
        <v>454</v>
      </c>
      <c r="I267" s="7">
        <v>48.575667000000003</v>
      </c>
      <c r="J267" s="7">
        <v>-68.489833000000004</v>
      </c>
      <c r="K267" s="7" t="s">
        <v>41</v>
      </c>
      <c r="L267" s="7" t="s">
        <v>163</v>
      </c>
      <c r="M267" s="7" t="s">
        <v>434</v>
      </c>
      <c r="N267" s="7" t="s">
        <v>435</v>
      </c>
      <c r="O267" s="7" t="s">
        <v>31</v>
      </c>
      <c r="P267" s="7" t="s">
        <v>435</v>
      </c>
      <c r="Q267" s="7" t="s">
        <v>31</v>
      </c>
    </row>
    <row r="268" spans="1:17" s="7" customFormat="1" x14ac:dyDescent="0.35">
      <c r="A268" s="7">
        <v>20</v>
      </c>
      <c r="B268" s="7" t="s">
        <v>429</v>
      </c>
      <c r="C268" s="7">
        <v>2024</v>
      </c>
      <c r="D268" s="7" t="s">
        <v>430</v>
      </c>
      <c r="E268" s="7" t="s">
        <v>431</v>
      </c>
      <c r="F268" s="7" t="s">
        <v>432</v>
      </c>
      <c r="G268" s="7" t="s">
        <v>161</v>
      </c>
      <c r="H268" s="7" t="s">
        <v>455</v>
      </c>
      <c r="I268" s="7">
        <v>48.666832999999997</v>
      </c>
      <c r="J268" s="7">
        <v>-68.581166999999994</v>
      </c>
      <c r="K268" s="7" t="s">
        <v>41</v>
      </c>
      <c r="L268" s="7" t="s">
        <v>163</v>
      </c>
      <c r="M268" s="7" t="s">
        <v>434</v>
      </c>
      <c r="N268" s="7" t="s">
        <v>435</v>
      </c>
      <c r="O268" s="7" t="s">
        <v>31</v>
      </c>
      <c r="P268" s="7" t="s">
        <v>435</v>
      </c>
      <c r="Q268" s="7" t="s">
        <v>31</v>
      </c>
    </row>
    <row r="269" spans="1:17" s="7" customFormat="1" x14ac:dyDescent="0.35">
      <c r="A269" s="7">
        <v>20</v>
      </c>
      <c r="B269" s="7" t="s">
        <v>429</v>
      </c>
      <c r="C269" s="7">
        <v>2024</v>
      </c>
      <c r="D269" s="7" t="s">
        <v>430</v>
      </c>
      <c r="E269" s="7" t="s">
        <v>431</v>
      </c>
      <c r="F269" s="7" t="s">
        <v>432</v>
      </c>
      <c r="G269" s="7" t="s">
        <v>161</v>
      </c>
      <c r="H269" s="7" t="s">
        <v>456</v>
      </c>
      <c r="I269" s="7">
        <v>48.787832999999999</v>
      </c>
      <c r="J269" s="7">
        <v>-68.711167000000003</v>
      </c>
      <c r="K269" s="7" t="s">
        <v>41</v>
      </c>
      <c r="L269" s="7" t="s">
        <v>163</v>
      </c>
      <c r="M269" s="7" t="s">
        <v>434</v>
      </c>
      <c r="N269" s="7" t="s">
        <v>435</v>
      </c>
      <c r="O269" s="7" t="s">
        <v>31</v>
      </c>
      <c r="P269" s="7" t="s">
        <v>435</v>
      </c>
      <c r="Q269" s="7" t="s">
        <v>31</v>
      </c>
    </row>
    <row r="270" spans="1:17" s="7" customFormat="1" x14ac:dyDescent="0.35">
      <c r="A270" s="7">
        <v>20</v>
      </c>
      <c r="B270" s="7" t="s">
        <v>429</v>
      </c>
      <c r="C270" s="7">
        <v>2024</v>
      </c>
      <c r="D270" s="7" t="s">
        <v>430</v>
      </c>
      <c r="E270" s="7" t="s">
        <v>431</v>
      </c>
      <c r="F270" s="7" t="s">
        <v>432</v>
      </c>
      <c r="G270" s="7" t="s">
        <v>161</v>
      </c>
      <c r="H270" s="7" t="s">
        <v>457</v>
      </c>
      <c r="I270" s="7">
        <v>49.036499999999997</v>
      </c>
      <c r="J270" s="7">
        <v>-68.267667000000003</v>
      </c>
      <c r="K270" s="7" t="s">
        <v>41</v>
      </c>
      <c r="L270" s="7" t="s">
        <v>163</v>
      </c>
      <c r="M270" s="7" t="s">
        <v>434</v>
      </c>
      <c r="N270" s="7" t="s">
        <v>435</v>
      </c>
      <c r="O270" s="7" t="s">
        <v>31</v>
      </c>
      <c r="P270" s="7" t="s">
        <v>435</v>
      </c>
      <c r="Q270" s="7" t="s">
        <v>31</v>
      </c>
    </row>
    <row r="271" spans="1:17" s="7" customFormat="1" x14ac:dyDescent="0.35">
      <c r="A271" s="7">
        <v>20</v>
      </c>
      <c r="B271" s="7" t="s">
        <v>429</v>
      </c>
      <c r="C271" s="7">
        <v>2024</v>
      </c>
      <c r="D271" s="7" t="s">
        <v>430</v>
      </c>
      <c r="E271" s="7" t="s">
        <v>431</v>
      </c>
      <c r="F271" s="7" t="s">
        <v>432</v>
      </c>
      <c r="G271" s="7" t="s">
        <v>161</v>
      </c>
      <c r="H271" s="7" t="s">
        <v>458</v>
      </c>
      <c r="I271" s="7">
        <v>48.954000000000001</v>
      </c>
      <c r="J271" s="7">
        <v>-68.094499999999996</v>
      </c>
      <c r="K271" s="7" t="s">
        <v>41</v>
      </c>
      <c r="L271" s="7" t="s">
        <v>163</v>
      </c>
      <c r="M271" s="7" t="s">
        <v>434</v>
      </c>
      <c r="N271" s="7" t="s">
        <v>435</v>
      </c>
      <c r="O271" s="7" t="s">
        <v>31</v>
      </c>
      <c r="P271" s="7" t="s">
        <v>435</v>
      </c>
      <c r="Q271" s="7" t="s">
        <v>31</v>
      </c>
    </row>
    <row r="272" spans="1:17" s="7" customFormat="1" x14ac:dyDescent="0.35">
      <c r="A272" s="7">
        <v>20</v>
      </c>
      <c r="B272" s="7" t="s">
        <v>429</v>
      </c>
      <c r="C272" s="7">
        <v>2024</v>
      </c>
      <c r="D272" s="7" t="s">
        <v>430</v>
      </c>
      <c r="E272" s="7" t="s">
        <v>431</v>
      </c>
      <c r="F272" s="7" t="s">
        <v>432</v>
      </c>
      <c r="G272" s="7" t="s">
        <v>161</v>
      </c>
      <c r="H272" s="7" t="s">
        <v>459</v>
      </c>
      <c r="I272" s="7">
        <v>48.830666999999998</v>
      </c>
      <c r="J272" s="7">
        <v>-67.856999999999999</v>
      </c>
      <c r="K272" s="7" t="s">
        <v>41</v>
      </c>
      <c r="L272" s="7" t="s">
        <v>163</v>
      </c>
      <c r="M272" s="7" t="s">
        <v>434</v>
      </c>
      <c r="N272" s="7" t="s">
        <v>435</v>
      </c>
      <c r="O272" s="7" t="s">
        <v>31</v>
      </c>
      <c r="P272" s="7" t="s">
        <v>435</v>
      </c>
      <c r="Q272" s="7" t="s">
        <v>31</v>
      </c>
    </row>
    <row r="273" spans="1:18" s="7" customFormat="1" x14ac:dyDescent="0.35">
      <c r="A273" s="7">
        <v>20</v>
      </c>
      <c r="B273" s="7" t="s">
        <v>429</v>
      </c>
      <c r="C273" s="7">
        <v>2024</v>
      </c>
      <c r="D273" s="7" t="s">
        <v>430</v>
      </c>
      <c r="E273" s="7" t="s">
        <v>431</v>
      </c>
      <c r="F273" s="7" t="s">
        <v>432</v>
      </c>
      <c r="G273" s="7" t="s">
        <v>161</v>
      </c>
      <c r="H273" s="7" t="s">
        <v>460</v>
      </c>
      <c r="I273" s="52">
        <v>49.27</v>
      </c>
      <c r="J273" s="7">
        <v>-67.363833</v>
      </c>
      <c r="K273" s="7" t="s">
        <v>41</v>
      </c>
      <c r="L273" s="7" t="s">
        <v>163</v>
      </c>
      <c r="M273" s="7" t="s">
        <v>434</v>
      </c>
      <c r="N273" s="7" t="s">
        <v>435</v>
      </c>
      <c r="O273" s="7" t="s">
        <v>31</v>
      </c>
      <c r="P273" s="7" t="s">
        <v>435</v>
      </c>
      <c r="Q273" s="7" t="s">
        <v>31</v>
      </c>
    </row>
    <row r="274" spans="1:18" s="7" customFormat="1" x14ac:dyDescent="0.35">
      <c r="A274" s="7">
        <v>20</v>
      </c>
      <c r="B274" s="7" t="s">
        <v>429</v>
      </c>
      <c r="C274" s="7">
        <v>2024</v>
      </c>
      <c r="D274" s="7" t="s">
        <v>430</v>
      </c>
      <c r="E274" s="7" t="s">
        <v>431</v>
      </c>
      <c r="F274" s="7" t="s">
        <v>432</v>
      </c>
      <c r="G274" s="7" t="s">
        <v>161</v>
      </c>
      <c r="H274" s="7" t="s">
        <v>461</v>
      </c>
      <c r="I274" s="7">
        <v>49.165500000000002</v>
      </c>
      <c r="J274" s="7">
        <v>-67.268500000000003</v>
      </c>
      <c r="K274" s="7" t="s">
        <v>41</v>
      </c>
      <c r="L274" s="7" t="s">
        <v>163</v>
      </c>
      <c r="M274" s="7" t="s">
        <v>434</v>
      </c>
      <c r="N274" s="7" t="s">
        <v>435</v>
      </c>
      <c r="O274" s="7" t="s">
        <v>31</v>
      </c>
      <c r="P274" s="7" t="s">
        <v>435</v>
      </c>
      <c r="Q274" s="7" t="s">
        <v>31</v>
      </c>
    </row>
    <row r="275" spans="1:18" s="7" customFormat="1" x14ac:dyDescent="0.35">
      <c r="A275" s="7">
        <v>20</v>
      </c>
      <c r="B275" s="7" t="s">
        <v>429</v>
      </c>
      <c r="C275" s="7">
        <v>2024</v>
      </c>
      <c r="D275" s="7" t="s">
        <v>430</v>
      </c>
      <c r="E275" s="7" t="s">
        <v>431</v>
      </c>
      <c r="F275" s="7" t="s">
        <v>432</v>
      </c>
      <c r="G275" s="7" t="s">
        <v>161</v>
      </c>
      <c r="H275" s="7" t="s">
        <v>462</v>
      </c>
      <c r="I275" s="7">
        <v>49.040332999999997</v>
      </c>
      <c r="J275" s="7">
        <v>-67.104167000000004</v>
      </c>
      <c r="K275" s="7" t="s">
        <v>41</v>
      </c>
      <c r="L275" s="7" t="s">
        <v>163</v>
      </c>
      <c r="M275" s="7" t="s">
        <v>434</v>
      </c>
      <c r="N275" s="7" t="s">
        <v>435</v>
      </c>
      <c r="O275" s="7" t="s">
        <v>31</v>
      </c>
      <c r="P275" s="7" t="s">
        <v>435</v>
      </c>
      <c r="Q275" s="7" t="s">
        <v>31</v>
      </c>
    </row>
    <row r="276" spans="1:18" s="7" customFormat="1" x14ac:dyDescent="0.35">
      <c r="A276" s="7">
        <v>20</v>
      </c>
      <c r="B276" s="7" t="s">
        <v>429</v>
      </c>
      <c r="C276" s="7">
        <v>2024</v>
      </c>
      <c r="D276" s="7" t="s">
        <v>430</v>
      </c>
      <c r="E276" s="7" t="s">
        <v>431</v>
      </c>
      <c r="F276" s="7" t="s">
        <v>432</v>
      </c>
      <c r="G276" s="7" t="s">
        <v>161</v>
      </c>
      <c r="H276" s="7" t="s">
        <v>463</v>
      </c>
      <c r="I276" s="7">
        <v>49.764000000000003</v>
      </c>
      <c r="J276" s="7">
        <v>-66.889499999999998</v>
      </c>
      <c r="K276" s="7" t="s">
        <v>41</v>
      </c>
      <c r="L276" s="7" t="s">
        <v>163</v>
      </c>
      <c r="M276" s="7" t="s">
        <v>434</v>
      </c>
      <c r="N276" s="7" t="s">
        <v>435</v>
      </c>
      <c r="O276" s="7" t="s">
        <v>31</v>
      </c>
      <c r="P276" s="7" t="s">
        <v>435</v>
      </c>
      <c r="Q276" s="7" t="s">
        <v>31</v>
      </c>
    </row>
    <row r="277" spans="1:18" s="7" customFormat="1" x14ac:dyDescent="0.35">
      <c r="A277" s="7">
        <v>20</v>
      </c>
      <c r="B277" s="7" t="s">
        <v>429</v>
      </c>
      <c r="C277" s="7">
        <v>2024</v>
      </c>
      <c r="D277" s="7" t="s">
        <v>430</v>
      </c>
      <c r="E277" s="7" t="s">
        <v>431</v>
      </c>
      <c r="F277" s="7" t="s">
        <v>432</v>
      </c>
      <c r="G277" s="7" t="s">
        <v>161</v>
      </c>
      <c r="H277" s="7" t="s">
        <v>464</v>
      </c>
      <c r="I277" s="7">
        <v>49.616</v>
      </c>
      <c r="J277" s="7">
        <v>-66.661167000000006</v>
      </c>
      <c r="K277" s="7" t="s">
        <v>41</v>
      </c>
      <c r="L277" s="7" t="s">
        <v>163</v>
      </c>
      <c r="M277" s="7" t="s">
        <v>434</v>
      </c>
      <c r="N277" s="7" t="s">
        <v>435</v>
      </c>
      <c r="O277" s="7" t="s">
        <v>31</v>
      </c>
      <c r="P277" s="7" t="s">
        <v>435</v>
      </c>
      <c r="Q277" s="7" t="s">
        <v>31</v>
      </c>
    </row>
    <row r="278" spans="1:18" s="7" customFormat="1" x14ac:dyDescent="0.35">
      <c r="A278" s="7">
        <v>20</v>
      </c>
      <c r="B278" s="7" t="s">
        <v>429</v>
      </c>
      <c r="C278" s="7">
        <v>2024</v>
      </c>
      <c r="D278" s="7" t="s">
        <v>430</v>
      </c>
      <c r="E278" s="7" t="s">
        <v>431</v>
      </c>
      <c r="F278" s="7" t="s">
        <v>432</v>
      </c>
      <c r="G278" s="7" t="s">
        <v>161</v>
      </c>
      <c r="H278" s="7" t="s">
        <v>465</v>
      </c>
      <c r="I278" s="7">
        <v>49.412832999999999</v>
      </c>
      <c r="J278" s="7">
        <v>-66.480999999999995</v>
      </c>
      <c r="K278" s="7" t="s">
        <v>41</v>
      </c>
      <c r="L278" s="7" t="s">
        <v>163</v>
      </c>
      <c r="M278" s="7" t="s">
        <v>434</v>
      </c>
      <c r="N278" s="7" t="s">
        <v>435</v>
      </c>
      <c r="O278" s="7" t="s">
        <v>31</v>
      </c>
      <c r="P278" s="7" t="s">
        <v>435</v>
      </c>
      <c r="Q278" s="7" t="s">
        <v>31</v>
      </c>
    </row>
    <row r="279" spans="1:18" s="7" customFormat="1" x14ac:dyDescent="0.35">
      <c r="A279" s="7">
        <v>20</v>
      </c>
      <c r="B279" s="7" t="s">
        <v>429</v>
      </c>
      <c r="C279" s="7">
        <v>2024</v>
      </c>
      <c r="D279" s="7" t="s">
        <v>430</v>
      </c>
      <c r="E279" s="7" t="s">
        <v>431</v>
      </c>
      <c r="F279" s="7" t="s">
        <v>432</v>
      </c>
      <c r="G279" s="7" t="s">
        <v>161</v>
      </c>
      <c r="H279" s="7" t="s">
        <v>466</v>
      </c>
      <c r="I279" s="7">
        <v>49.749167</v>
      </c>
      <c r="J279" s="7">
        <v>-65.500332999999998</v>
      </c>
      <c r="K279" s="7" t="s">
        <v>41</v>
      </c>
      <c r="L279" s="7" t="s">
        <v>163</v>
      </c>
      <c r="M279" s="7" t="s">
        <v>434</v>
      </c>
      <c r="N279" s="7" t="s">
        <v>435</v>
      </c>
      <c r="O279" s="7" t="s">
        <v>31</v>
      </c>
      <c r="P279" s="7" t="s">
        <v>435</v>
      </c>
      <c r="Q279" s="7" t="s">
        <v>31</v>
      </c>
    </row>
    <row r="280" spans="1:18" s="7" customFormat="1" x14ac:dyDescent="0.35">
      <c r="A280" s="7">
        <v>21</v>
      </c>
      <c r="B280" s="7" t="s">
        <v>467</v>
      </c>
      <c r="C280" s="7">
        <v>2024</v>
      </c>
      <c r="D280" s="7" t="s">
        <v>468</v>
      </c>
      <c r="E280" s="7" t="s">
        <v>469</v>
      </c>
      <c r="F280" s="7" t="s">
        <v>470</v>
      </c>
      <c r="G280" s="7" t="s">
        <v>471</v>
      </c>
      <c r="H280" s="7" t="s">
        <v>472</v>
      </c>
      <c r="I280" s="7">
        <v>62.497500000000002</v>
      </c>
      <c r="J280" s="7">
        <v>-114.3321</v>
      </c>
      <c r="K280" s="7" t="s">
        <v>41</v>
      </c>
      <c r="L280" s="7" t="s">
        <v>28</v>
      </c>
      <c r="M280" s="7" t="s">
        <v>473</v>
      </c>
      <c r="N280" s="6" t="s">
        <v>474</v>
      </c>
      <c r="O280" s="7" t="s">
        <v>31</v>
      </c>
      <c r="P280" s="6" t="s">
        <v>474</v>
      </c>
      <c r="Q280" s="7" t="s">
        <v>31</v>
      </c>
      <c r="R280" s="4" t="s">
        <v>477</v>
      </c>
    </row>
    <row r="281" spans="1:18" s="7" customFormat="1" x14ac:dyDescent="0.35">
      <c r="A281" s="7">
        <v>21</v>
      </c>
      <c r="B281" s="7" t="s">
        <v>467</v>
      </c>
      <c r="C281" s="7">
        <v>2024</v>
      </c>
      <c r="D281" s="7" t="s">
        <v>468</v>
      </c>
      <c r="E281" s="7" t="s">
        <v>478</v>
      </c>
      <c r="F281" s="7" t="s">
        <v>470</v>
      </c>
      <c r="G281" s="7" t="s">
        <v>471</v>
      </c>
      <c r="H281" s="7" t="s">
        <v>472</v>
      </c>
      <c r="I281" s="7">
        <v>62.495899999999999</v>
      </c>
      <c r="J281" s="7">
        <v>-114.33499999999999</v>
      </c>
      <c r="K281" s="7" t="s">
        <v>41</v>
      </c>
      <c r="L281" s="7" t="s">
        <v>28</v>
      </c>
      <c r="M281" s="7" t="s">
        <v>473</v>
      </c>
      <c r="N281" s="6" t="s">
        <v>474</v>
      </c>
      <c r="O281" s="7" t="s">
        <v>31</v>
      </c>
      <c r="P281" s="6" t="s">
        <v>474</v>
      </c>
      <c r="Q281" s="7" t="s">
        <v>31</v>
      </c>
      <c r="R281" s="4" t="s">
        <v>477</v>
      </c>
    </row>
    <row r="282" spans="1:18" s="7" customFormat="1" x14ac:dyDescent="0.35">
      <c r="A282" s="7">
        <v>21</v>
      </c>
      <c r="B282" s="7" t="s">
        <v>467</v>
      </c>
      <c r="C282" s="7">
        <v>2024</v>
      </c>
      <c r="D282" s="7" t="s">
        <v>468</v>
      </c>
      <c r="E282" s="7" t="s">
        <v>479</v>
      </c>
      <c r="F282" s="7" t="s">
        <v>470</v>
      </c>
      <c r="G282" s="7" t="s">
        <v>471</v>
      </c>
      <c r="H282" s="7" t="s">
        <v>472</v>
      </c>
      <c r="I282" s="7">
        <v>62.494</v>
      </c>
      <c r="J282" s="7">
        <v>-114.3309</v>
      </c>
      <c r="K282" s="7" t="s">
        <v>41</v>
      </c>
      <c r="L282" s="7" t="s">
        <v>28</v>
      </c>
      <c r="M282" s="7" t="s">
        <v>473</v>
      </c>
      <c r="N282" s="6" t="s">
        <v>474</v>
      </c>
      <c r="O282" s="7" t="s">
        <v>31</v>
      </c>
      <c r="P282" s="6" t="s">
        <v>474</v>
      </c>
      <c r="Q282" s="7" t="s">
        <v>31</v>
      </c>
      <c r="R282" s="4" t="s">
        <v>477</v>
      </c>
    </row>
    <row r="283" spans="1:18" s="7" customFormat="1" x14ac:dyDescent="0.35">
      <c r="A283" s="7">
        <v>21</v>
      </c>
      <c r="B283" s="7" t="s">
        <v>467</v>
      </c>
      <c r="C283" s="7">
        <v>2024</v>
      </c>
      <c r="D283" s="7" t="s">
        <v>468</v>
      </c>
      <c r="E283" s="7" t="s">
        <v>480</v>
      </c>
      <c r="F283" s="7" t="s">
        <v>470</v>
      </c>
      <c r="G283" s="7" t="s">
        <v>471</v>
      </c>
      <c r="H283" s="7" t="s">
        <v>472</v>
      </c>
      <c r="I283" s="7">
        <v>62.485999999999997</v>
      </c>
      <c r="J283" s="7">
        <v>-114.35420000000001</v>
      </c>
      <c r="K283" s="7" t="s">
        <v>41</v>
      </c>
      <c r="L283" s="7" t="s">
        <v>28</v>
      </c>
      <c r="M283" s="7" t="s">
        <v>473</v>
      </c>
      <c r="N283" s="6" t="s">
        <v>474</v>
      </c>
      <c r="O283" s="7" t="s">
        <v>31</v>
      </c>
      <c r="P283" s="6" t="s">
        <v>474</v>
      </c>
      <c r="Q283" s="7" t="s">
        <v>31</v>
      </c>
      <c r="R283" s="4" t="s">
        <v>477</v>
      </c>
    </row>
    <row r="284" spans="1:18" s="7" customFormat="1" x14ac:dyDescent="0.35">
      <c r="A284" s="7">
        <v>21</v>
      </c>
      <c r="B284" s="7" t="s">
        <v>467</v>
      </c>
      <c r="C284" s="7">
        <v>2024</v>
      </c>
      <c r="D284" s="7" t="s">
        <v>468</v>
      </c>
      <c r="E284" s="7" t="s">
        <v>481</v>
      </c>
      <c r="F284" s="7" t="s">
        <v>470</v>
      </c>
      <c r="G284" s="7" t="s">
        <v>471</v>
      </c>
      <c r="H284" s="7" t="s">
        <v>472</v>
      </c>
      <c r="I284" s="7">
        <v>62.4773</v>
      </c>
      <c r="J284" s="7">
        <v>-114.33029999999999</v>
      </c>
      <c r="K284" s="7" t="s">
        <v>41</v>
      </c>
      <c r="L284" s="7" t="s">
        <v>28</v>
      </c>
      <c r="M284" s="7" t="s">
        <v>473</v>
      </c>
      <c r="N284" s="6" t="s">
        <v>474</v>
      </c>
      <c r="O284" s="7" t="s">
        <v>31</v>
      </c>
      <c r="P284" s="6" t="s">
        <v>474</v>
      </c>
      <c r="Q284" s="7" t="s">
        <v>31</v>
      </c>
      <c r="R284" s="4" t="s">
        <v>477</v>
      </c>
    </row>
    <row r="285" spans="1:18" s="7" customFormat="1" x14ac:dyDescent="0.35">
      <c r="A285" s="7">
        <v>21</v>
      </c>
      <c r="B285" s="7" t="s">
        <v>467</v>
      </c>
      <c r="C285" s="7">
        <v>2024</v>
      </c>
      <c r="D285" s="7" t="s">
        <v>468</v>
      </c>
      <c r="E285" s="7" t="s">
        <v>482</v>
      </c>
      <c r="F285" s="7" t="s">
        <v>470</v>
      </c>
      <c r="G285" s="7" t="s">
        <v>471</v>
      </c>
      <c r="H285" s="7" t="s">
        <v>472</v>
      </c>
      <c r="I285" s="7">
        <v>62.471699999999998</v>
      </c>
      <c r="J285" s="7">
        <v>-114.3352</v>
      </c>
      <c r="K285" s="7" t="s">
        <v>41</v>
      </c>
      <c r="L285" s="7" t="s">
        <v>28</v>
      </c>
      <c r="M285" s="7" t="s">
        <v>473</v>
      </c>
      <c r="N285" s="6" t="s">
        <v>474</v>
      </c>
      <c r="O285" s="7" t="s">
        <v>31</v>
      </c>
      <c r="P285" s="6" t="s">
        <v>474</v>
      </c>
      <c r="Q285" s="7" t="s">
        <v>31</v>
      </c>
      <c r="R285" s="4" t="s">
        <v>477</v>
      </c>
    </row>
    <row r="286" spans="1:18" s="7" customFormat="1" x14ac:dyDescent="0.35">
      <c r="A286" s="7">
        <v>21</v>
      </c>
      <c r="B286" s="7" t="s">
        <v>467</v>
      </c>
      <c r="C286" s="7">
        <v>2024</v>
      </c>
      <c r="D286" s="7" t="s">
        <v>468</v>
      </c>
      <c r="E286" s="7" t="s">
        <v>483</v>
      </c>
      <c r="F286" s="7" t="s">
        <v>470</v>
      </c>
      <c r="G286" s="7" t="s">
        <v>471</v>
      </c>
      <c r="H286" s="7" t="s">
        <v>472</v>
      </c>
      <c r="I286" s="7">
        <v>62.468600000000002</v>
      </c>
      <c r="J286" s="7">
        <v>-114.3403</v>
      </c>
      <c r="K286" s="7" t="s">
        <v>41</v>
      </c>
      <c r="L286" s="7" t="s">
        <v>28</v>
      </c>
      <c r="M286" s="7" t="s">
        <v>473</v>
      </c>
      <c r="N286" s="6" t="s">
        <v>474</v>
      </c>
      <c r="O286" s="7" t="s">
        <v>31</v>
      </c>
      <c r="P286" s="6" t="s">
        <v>474</v>
      </c>
      <c r="Q286" s="7" t="s">
        <v>31</v>
      </c>
      <c r="R286" s="4" t="s">
        <v>477</v>
      </c>
    </row>
    <row r="287" spans="1:18" s="7" customFormat="1" x14ac:dyDescent="0.35">
      <c r="A287" s="7">
        <v>21</v>
      </c>
      <c r="B287" s="7" t="s">
        <v>467</v>
      </c>
      <c r="C287" s="7">
        <v>2024</v>
      </c>
      <c r="D287" s="7" t="s">
        <v>468</v>
      </c>
      <c r="E287" s="7" t="s">
        <v>484</v>
      </c>
      <c r="F287" s="7" t="s">
        <v>470</v>
      </c>
      <c r="G287" s="7" t="s">
        <v>471</v>
      </c>
      <c r="H287" s="7" t="s">
        <v>472</v>
      </c>
      <c r="I287" s="7">
        <v>62.4711</v>
      </c>
      <c r="J287" s="7">
        <v>-114.3305</v>
      </c>
      <c r="K287" s="7" t="s">
        <v>41</v>
      </c>
      <c r="L287" s="7" t="s">
        <v>28</v>
      </c>
      <c r="M287" s="7" t="s">
        <v>473</v>
      </c>
      <c r="N287" s="6" t="s">
        <v>474</v>
      </c>
      <c r="O287" s="7" t="s">
        <v>31</v>
      </c>
      <c r="P287" s="6" t="s">
        <v>474</v>
      </c>
      <c r="Q287" s="7" t="s">
        <v>31</v>
      </c>
      <c r="R287" s="4" t="s">
        <v>477</v>
      </c>
    </row>
    <row r="288" spans="1:18" s="7" customFormat="1" x14ac:dyDescent="0.35">
      <c r="A288" s="7">
        <v>21</v>
      </c>
      <c r="B288" s="7" t="s">
        <v>467</v>
      </c>
      <c r="C288" s="7">
        <v>2024</v>
      </c>
      <c r="D288" s="7" t="s">
        <v>468</v>
      </c>
      <c r="E288" s="7" t="s">
        <v>485</v>
      </c>
      <c r="F288" s="7" t="s">
        <v>470</v>
      </c>
      <c r="G288" s="7" t="s">
        <v>471</v>
      </c>
      <c r="H288" s="7" t="s">
        <v>472</v>
      </c>
      <c r="I288" s="7">
        <v>62.4636</v>
      </c>
      <c r="J288" s="7">
        <v>-114.32599999999999</v>
      </c>
      <c r="K288" s="7" t="s">
        <v>41</v>
      </c>
      <c r="L288" s="7" t="s">
        <v>28</v>
      </c>
      <c r="M288" s="7" t="s">
        <v>473</v>
      </c>
      <c r="N288" s="6" t="s">
        <v>474</v>
      </c>
      <c r="O288" s="7" t="s">
        <v>31</v>
      </c>
      <c r="P288" s="6" t="s">
        <v>474</v>
      </c>
      <c r="Q288" s="7" t="s">
        <v>31</v>
      </c>
      <c r="R288" s="4" t="s">
        <v>477</v>
      </c>
    </row>
    <row r="289" spans="1:18" s="7" customFormat="1" x14ac:dyDescent="0.35">
      <c r="A289" s="7">
        <v>21</v>
      </c>
      <c r="B289" s="7" t="s">
        <v>467</v>
      </c>
      <c r="C289" s="7">
        <v>2024</v>
      </c>
      <c r="D289" s="7" t="s">
        <v>468</v>
      </c>
      <c r="E289" s="7" t="s">
        <v>486</v>
      </c>
      <c r="F289" s="7" t="s">
        <v>470</v>
      </c>
      <c r="G289" s="7" t="s">
        <v>471</v>
      </c>
      <c r="H289" s="7" t="s">
        <v>472</v>
      </c>
      <c r="I289" s="7">
        <v>62.479700000000001</v>
      </c>
      <c r="J289" s="7">
        <v>-114.3186</v>
      </c>
      <c r="K289" s="7" t="s">
        <v>41</v>
      </c>
      <c r="L289" s="7" t="s">
        <v>28</v>
      </c>
      <c r="M289" s="7" t="s">
        <v>473</v>
      </c>
      <c r="N289" s="6" t="s">
        <v>474</v>
      </c>
      <c r="O289" s="7" t="s">
        <v>31</v>
      </c>
      <c r="P289" s="6" t="s">
        <v>474</v>
      </c>
      <c r="Q289" s="7" t="s">
        <v>31</v>
      </c>
      <c r="R289" s="4" t="s">
        <v>477</v>
      </c>
    </row>
    <row r="290" spans="1:18" s="7" customFormat="1" x14ac:dyDescent="0.35">
      <c r="A290" s="7">
        <v>21</v>
      </c>
      <c r="B290" s="7" t="s">
        <v>467</v>
      </c>
      <c r="C290" s="7">
        <v>2024</v>
      </c>
      <c r="D290" s="7" t="s">
        <v>468</v>
      </c>
      <c r="E290" s="7" t="s">
        <v>469</v>
      </c>
      <c r="F290" s="7" t="s">
        <v>470</v>
      </c>
      <c r="G290" s="7" t="s">
        <v>471</v>
      </c>
      <c r="H290" s="7" t="s">
        <v>487</v>
      </c>
      <c r="I290" s="7">
        <v>62.383400000000002</v>
      </c>
      <c r="J290" s="7">
        <v>-114.33540000000001</v>
      </c>
      <c r="K290" s="7" t="s">
        <v>41</v>
      </c>
      <c r="L290" s="7" t="s">
        <v>28</v>
      </c>
      <c r="M290" s="7" t="s">
        <v>473</v>
      </c>
      <c r="N290" s="6" t="s">
        <v>474</v>
      </c>
      <c r="O290" s="7" t="s">
        <v>31</v>
      </c>
      <c r="P290" s="6" t="s">
        <v>474</v>
      </c>
      <c r="Q290" s="7" t="s">
        <v>31</v>
      </c>
      <c r="R290" s="4" t="s">
        <v>477</v>
      </c>
    </row>
    <row r="291" spans="1:18" s="7" customFormat="1" x14ac:dyDescent="0.35">
      <c r="A291" s="7">
        <v>21</v>
      </c>
      <c r="B291" s="7" t="s">
        <v>467</v>
      </c>
      <c r="C291" s="7">
        <v>2024</v>
      </c>
      <c r="D291" s="7" t="s">
        <v>468</v>
      </c>
      <c r="E291" s="7" t="s">
        <v>478</v>
      </c>
      <c r="F291" s="7" t="s">
        <v>470</v>
      </c>
      <c r="G291" s="7" t="s">
        <v>471</v>
      </c>
      <c r="H291" s="7" t="s">
        <v>487</v>
      </c>
      <c r="I291" s="7">
        <v>62.373399999999997</v>
      </c>
      <c r="J291" s="7">
        <v>-114.34990000000001</v>
      </c>
      <c r="K291" s="7" t="s">
        <v>41</v>
      </c>
      <c r="L291" s="7" t="s">
        <v>28</v>
      </c>
      <c r="M291" s="7" t="s">
        <v>473</v>
      </c>
      <c r="N291" s="6" t="s">
        <v>474</v>
      </c>
      <c r="O291" s="7" t="s">
        <v>31</v>
      </c>
      <c r="P291" s="6" t="s">
        <v>474</v>
      </c>
      <c r="Q291" s="7" t="s">
        <v>31</v>
      </c>
      <c r="R291" s="4" t="s">
        <v>477</v>
      </c>
    </row>
    <row r="292" spans="1:18" s="7" customFormat="1" x14ac:dyDescent="0.35">
      <c r="A292" s="7">
        <v>21</v>
      </c>
      <c r="B292" s="7" t="s">
        <v>467</v>
      </c>
      <c r="C292" s="7">
        <v>2024</v>
      </c>
      <c r="D292" s="7" t="s">
        <v>468</v>
      </c>
      <c r="E292" s="7" t="s">
        <v>479</v>
      </c>
      <c r="F292" s="7" t="s">
        <v>470</v>
      </c>
      <c r="G292" s="7" t="s">
        <v>471</v>
      </c>
      <c r="H292" s="7" t="s">
        <v>487</v>
      </c>
      <c r="I292" s="7">
        <v>62.363700000000001</v>
      </c>
      <c r="J292" s="7">
        <v>-114.3639</v>
      </c>
      <c r="K292" s="7" t="s">
        <v>41</v>
      </c>
      <c r="L292" s="7" t="s">
        <v>28</v>
      </c>
      <c r="M292" s="7" t="s">
        <v>473</v>
      </c>
      <c r="N292" s="6" t="s">
        <v>474</v>
      </c>
      <c r="O292" s="7" t="s">
        <v>31</v>
      </c>
      <c r="P292" s="6" t="s">
        <v>474</v>
      </c>
      <c r="Q292" s="7" t="s">
        <v>31</v>
      </c>
      <c r="R292" s="4" t="s">
        <v>477</v>
      </c>
    </row>
    <row r="293" spans="1:18" s="7" customFormat="1" x14ac:dyDescent="0.35">
      <c r="A293" s="7">
        <v>21</v>
      </c>
      <c r="B293" s="7" t="s">
        <v>467</v>
      </c>
      <c r="C293" s="7">
        <v>2024</v>
      </c>
      <c r="D293" s="7" t="s">
        <v>468</v>
      </c>
      <c r="E293" s="7" t="s">
        <v>480</v>
      </c>
      <c r="F293" s="7" t="s">
        <v>470</v>
      </c>
      <c r="G293" s="7" t="s">
        <v>471</v>
      </c>
      <c r="H293" s="7" t="s">
        <v>487</v>
      </c>
      <c r="I293" s="7">
        <v>62.396099999999997</v>
      </c>
      <c r="J293" s="7">
        <v>-114.3557</v>
      </c>
      <c r="K293" s="7" t="s">
        <v>41</v>
      </c>
      <c r="L293" s="7" t="s">
        <v>28</v>
      </c>
      <c r="M293" s="7" t="s">
        <v>473</v>
      </c>
      <c r="N293" s="6" t="s">
        <v>474</v>
      </c>
      <c r="O293" s="7" t="s">
        <v>31</v>
      </c>
      <c r="P293" s="6" t="s">
        <v>474</v>
      </c>
      <c r="Q293" s="7" t="s">
        <v>31</v>
      </c>
      <c r="R293" s="4" t="s">
        <v>477</v>
      </c>
    </row>
    <row r="294" spans="1:18" s="7" customFormat="1" x14ac:dyDescent="0.35">
      <c r="A294" s="7">
        <v>21</v>
      </c>
      <c r="B294" s="7" t="s">
        <v>467</v>
      </c>
      <c r="C294" s="7">
        <v>2024</v>
      </c>
      <c r="D294" s="7" t="s">
        <v>468</v>
      </c>
      <c r="E294" s="7" t="s">
        <v>481</v>
      </c>
      <c r="F294" s="7" t="s">
        <v>470</v>
      </c>
      <c r="G294" s="7" t="s">
        <v>471</v>
      </c>
      <c r="H294" s="7" t="s">
        <v>487</v>
      </c>
      <c r="I294" s="7">
        <v>62.394199999999998</v>
      </c>
      <c r="J294" s="7">
        <v>-114.3492</v>
      </c>
      <c r="K294" s="7" t="s">
        <v>41</v>
      </c>
      <c r="L294" s="7" t="s">
        <v>28</v>
      </c>
      <c r="M294" s="7" t="s">
        <v>473</v>
      </c>
      <c r="N294" s="6" t="s">
        <v>474</v>
      </c>
      <c r="O294" s="7" t="s">
        <v>31</v>
      </c>
      <c r="P294" s="6" t="s">
        <v>474</v>
      </c>
      <c r="Q294" s="7" t="s">
        <v>31</v>
      </c>
      <c r="R294" s="4" t="s">
        <v>477</v>
      </c>
    </row>
    <row r="295" spans="1:18" s="7" customFormat="1" x14ac:dyDescent="0.35">
      <c r="A295" s="7">
        <v>21</v>
      </c>
      <c r="B295" s="7" t="s">
        <v>467</v>
      </c>
      <c r="C295" s="7">
        <v>2024</v>
      </c>
      <c r="D295" s="7" t="s">
        <v>468</v>
      </c>
      <c r="E295" s="7" t="s">
        <v>482</v>
      </c>
      <c r="F295" s="7" t="s">
        <v>470</v>
      </c>
      <c r="G295" s="7" t="s">
        <v>471</v>
      </c>
      <c r="H295" s="7" t="s">
        <v>487</v>
      </c>
      <c r="I295" s="7">
        <v>62.401499999999999</v>
      </c>
      <c r="J295" s="7">
        <v>-114.32170000000001</v>
      </c>
      <c r="K295" s="7" t="s">
        <v>41</v>
      </c>
      <c r="L295" s="7" t="s">
        <v>28</v>
      </c>
      <c r="M295" s="7" t="s">
        <v>473</v>
      </c>
      <c r="N295" s="6" t="s">
        <v>474</v>
      </c>
      <c r="O295" s="7" t="s">
        <v>31</v>
      </c>
      <c r="P295" s="6" t="s">
        <v>474</v>
      </c>
      <c r="Q295" s="7" t="s">
        <v>31</v>
      </c>
      <c r="R295" s="4" t="s">
        <v>477</v>
      </c>
    </row>
    <row r="296" spans="1:18" s="7" customFormat="1" x14ac:dyDescent="0.35">
      <c r="A296" s="7">
        <v>21</v>
      </c>
      <c r="B296" s="7" t="s">
        <v>467</v>
      </c>
      <c r="C296" s="7">
        <v>2024</v>
      </c>
      <c r="D296" s="7" t="s">
        <v>468</v>
      </c>
      <c r="E296" s="7" t="s">
        <v>483</v>
      </c>
      <c r="F296" s="7" t="s">
        <v>470</v>
      </c>
      <c r="G296" s="7" t="s">
        <v>471</v>
      </c>
      <c r="H296" s="7" t="s">
        <v>487</v>
      </c>
      <c r="I296" s="7">
        <v>62.4208</v>
      </c>
      <c r="J296" s="7">
        <v>-114.31789999999999</v>
      </c>
      <c r="K296" s="7" t="s">
        <v>41</v>
      </c>
      <c r="L296" s="7" t="s">
        <v>28</v>
      </c>
      <c r="M296" s="7" t="s">
        <v>473</v>
      </c>
      <c r="N296" s="6" t="s">
        <v>474</v>
      </c>
      <c r="O296" s="7" t="s">
        <v>31</v>
      </c>
      <c r="P296" s="6" t="s">
        <v>474</v>
      </c>
      <c r="Q296" s="7" t="s">
        <v>31</v>
      </c>
      <c r="R296" s="4" t="s">
        <v>477</v>
      </c>
    </row>
    <row r="297" spans="1:18" s="7" customFormat="1" x14ac:dyDescent="0.35">
      <c r="A297" s="7">
        <v>21</v>
      </c>
      <c r="B297" s="7" t="s">
        <v>467</v>
      </c>
      <c r="C297" s="7">
        <v>2024</v>
      </c>
      <c r="D297" s="7" t="s">
        <v>468</v>
      </c>
      <c r="E297" s="7" t="s">
        <v>484</v>
      </c>
      <c r="F297" s="7" t="s">
        <v>470</v>
      </c>
      <c r="G297" s="7" t="s">
        <v>471</v>
      </c>
      <c r="H297" s="7" t="s">
        <v>487</v>
      </c>
      <c r="I297" s="7">
        <v>62.412199999999999</v>
      </c>
      <c r="J297" s="7">
        <v>-114.33369999999999</v>
      </c>
      <c r="K297" s="7" t="s">
        <v>41</v>
      </c>
      <c r="L297" s="7" t="s">
        <v>28</v>
      </c>
      <c r="M297" s="7" t="s">
        <v>473</v>
      </c>
      <c r="N297" s="6" t="s">
        <v>474</v>
      </c>
      <c r="O297" s="7" t="s">
        <v>31</v>
      </c>
      <c r="P297" s="6" t="s">
        <v>474</v>
      </c>
      <c r="Q297" s="7" t="s">
        <v>31</v>
      </c>
      <c r="R297" s="4" t="s">
        <v>477</v>
      </c>
    </row>
    <row r="298" spans="1:18" s="7" customFormat="1" x14ac:dyDescent="0.35">
      <c r="A298" s="7">
        <v>21</v>
      </c>
      <c r="B298" s="7" t="s">
        <v>467</v>
      </c>
      <c r="C298" s="7">
        <v>2024</v>
      </c>
      <c r="D298" s="7" t="s">
        <v>468</v>
      </c>
      <c r="E298" s="7" t="s">
        <v>485</v>
      </c>
      <c r="F298" s="7" t="s">
        <v>470</v>
      </c>
      <c r="G298" s="7" t="s">
        <v>471</v>
      </c>
      <c r="H298" s="7" t="s">
        <v>487</v>
      </c>
      <c r="I298" s="7">
        <v>62.418399999999998</v>
      </c>
      <c r="J298" s="7">
        <v>-114.35639999999999</v>
      </c>
      <c r="K298" s="7" t="s">
        <v>41</v>
      </c>
      <c r="L298" s="7" t="s">
        <v>28</v>
      </c>
      <c r="M298" s="7" t="s">
        <v>473</v>
      </c>
      <c r="N298" s="6" t="s">
        <v>474</v>
      </c>
      <c r="O298" s="7" t="s">
        <v>31</v>
      </c>
      <c r="P298" s="6" t="s">
        <v>474</v>
      </c>
      <c r="Q298" s="7" t="s">
        <v>31</v>
      </c>
      <c r="R298" s="4" t="s">
        <v>477</v>
      </c>
    </row>
    <row r="299" spans="1:18" s="7" customFormat="1" x14ac:dyDescent="0.35">
      <c r="A299" s="7">
        <v>21</v>
      </c>
      <c r="B299" s="7" t="s">
        <v>467</v>
      </c>
      <c r="C299" s="7">
        <v>2024</v>
      </c>
      <c r="D299" s="7" t="s">
        <v>468</v>
      </c>
      <c r="E299" s="7" t="s">
        <v>486</v>
      </c>
      <c r="F299" s="7" t="s">
        <v>470</v>
      </c>
      <c r="G299" s="7" t="s">
        <v>471</v>
      </c>
      <c r="H299" s="7" t="s">
        <v>487</v>
      </c>
      <c r="I299" s="7">
        <v>62.422699999999999</v>
      </c>
      <c r="J299" s="7">
        <v>-114.33750000000001</v>
      </c>
      <c r="K299" s="7" t="s">
        <v>41</v>
      </c>
      <c r="L299" s="7" t="s">
        <v>28</v>
      </c>
      <c r="M299" s="7" t="s">
        <v>473</v>
      </c>
      <c r="N299" s="6" t="s">
        <v>474</v>
      </c>
      <c r="O299" s="7" t="s">
        <v>31</v>
      </c>
      <c r="P299" s="6" t="s">
        <v>474</v>
      </c>
      <c r="Q299" s="7" t="s">
        <v>31</v>
      </c>
      <c r="R299" s="4" t="s">
        <v>477</v>
      </c>
    </row>
    <row r="300" spans="1:18" s="7" customFormat="1" x14ac:dyDescent="0.35">
      <c r="A300" s="7">
        <v>21</v>
      </c>
      <c r="B300" s="7" t="s">
        <v>467</v>
      </c>
      <c r="C300" s="7">
        <v>2024</v>
      </c>
      <c r="D300" s="7" t="s">
        <v>468</v>
      </c>
      <c r="E300" s="7" t="s">
        <v>469</v>
      </c>
      <c r="F300" s="7" t="s">
        <v>470</v>
      </c>
      <c r="G300" s="7" t="s">
        <v>471</v>
      </c>
      <c r="H300" s="55" t="s">
        <v>488</v>
      </c>
      <c r="I300" s="7">
        <v>62.5334</v>
      </c>
      <c r="J300" s="7">
        <v>-114.3128</v>
      </c>
      <c r="K300" s="7" t="s">
        <v>41</v>
      </c>
      <c r="L300" s="7" t="s">
        <v>28</v>
      </c>
      <c r="M300" s="7" t="s">
        <v>473</v>
      </c>
      <c r="N300" s="6" t="s">
        <v>474</v>
      </c>
      <c r="O300" s="7" t="s">
        <v>31</v>
      </c>
      <c r="P300" s="6" t="s">
        <v>474</v>
      </c>
      <c r="Q300" s="7" t="s">
        <v>31</v>
      </c>
      <c r="R300" s="4" t="s">
        <v>489</v>
      </c>
    </row>
    <row r="301" spans="1:18" s="7" customFormat="1" x14ac:dyDescent="0.35">
      <c r="A301" s="7">
        <v>21</v>
      </c>
      <c r="B301" s="7" t="s">
        <v>467</v>
      </c>
      <c r="C301" s="7">
        <v>2024</v>
      </c>
      <c r="D301" s="7" t="s">
        <v>468</v>
      </c>
      <c r="E301" s="7" t="s">
        <v>469</v>
      </c>
      <c r="F301" s="7" t="s">
        <v>470</v>
      </c>
      <c r="G301" s="7" t="s">
        <v>471</v>
      </c>
      <c r="H301" s="55" t="s">
        <v>488</v>
      </c>
      <c r="I301" s="55">
        <v>62.537500000000001</v>
      </c>
      <c r="J301" s="55">
        <v>-114.30249999999999</v>
      </c>
      <c r="K301" s="7" t="s">
        <v>41</v>
      </c>
      <c r="L301" s="7" t="s">
        <v>28</v>
      </c>
      <c r="M301" s="7" t="s">
        <v>473</v>
      </c>
      <c r="N301" s="6" t="s">
        <v>474</v>
      </c>
      <c r="O301" s="7" t="s">
        <v>31</v>
      </c>
      <c r="P301" s="6" t="s">
        <v>474</v>
      </c>
      <c r="Q301" s="7" t="s">
        <v>31</v>
      </c>
      <c r="R301" s="4" t="s">
        <v>489</v>
      </c>
    </row>
    <row r="302" spans="1:18" s="7" customFormat="1" x14ac:dyDescent="0.35">
      <c r="A302" s="7">
        <v>21</v>
      </c>
      <c r="B302" s="7" t="s">
        <v>467</v>
      </c>
      <c r="C302" s="7">
        <v>2024</v>
      </c>
      <c r="D302" s="7" t="s">
        <v>468</v>
      </c>
      <c r="E302" s="7" t="s">
        <v>469</v>
      </c>
      <c r="F302" s="7" t="s">
        <v>470</v>
      </c>
      <c r="G302" s="7" t="s">
        <v>471</v>
      </c>
      <c r="H302" s="55" t="s">
        <v>488</v>
      </c>
      <c r="I302" s="55">
        <v>62.540100000000002</v>
      </c>
      <c r="J302" s="55">
        <v>-114.29770000000001</v>
      </c>
      <c r="K302" s="7" t="s">
        <v>41</v>
      </c>
      <c r="L302" s="7" t="s">
        <v>28</v>
      </c>
      <c r="M302" s="7" t="s">
        <v>473</v>
      </c>
      <c r="N302" s="6" t="s">
        <v>474</v>
      </c>
      <c r="O302" s="7" t="s">
        <v>31</v>
      </c>
      <c r="P302" s="6" t="s">
        <v>474</v>
      </c>
      <c r="Q302" s="7" t="s">
        <v>31</v>
      </c>
      <c r="R302" s="4" t="s">
        <v>489</v>
      </c>
    </row>
    <row r="303" spans="1:18" s="7" customFormat="1" x14ac:dyDescent="0.35">
      <c r="A303" s="7">
        <v>21</v>
      </c>
      <c r="B303" s="7" t="s">
        <v>467</v>
      </c>
      <c r="C303" s="7">
        <v>2024</v>
      </c>
      <c r="D303" s="7" t="s">
        <v>468</v>
      </c>
      <c r="E303" s="7" t="s">
        <v>469</v>
      </c>
      <c r="F303" s="7" t="s">
        <v>470</v>
      </c>
      <c r="G303" s="7" t="s">
        <v>471</v>
      </c>
      <c r="H303" s="55" t="s">
        <v>488</v>
      </c>
      <c r="I303" s="55">
        <v>62.534700000000001</v>
      </c>
      <c r="J303" s="55">
        <v>-114.29770000000001</v>
      </c>
      <c r="K303" s="7" t="s">
        <v>41</v>
      </c>
      <c r="L303" s="7" t="s">
        <v>28</v>
      </c>
      <c r="M303" s="7" t="s">
        <v>473</v>
      </c>
      <c r="N303" s="6" t="s">
        <v>474</v>
      </c>
      <c r="O303" s="7" t="s">
        <v>31</v>
      </c>
      <c r="P303" s="6" t="s">
        <v>474</v>
      </c>
      <c r="Q303" s="7" t="s">
        <v>31</v>
      </c>
      <c r="R303" s="4" t="s">
        <v>489</v>
      </c>
    </row>
    <row r="304" spans="1:18" s="7" customFormat="1" x14ac:dyDescent="0.35">
      <c r="A304" s="7">
        <v>21</v>
      </c>
      <c r="B304" s="7" t="s">
        <v>467</v>
      </c>
      <c r="C304" s="7">
        <v>2024</v>
      </c>
      <c r="D304" s="7" t="s">
        <v>468</v>
      </c>
      <c r="E304" s="7" t="s">
        <v>469</v>
      </c>
      <c r="F304" s="7" t="s">
        <v>470</v>
      </c>
      <c r="G304" s="7" t="s">
        <v>471</v>
      </c>
      <c r="H304" s="55" t="s">
        <v>488</v>
      </c>
      <c r="I304" s="55">
        <v>62.529899999999998</v>
      </c>
      <c r="J304" s="55">
        <v>-114.2991</v>
      </c>
      <c r="K304" s="7" t="s">
        <v>41</v>
      </c>
      <c r="L304" s="7" t="s">
        <v>28</v>
      </c>
      <c r="M304" s="7" t="s">
        <v>473</v>
      </c>
      <c r="N304" s="6" t="s">
        <v>474</v>
      </c>
      <c r="O304" s="7" t="s">
        <v>31</v>
      </c>
      <c r="P304" s="6" t="s">
        <v>474</v>
      </c>
      <c r="Q304" s="7" t="s">
        <v>31</v>
      </c>
      <c r="R304" s="4" t="s">
        <v>489</v>
      </c>
    </row>
    <row r="305" spans="1:18" s="7" customFormat="1" x14ac:dyDescent="0.35">
      <c r="A305" s="7">
        <v>21</v>
      </c>
      <c r="B305" s="7" t="s">
        <v>467</v>
      </c>
      <c r="C305" s="7">
        <v>2024</v>
      </c>
      <c r="D305" s="7" t="s">
        <v>468</v>
      </c>
      <c r="E305" s="7" t="s">
        <v>469</v>
      </c>
      <c r="F305" s="7" t="s">
        <v>470</v>
      </c>
      <c r="G305" s="7" t="s">
        <v>471</v>
      </c>
      <c r="H305" s="55" t="s">
        <v>488</v>
      </c>
      <c r="I305" s="7">
        <v>62.5274</v>
      </c>
      <c r="J305" s="7">
        <v>-114.30589999999999</v>
      </c>
      <c r="K305" s="7" t="s">
        <v>41</v>
      </c>
      <c r="L305" s="7" t="s">
        <v>28</v>
      </c>
      <c r="M305" s="7" t="s">
        <v>473</v>
      </c>
      <c r="N305" s="6" t="s">
        <v>474</v>
      </c>
      <c r="O305" s="7" t="s">
        <v>31</v>
      </c>
      <c r="P305" s="6" t="s">
        <v>474</v>
      </c>
      <c r="Q305" s="7" t="s">
        <v>31</v>
      </c>
      <c r="R305" s="4" t="s">
        <v>489</v>
      </c>
    </row>
    <row r="306" spans="1:18" s="7" customFormat="1" x14ac:dyDescent="0.35">
      <c r="A306" s="7">
        <v>21</v>
      </c>
      <c r="B306" s="7" t="s">
        <v>467</v>
      </c>
      <c r="C306" s="7">
        <v>2024</v>
      </c>
      <c r="D306" s="7" t="s">
        <v>468</v>
      </c>
      <c r="E306" s="7" t="s">
        <v>469</v>
      </c>
      <c r="F306" s="7" t="s">
        <v>470</v>
      </c>
      <c r="G306" s="7" t="s">
        <v>471</v>
      </c>
      <c r="H306" s="55" t="s">
        <v>488</v>
      </c>
      <c r="I306" s="55">
        <v>62.519500000000001</v>
      </c>
      <c r="J306" s="55">
        <v>-114.3259</v>
      </c>
      <c r="K306" s="7" t="s">
        <v>41</v>
      </c>
      <c r="L306" s="7" t="s">
        <v>28</v>
      </c>
      <c r="M306" s="7" t="s">
        <v>473</v>
      </c>
      <c r="N306" s="6" t="s">
        <v>474</v>
      </c>
      <c r="O306" s="7" t="s">
        <v>31</v>
      </c>
      <c r="P306" s="6" t="s">
        <v>474</v>
      </c>
      <c r="Q306" s="7" t="s">
        <v>31</v>
      </c>
      <c r="R306" s="4" t="s">
        <v>489</v>
      </c>
    </row>
    <row r="307" spans="1:18" s="7" customFormat="1" x14ac:dyDescent="0.35">
      <c r="A307" s="7">
        <v>21</v>
      </c>
      <c r="B307" s="7" t="s">
        <v>467</v>
      </c>
      <c r="C307" s="7">
        <v>2024</v>
      </c>
      <c r="D307" s="7" t="s">
        <v>468</v>
      </c>
      <c r="E307" s="7" t="s">
        <v>469</v>
      </c>
      <c r="F307" s="7" t="s">
        <v>470</v>
      </c>
      <c r="G307" s="7" t="s">
        <v>471</v>
      </c>
      <c r="H307" s="55" t="s">
        <v>488</v>
      </c>
      <c r="I307" s="7">
        <v>62.515700000000002</v>
      </c>
      <c r="J307" s="7">
        <v>-114.31829999999999</v>
      </c>
      <c r="K307" s="7" t="s">
        <v>41</v>
      </c>
      <c r="L307" s="7" t="s">
        <v>28</v>
      </c>
      <c r="M307" s="7" t="s">
        <v>473</v>
      </c>
      <c r="N307" s="6" t="s">
        <v>474</v>
      </c>
      <c r="O307" s="7" t="s">
        <v>31</v>
      </c>
      <c r="P307" s="6" t="s">
        <v>474</v>
      </c>
      <c r="Q307" s="7" t="s">
        <v>31</v>
      </c>
      <c r="R307" s="4" t="s">
        <v>489</v>
      </c>
    </row>
    <row r="308" spans="1:18" s="7" customFormat="1" x14ac:dyDescent="0.35">
      <c r="A308" s="7">
        <v>21</v>
      </c>
      <c r="B308" s="7" t="s">
        <v>467</v>
      </c>
      <c r="C308" s="7">
        <v>2024</v>
      </c>
      <c r="D308" s="7" t="s">
        <v>468</v>
      </c>
      <c r="E308" s="7" t="s">
        <v>469</v>
      </c>
      <c r="F308" s="7" t="s">
        <v>470</v>
      </c>
      <c r="G308" s="7" t="s">
        <v>471</v>
      </c>
      <c r="H308" s="55" t="s">
        <v>488</v>
      </c>
      <c r="I308" s="7">
        <v>62.517200000000003</v>
      </c>
      <c r="J308" s="7">
        <v>-114.32</v>
      </c>
      <c r="K308" s="7" t="s">
        <v>41</v>
      </c>
      <c r="L308" s="7" t="s">
        <v>28</v>
      </c>
      <c r="M308" s="7" t="s">
        <v>473</v>
      </c>
      <c r="N308" s="6" t="s">
        <v>474</v>
      </c>
      <c r="O308" s="7" t="s">
        <v>31</v>
      </c>
      <c r="P308" s="6" t="s">
        <v>474</v>
      </c>
      <c r="Q308" s="7" t="s">
        <v>31</v>
      </c>
      <c r="R308" s="4" t="s">
        <v>489</v>
      </c>
    </row>
    <row r="309" spans="1:18" s="7" customFormat="1" x14ac:dyDescent="0.35">
      <c r="A309" s="7">
        <v>21</v>
      </c>
      <c r="B309" s="7" t="s">
        <v>467</v>
      </c>
      <c r="C309" s="7">
        <v>2024</v>
      </c>
      <c r="D309" s="7" t="s">
        <v>468</v>
      </c>
      <c r="E309" s="7" t="s">
        <v>469</v>
      </c>
      <c r="F309" s="7" t="s">
        <v>470</v>
      </c>
      <c r="G309" s="7" t="s">
        <v>471</v>
      </c>
      <c r="H309" s="55" t="s">
        <v>488</v>
      </c>
      <c r="I309" s="55">
        <v>62.517699999999998</v>
      </c>
      <c r="J309" s="55">
        <v>-114.3212</v>
      </c>
      <c r="K309" s="7" t="s">
        <v>41</v>
      </c>
      <c r="L309" s="7" t="s">
        <v>28</v>
      </c>
      <c r="M309" s="7" t="s">
        <v>473</v>
      </c>
      <c r="N309" s="6" t="s">
        <v>474</v>
      </c>
      <c r="O309" s="7" t="s">
        <v>31</v>
      </c>
      <c r="P309" s="6" t="s">
        <v>474</v>
      </c>
      <c r="Q309" s="7" t="s">
        <v>31</v>
      </c>
      <c r="R309" s="4" t="s">
        <v>489</v>
      </c>
    </row>
    <row r="310" spans="1:18" s="7" customFormat="1" x14ac:dyDescent="0.35">
      <c r="A310" s="7">
        <v>22</v>
      </c>
      <c r="B310" s="7" t="s">
        <v>490</v>
      </c>
      <c r="C310" s="7">
        <v>2023</v>
      </c>
      <c r="D310" s="7" t="s">
        <v>491</v>
      </c>
      <c r="E310" s="7" t="s">
        <v>492</v>
      </c>
      <c r="F310" s="7" t="s">
        <v>493</v>
      </c>
      <c r="G310" s="7" t="s">
        <v>494</v>
      </c>
      <c r="H310" s="7" t="s">
        <v>495</v>
      </c>
      <c r="I310" s="7">
        <v>43.845236737838199</v>
      </c>
      <c r="J310" s="10">
        <v>-58.933498628192702</v>
      </c>
      <c r="K310" s="7" t="s">
        <v>41</v>
      </c>
      <c r="L310" s="7" t="s">
        <v>42</v>
      </c>
      <c r="M310" s="7" t="s">
        <v>496</v>
      </c>
      <c r="N310" s="7">
        <v>744</v>
      </c>
      <c r="O310" s="7" t="s">
        <v>31</v>
      </c>
      <c r="P310" s="7">
        <v>744</v>
      </c>
      <c r="Q310" s="7" t="s">
        <v>31</v>
      </c>
      <c r="R310" s="7" t="s">
        <v>499</v>
      </c>
    </row>
    <row r="311" spans="1:18" s="7" customFormat="1" x14ac:dyDescent="0.35">
      <c r="A311" s="7">
        <v>22</v>
      </c>
      <c r="B311" s="7" t="s">
        <v>490</v>
      </c>
      <c r="C311" s="7">
        <v>2023</v>
      </c>
      <c r="D311" s="7" t="s">
        <v>491</v>
      </c>
      <c r="E311" s="7" t="s">
        <v>492</v>
      </c>
      <c r="F311" s="7" t="s">
        <v>493</v>
      </c>
      <c r="G311" s="7" t="s">
        <v>494</v>
      </c>
      <c r="H311" s="7" t="s">
        <v>500</v>
      </c>
      <c r="I311" s="7">
        <v>44.019857000000002</v>
      </c>
      <c r="J311" s="10">
        <v>-58.233660999999998</v>
      </c>
      <c r="K311" s="7" t="s">
        <v>41</v>
      </c>
      <c r="L311" s="7" t="s">
        <v>42</v>
      </c>
      <c r="M311" s="7" t="s">
        <v>501</v>
      </c>
      <c r="N311" s="7">
        <v>744</v>
      </c>
      <c r="O311" s="7" t="s">
        <v>31</v>
      </c>
      <c r="P311" s="7">
        <v>744</v>
      </c>
      <c r="Q311" s="7" t="s">
        <v>31</v>
      </c>
      <c r="R311" s="7" t="s">
        <v>502</v>
      </c>
    </row>
    <row r="312" spans="1:18" s="7" customFormat="1" x14ac:dyDescent="0.35">
      <c r="A312" s="7">
        <v>22</v>
      </c>
      <c r="B312" s="7" t="s">
        <v>490</v>
      </c>
      <c r="C312" s="7">
        <v>2023</v>
      </c>
      <c r="D312" s="7" t="s">
        <v>491</v>
      </c>
      <c r="E312" s="7" t="s">
        <v>492</v>
      </c>
      <c r="F312" s="7" t="s">
        <v>493</v>
      </c>
      <c r="G312" s="7" t="s">
        <v>494</v>
      </c>
      <c r="H312" s="7" t="s">
        <v>503</v>
      </c>
      <c r="I312" s="7">
        <v>44.3698019225792</v>
      </c>
      <c r="J312" s="10">
        <v>-53.943359813514697</v>
      </c>
      <c r="K312" s="7" t="s">
        <v>41</v>
      </c>
      <c r="L312" s="7" t="s">
        <v>42</v>
      </c>
      <c r="M312" s="7" t="s">
        <v>501</v>
      </c>
      <c r="N312" s="7">
        <v>744</v>
      </c>
      <c r="O312" s="7" t="s">
        <v>31</v>
      </c>
      <c r="P312" s="7">
        <v>744</v>
      </c>
      <c r="Q312" s="7" t="s">
        <v>31</v>
      </c>
      <c r="R312" s="7" t="s">
        <v>499</v>
      </c>
    </row>
    <row r="313" spans="1:18" s="7" customFormat="1" x14ac:dyDescent="0.35">
      <c r="A313" s="7">
        <v>22</v>
      </c>
      <c r="B313" s="7" t="s">
        <v>490</v>
      </c>
      <c r="C313" s="7">
        <v>2023</v>
      </c>
      <c r="D313" s="7" t="s">
        <v>491</v>
      </c>
      <c r="E313" s="7" t="s">
        <v>492</v>
      </c>
      <c r="F313" s="7" t="s">
        <v>493</v>
      </c>
      <c r="G313" s="7" t="s">
        <v>494</v>
      </c>
      <c r="H313" s="7" t="s">
        <v>504</v>
      </c>
      <c r="I313" s="7">
        <v>43.845236737838199</v>
      </c>
      <c r="J313" s="10">
        <v>-58.933498628192702</v>
      </c>
      <c r="K313" s="7" t="s">
        <v>41</v>
      </c>
      <c r="L313" s="7" t="s">
        <v>42</v>
      </c>
      <c r="M313" s="7" t="s">
        <v>505</v>
      </c>
      <c r="N313" s="7">
        <v>1207</v>
      </c>
      <c r="O313" s="7" t="s">
        <v>31</v>
      </c>
      <c r="P313" s="7">
        <v>1207</v>
      </c>
      <c r="Q313" s="7" t="s">
        <v>31</v>
      </c>
      <c r="R313" s="7" t="s">
        <v>499</v>
      </c>
    </row>
    <row r="314" spans="1:18" s="7" customFormat="1" x14ac:dyDescent="0.35">
      <c r="A314" s="7">
        <v>22</v>
      </c>
      <c r="B314" s="7" t="s">
        <v>490</v>
      </c>
      <c r="C314" s="7">
        <v>2023</v>
      </c>
      <c r="D314" s="7" t="s">
        <v>491</v>
      </c>
      <c r="E314" s="7" t="s">
        <v>492</v>
      </c>
      <c r="F314" s="7" t="s">
        <v>493</v>
      </c>
      <c r="G314" s="7" t="s">
        <v>494</v>
      </c>
      <c r="H314" s="7" t="s">
        <v>507</v>
      </c>
      <c r="I314" s="7">
        <v>44.019857000000002</v>
      </c>
      <c r="J314" s="10">
        <v>-58.233660999999998</v>
      </c>
      <c r="K314" s="7" t="s">
        <v>41</v>
      </c>
      <c r="L314" s="7" t="s">
        <v>42</v>
      </c>
      <c r="M314" s="7" t="s">
        <v>505</v>
      </c>
      <c r="N314" s="7">
        <v>1207</v>
      </c>
      <c r="O314" s="7" t="s">
        <v>31</v>
      </c>
      <c r="P314" s="7">
        <v>1207</v>
      </c>
      <c r="Q314" s="7" t="s">
        <v>31</v>
      </c>
      <c r="R314" s="7" t="s">
        <v>502</v>
      </c>
    </row>
    <row r="315" spans="1:18" s="7" customFormat="1" x14ac:dyDescent="0.35">
      <c r="A315" s="7">
        <v>22</v>
      </c>
      <c r="B315" s="7" t="s">
        <v>490</v>
      </c>
      <c r="C315" s="7">
        <v>2023</v>
      </c>
      <c r="D315" s="7" t="s">
        <v>491</v>
      </c>
      <c r="E315" s="7" t="s">
        <v>492</v>
      </c>
      <c r="F315" s="7" t="s">
        <v>493</v>
      </c>
      <c r="G315" s="7" t="s">
        <v>494</v>
      </c>
      <c r="H315" s="7" t="s">
        <v>503</v>
      </c>
      <c r="I315" s="7">
        <v>44.3698019225792</v>
      </c>
      <c r="J315" s="10">
        <v>-53.943359813514697</v>
      </c>
      <c r="K315" s="7" t="s">
        <v>41</v>
      </c>
      <c r="L315" s="7" t="s">
        <v>42</v>
      </c>
      <c r="M315" s="7" t="s">
        <v>505</v>
      </c>
      <c r="N315" s="7">
        <v>1207</v>
      </c>
      <c r="O315" s="7" t="s">
        <v>31</v>
      </c>
      <c r="P315" s="7">
        <v>1207</v>
      </c>
      <c r="Q315" s="7" t="s">
        <v>31</v>
      </c>
      <c r="R315" s="7" t="s">
        <v>499</v>
      </c>
    </row>
    <row r="316" spans="1:18" s="7" customFormat="1" x14ac:dyDescent="0.35">
      <c r="A316" s="7">
        <v>22</v>
      </c>
      <c r="B316" s="7" t="s">
        <v>490</v>
      </c>
      <c r="C316" s="7">
        <v>2023</v>
      </c>
      <c r="D316" s="7" t="s">
        <v>491</v>
      </c>
      <c r="E316" s="7" t="s">
        <v>492</v>
      </c>
      <c r="F316" s="7" t="s">
        <v>493</v>
      </c>
      <c r="G316" s="7" t="s">
        <v>494</v>
      </c>
      <c r="H316" s="7" t="s">
        <v>495</v>
      </c>
      <c r="I316" s="7">
        <v>43.845236737838199</v>
      </c>
      <c r="J316" s="10">
        <v>-58.933498628192702</v>
      </c>
      <c r="K316" s="7" t="s">
        <v>41</v>
      </c>
      <c r="L316" s="7" t="s">
        <v>42</v>
      </c>
      <c r="M316" s="7" t="s">
        <v>505</v>
      </c>
      <c r="N316" s="7">
        <v>1207</v>
      </c>
      <c r="O316" s="7" t="s">
        <v>31</v>
      </c>
      <c r="P316" s="7">
        <v>1207</v>
      </c>
      <c r="Q316" s="7" t="s">
        <v>31</v>
      </c>
      <c r="R316" s="7" t="s">
        <v>499</v>
      </c>
    </row>
    <row r="317" spans="1:18" s="7" customFormat="1" x14ac:dyDescent="0.35">
      <c r="A317" s="7">
        <v>22</v>
      </c>
      <c r="B317" s="7" t="s">
        <v>490</v>
      </c>
      <c r="C317" s="7">
        <v>2023</v>
      </c>
      <c r="D317" s="7" t="s">
        <v>491</v>
      </c>
      <c r="E317" s="7" t="s">
        <v>492</v>
      </c>
      <c r="F317" s="7" t="s">
        <v>493</v>
      </c>
      <c r="G317" s="7" t="s">
        <v>494</v>
      </c>
      <c r="H317" s="7" t="s">
        <v>500</v>
      </c>
      <c r="I317" s="7">
        <v>44.019857000000002</v>
      </c>
      <c r="J317" s="10">
        <v>-58.420023</v>
      </c>
      <c r="K317" s="7" t="s">
        <v>41</v>
      </c>
      <c r="L317" s="7" t="s">
        <v>42</v>
      </c>
      <c r="M317" s="7" t="s">
        <v>505</v>
      </c>
      <c r="N317" s="7">
        <v>1207</v>
      </c>
      <c r="O317" s="7" t="s">
        <v>31</v>
      </c>
      <c r="P317" s="7">
        <v>1207</v>
      </c>
      <c r="Q317" s="7" t="s">
        <v>31</v>
      </c>
      <c r="R317" s="7" t="s">
        <v>502</v>
      </c>
    </row>
    <row r="318" spans="1:18" s="7" customFormat="1" x14ac:dyDescent="0.35">
      <c r="A318" s="7">
        <v>24</v>
      </c>
      <c r="B318" s="7" t="s">
        <v>509</v>
      </c>
      <c r="C318" s="7">
        <v>2023</v>
      </c>
      <c r="D318" s="7" t="s">
        <v>510</v>
      </c>
      <c r="E318" s="8" t="s">
        <v>511</v>
      </c>
      <c r="F318" s="7" t="s">
        <v>512</v>
      </c>
      <c r="G318" s="7" t="s">
        <v>25</v>
      </c>
      <c r="H318" s="4" t="s">
        <v>513</v>
      </c>
      <c r="I318" s="56">
        <v>74.278000000000006</v>
      </c>
      <c r="J318" s="56">
        <v>-98.406000000000006</v>
      </c>
      <c r="K318" s="7" t="s">
        <v>514</v>
      </c>
      <c r="L318" s="7" t="s">
        <v>42</v>
      </c>
      <c r="M318" s="7" t="s">
        <v>515</v>
      </c>
      <c r="N318" s="6" t="s">
        <v>516</v>
      </c>
      <c r="O318" s="7" t="s">
        <v>31</v>
      </c>
      <c r="P318" s="6" t="s">
        <v>516</v>
      </c>
      <c r="Q318" s="7" t="s">
        <v>31</v>
      </c>
      <c r="R318" s="7" t="s">
        <v>518</v>
      </c>
    </row>
    <row r="319" spans="1:18" s="7" customFormat="1" x14ac:dyDescent="0.35">
      <c r="A319" s="7">
        <v>24</v>
      </c>
      <c r="B319" s="7" t="s">
        <v>509</v>
      </c>
      <c r="C319" s="7">
        <v>2023</v>
      </c>
      <c r="D319" s="7" t="s">
        <v>510</v>
      </c>
      <c r="E319" s="7" t="s">
        <v>511</v>
      </c>
      <c r="F319" s="7" t="s">
        <v>512</v>
      </c>
      <c r="G319" s="7" t="s">
        <v>25</v>
      </c>
      <c r="H319" s="4" t="s">
        <v>513</v>
      </c>
      <c r="I319" s="56">
        <v>73.912999999999997</v>
      </c>
      <c r="J319" s="56">
        <v>-96.78</v>
      </c>
      <c r="K319" s="7" t="s">
        <v>514</v>
      </c>
      <c r="L319" s="7" t="s">
        <v>42</v>
      </c>
      <c r="M319" s="7" t="s">
        <v>515</v>
      </c>
      <c r="N319" s="6" t="s">
        <v>516</v>
      </c>
      <c r="O319" s="7" t="s">
        <v>31</v>
      </c>
      <c r="P319" s="6" t="s">
        <v>516</v>
      </c>
      <c r="Q319" s="7" t="s">
        <v>31</v>
      </c>
      <c r="R319" s="7" t="s">
        <v>518</v>
      </c>
    </row>
    <row r="320" spans="1:18" s="7" customFormat="1" x14ac:dyDescent="0.35">
      <c r="A320" s="7">
        <v>24</v>
      </c>
      <c r="B320" s="7" t="s">
        <v>509</v>
      </c>
      <c r="C320" s="7">
        <v>2023</v>
      </c>
      <c r="D320" s="7" t="s">
        <v>510</v>
      </c>
      <c r="E320" s="7" t="s">
        <v>511</v>
      </c>
      <c r="F320" s="7" t="s">
        <v>512</v>
      </c>
      <c r="G320" s="7" t="s">
        <v>25</v>
      </c>
      <c r="H320" s="4" t="s">
        <v>513</v>
      </c>
      <c r="I320" s="57">
        <v>74.099999999999994</v>
      </c>
      <c r="J320" s="56">
        <v>-94.275999999999996</v>
      </c>
      <c r="K320" s="7" t="s">
        <v>514</v>
      </c>
      <c r="L320" s="7" t="s">
        <v>42</v>
      </c>
      <c r="M320" s="7" t="s">
        <v>515</v>
      </c>
      <c r="N320" s="6" t="s">
        <v>516</v>
      </c>
      <c r="O320" s="7" t="s">
        <v>31</v>
      </c>
      <c r="P320" s="6" t="s">
        <v>516</v>
      </c>
      <c r="Q320" s="7" t="s">
        <v>31</v>
      </c>
      <c r="R320" s="7" t="s">
        <v>518</v>
      </c>
    </row>
    <row r="321" spans="1:18" s="7" customFormat="1" x14ac:dyDescent="0.35">
      <c r="A321" s="7">
        <v>24</v>
      </c>
      <c r="B321" s="7" t="s">
        <v>509</v>
      </c>
      <c r="C321" s="7">
        <v>2023</v>
      </c>
      <c r="D321" s="7" t="s">
        <v>510</v>
      </c>
      <c r="E321" s="7" t="s">
        <v>511</v>
      </c>
      <c r="F321" s="7" t="s">
        <v>512</v>
      </c>
      <c r="G321" s="7" t="s">
        <v>25</v>
      </c>
      <c r="H321" s="4" t="s">
        <v>513</v>
      </c>
      <c r="I321" s="56">
        <v>73.352000000000004</v>
      </c>
      <c r="J321" s="56">
        <v>-89.299000000000007</v>
      </c>
      <c r="K321" s="7" t="s">
        <v>514</v>
      </c>
      <c r="L321" s="7" t="s">
        <v>42</v>
      </c>
      <c r="M321" s="7" t="s">
        <v>515</v>
      </c>
      <c r="N321" s="6" t="s">
        <v>516</v>
      </c>
      <c r="O321" s="7" t="s">
        <v>31</v>
      </c>
      <c r="P321" s="6" t="s">
        <v>516</v>
      </c>
      <c r="Q321" s="7" t="s">
        <v>31</v>
      </c>
      <c r="R321" s="7" t="s">
        <v>518</v>
      </c>
    </row>
    <row r="322" spans="1:18" s="7" customFormat="1" x14ac:dyDescent="0.35">
      <c r="A322" s="7">
        <v>24</v>
      </c>
      <c r="B322" s="7" t="s">
        <v>509</v>
      </c>
      <c r="C322" s="7">
        <v>2023</v>
      </c>
      <c r="D322" s="7" t="s">
        <v>510</v>
      </c>
      <c r="E322" s="7" t="s">
        <v>511</v>
      </c>
      <c r="F322" s="7" t="s">
        <v>512</v>
      </c>
      <c r="G322" s="7" t="s">
        <v>25</v>
      </c>
      <c r="H322" s="4" t="s">
        <v>513</v>
      </c>
      <c r="I322" s="56">
        <v>73.352000000000004</v>
      </c>
      <c r="J322" s="56">
        <v>-90.299000000000007</v>
      </c>
      <c r="K322" s="7" t="s">
        <v>514</v>
      </c>
      <c r="L322" s="7" t="s">
        <v>42</v>
      </c>
      <c r="M322" s="7" t="s">
        <v>515</v>
      </c>
      <c r="N322" s="6" t="s">
        <v>516</v>
      </c>
      <c r="O322" s="7" t="s">
        <v>31</v>
      </c>
      <c r="P322" s="6" t="s">
        <v>516</v>
      </c>
      <c r="Q322" s="7" t="s">
        <v>31</v>
      </c>
      <c r="R322" s="7" t="s">
        <v>518</v>
      </c>
    </row>
    <row r="323" spans="1:18" s="7" customFormat="1" x14ac:dyDescent="0.35">
      <c r="A323" s="7">
        <v>24</v>
      </c>
      <c r="B323" s="7" t="s">
        <v>509</v>
      </c>
      <c r="C323" s="7">
        <v>2023</v>
      </c>
      <c r="D323" s="7" t="s">
        <v>510</v>
      </c>
      <c r="E323" s="7" t="s">
        <v>511</v>
      </c>
      <c r="F323" s="7" t="s">
        <v>512</v>
      </c>
      <c r="G323" s="7" t="s">
        <v>471</v>
      </c>
      <c r="H323" s="4" t="s">
        <v>519</v>
      </c>
      <c r="I323" s="56">
        <v>69.971999999999994</v>
      </c>
      <c r="J323" s="56">
        <v>-138.69499999999999</v>
      </c>
      <c r="K323" s="7" t="s">
        <v>41</v>
      </c>
      <c r="L323" s="7" t="s">
        <v>42</v>
      </c>
      <c r="M323" s="7" t="s">
        <v>515</v>
      </c>
      <c r="N323" s="6" t="s">
        <v>516</v>
      </c>
      <c r="O323" s="7" t="s">
        <v>31</v>
      </c>
      <c r="P323" s="6" t="s">
        <v>516</v>
      </c>
      <c r="Q323" s="7" t="s">
        <v>31</v>
      </c>
      <c r="R323" s="7" t="s">
        <v>518</v>
      </c>
    </row>
    <row r="324" spans="1:18" s="7" customFormat="1" x14ac:dyDescent="0.35">
      <c r="A324" s="7">
        <v>25</v>
      </c>
      <c r="B324" s="4" t="s">
        <v>520</v>
      </c>
      <c r="C324" s="4">
        <v>2025</v>
      </c>
      <c r="D324" s="4" t="s">
        <v>521</v>
      </c>
      <c r="E324" s="8" t="s">
        <v>522</v>
      </c>
      <c r="F324" s="3" t="s">
        <v>523</v>
      </c>
      <c r="G324" s="7" t="s">
        <v>39</v>
      </c>
      <c r="H324" s="3" t="s">
        <v>524</v>
      </c>
      <c r="I324" s="7">
        <v>80.207999999999998</v>
      </c>
      <c r="J324" s="7">
        <v>-71.240700000000004</v>
      </c>
      <c r="K324" s="7" t="s">
        <v>103</v>
      </c>
      <c r="L324" s="7" t="s">
        <v>223</v>
      </c>
      <c r="M324" s="7" t="s">
        <v>525</v>
      </c>
      <c r="N324" s="7" t="s">
        <v>526</v>
      </c>
      <c r="O324" s="7" t="s">
        <v>90</v>
      </c>
      <c r="P324" s="7" t="s">
        <v>526</v>
      </c>
      <c r="Q324" s="7" t="s">
        <v>31</v>
      </c>
      <c r="R324" s="7" t="s">
        <v>529</v>
      </c>
    </row>
    <row r="325" spans="1:18" s="7" customFormat="1" x14ac:dyDescent="0.35">
      <c r="A325" s="7">
        <v>25</v>
      </c>
      <c r="B325" s="4" t="s">
        <v>520</v>
      </c>
      <c r="C325" s="4">
        <v>2025</v>
      </c>
      <c r="D325" s="4" t="s">
        <v>521</v>
      </c>
      <c r="E325" s="8" t="s">
        <v>522</v>
      </c>
      <c r="F325" s="3" t="s">
        <v>523</v>
      </c>
      <c r="G325" s="7" t="s">
        <v>39</v>
      </c>
      <c r="H325" s="3" t="s">
        <v>524</v>
      </c>
      <c r="I325" s="7">
        <v>80.207999999999998</v>
      </c>
      <c r="J325" s="7">
        <v>-71.240700000000004</v>
      </c>
      <c r="K325" s="7" t="s">
        <v>103</v>
      </c>
      <c r="L325" s="7" t="s">
        <v>223</v>
      </c>
      <c r="M325" s="7" t="s">
        <v>525</v>
      </c>
      <c r="N325" s="7" t="s">
        <v>526</v>
      </c>
      <c r="O325" s="7" t="s">
        <v>90</v>
      </c>
      <c r="P325" s="7" t="s">
        <v>526</v>
      </c>
      <c r="Q325" s="7" t="s">
        <v>31</v>
      </c>
      <c r="R325" s="7" t="s">
        <v>530</v>
      </c>
    </row>
    <row r="326" spans="1:18" s="7" customFormat="1" x14ac:dyDescent="0.35">
      <c r="A326" s="7">
        <v>25</v>
      </c>
      <c r="B326" s="4" t="s">
        <v>520</v>
      </c>
      <c r="C326" s="4">
        <v>2025</v>
      </c>
      <c r="D326" s="4" t="s">
        <v>521</v>
      </c>
      <c r="E326" s="8" t="s">
        <v>522</v>
      </c>
      <c r="F326" s="3" t="s">
        <v>523</v>
      </c>
      <c r="G326" s="7" t="s">
        <v>39</v>
      </c>
      <c r="H326" s="3" t="s">
        <v>531</v>
      </c>
      <c r="I326" s="7">
        <v>79.792500000000004</v>
      </c>
      <c r="J326" s="7">
        <v>-74.945700000000002</v>
      </c>
      <c r="K326" s="7" t="s">
        <v>103</v>
      </c>
      <c r="L326" s="7" t="s">
        <v>223</v>
      </c>
      <c r="M326" s="7" t="s">
        <v>525</v>
      </c>
      <c r="N326" s="7" t="s">
        <v>532</v>
      </c>
      <c r="O326" s="7" t="s">
        <v>90</v>
      </c>
      <c r="P326" s="7" t="s">
        <v>532</v>
      </c>
      <c r="Q326" s="7" t="s">
        <v>31</v>
      </c>
      <c r="R326" s="7" t="s">
        <v>533</v>
      </c>
    </row>
    <row r="327" spans="1:18" s="7" customFormat="1" x14ac:dyDescent="0.35">
      <c r="A327" s="7">
        <v>25</v>
      </c>
      <c r="B327" s="4" t="s">
        <v>520</v>
      </c>
      <c r="C327" s="4">
        <v>2025</v>
      </c>
      <c r="D327" s="4" t="s">
        <v>521</v>
      </c>
      <c r="E327" s="8" t="s">
        <v>522</v>
      </c>
      <c r="F327" s="3" t="s">
        <v>523</v>
      </c>
      <c r="G327" s="7" t="s">
        <v>39</v>
      </c>
      <c r="H327" s="3" t="s">
        <v>531</v>
      </c>
      <c r="I327" s="7">
        <v>79.792500000000004</v>
      </c>
      <c r="J327" s="7">
        <v>-74.945700000000002</v>
      </c>
      <c r="K327" s="7" t="s">
        <v>103</v>
      </c>
      <c r="L327" s="7" t="s">
        <v>223</v>
      </c>
      <c r="M327" s="7" t="s">
        <v>525</v>
      </c>
      <c r="N327" s="7" t="s">
        <v>532</v>
      </c>
      <c r="O327" s="7" t="s">
        <v>90</v>
      </c>
      <c r="P327" s="7" t="s">
        <v>532</v>
      </c>
      <c r="Q327" s="7" t="s">
        <v>31</v>
      </c>
      <c r="R327" s="7" t="s">
        <v>533</v>
      </c>
    </row>
    <row r="328" spans="1:18" s="7" customFormat="1" x14ac:dyDescent="0.35">
      <c r="A328" s="7">
        <v>25</v>
      </c>
      <c r="B328" s="4" t="s">
        <v>520</v>
      </c>
      <c r="C328" s="4">
        <v>2025</v>
      </c>
      <c r="D328" s="4" t="s">
        <v>521</v>
      </c>
      <c r="E328" s="8" t="s">
        <v>522</v>
      </c>
      <c r="F328" s="3" t="s">
        <v>523</v>
      </c>
      <c r="G328" s="7" t="s">
        <v>39</v>
      </c>
      <c r="H328" s="3" t="s">
        <v>534</v>
      </c>
      <c r="I328" s="7">
        <v>79.786199999999994</v>
      </c>
      <c r="J328" s="7">
        <v>-73.659899999999993</v>
      </c>
      <c r="K328" s="7" t="s">
        <v>103</v>
      </c>
      <c r="L328" s="7" t="s">
        <v>42</v>
      </c>
      <c r="M328" s="7" t="s">
        <v>525</v>
      </c>
      <c r="N328" s="7" t="s">
        <v>532</v>
      </c>
      <c r="O328" s="7" t="s">
        <v>90</v>
      </c>
      <c r="P328" s="7" t="s">
        <v>532</v>
      </c>
      <c r="Q328" s="7" t="s">
        <v>31</v>
      </c>
      <c r="R328" s="7" t="s">
        <v>533</v>
      </c>
    </row>
    <row r="329" spans="1:18" s="7" customFormat="1" x14ac:dyDescent="0.35">
      <c r="A329" s="7">
        <v>25</v>
      </c>
      <c r="B329" s="4" t="s">
        <v>520</v>
      </c>
      <c r="C329" s="4">
        <v>2025</v>
      </c>
      <c r="D329" s="4" t="s">
        <v>521</v>
      </c>
      <c r="E329" s="8" t="s">
        <v>522</v>
      </c>
      <c r="F329" s="3" t="s">
        <v>523</v>
      </c>
      <c r="G329" s="7" t="s">
        <v>39</v>
      </c>
      <c r="H329" s="3" t="s">
        <v>535</v>
      </c>
      <c r="I329" s="7">
        <v>77.341099999999997</v>
      </c>
      <c r="J329" s="7">
        <v>-75.014399999999995</v>
      </c>
      <c r="K329" s="7" t="s">
        <v>103</v>
      </c>
      <c r="L329" s="7" t="s">
        <v>42</v>
      </c>
      <c r="M329" s="7" t="s">
        <v>525</v>
      </c>
      <c r="N329" s="7" t="s">
        <v>532</v>
      </c>
      <c r="O329" s="7" t="s">
        <v>90</v>
      </c>
      <c r="P329" s="7" t="s">
        <v>532</v>
      </c>
      <c r="Q329" s="7" t="s">
        <v>31</v>
      </c>
      <c r="R329" s="7" t="s">
        <v>533</v>
      </c>
    </row>
    <row r="330" spans="1:18" s="7" customFormat="1" x14ac:dyDescent="0.35">
      <c r="A330" s="7">
        <v>25</v>
      </c>
      <c r="B330" s="4" t="s">
        <v>520</v>
      </c>
      <c r="C330" s="4">
        <v>2025</v>
      </c>
      <c r="D330" s="4" t="s">
        <v>521</v>
      </c>
      <c r="E330" s="8" t="s">
        <v>522</v>
      </c>
      <c r="F330" s="3" t="s">
        <v>523</v>
      </c>
      <c r="G330" s="7" t="s">
        <v>39</v>
      </c>
      <c r="H330" s="3" t="s">
        <v>536</v>
      </c>
      <c r="I330" s="7">
        <v>76.313699999999997</v>
      </c>
      <c r="J330" s="7">
        <v>-71.237099999999998</v>
      </c>
      <c r="K330" s="7" t="s">
        <v>103</v>
      </c>
      <c r="L330" s="7" t="s">
        <v>42</v>
      </c>
      <c r="M330" s="7" t="s">
        <v>525</v>
      </c>
      <c r="N330" s="7" t="s">
        <v>532</v>
      </c>
      <c r="O330" s="7" t="s">
        <v>90</v>
      </c>
      <c r="P330" s="7" t="s">
        <v>532</v>
      </c>
      <c r="Q330" s="7" t="s">
        <v>31</v>
      </c>
      <c r="R330" s="7" t="s">
        <v>533</v>
      </c>
    </row>
    <row r="331" spans="1:18" s="7" customFormat="1" x14ac:dyDescent="0.35">
      <c r="A331" s="7">
        <v>25</v>
      </c>
      <c r="B331" s="4" t="s">
        <v>520</v>
      </c>
      <c r="C331" s="4">
        <v>2025</v>
      </c>
      <c r="D331" s="4" t="s">
        <v>521</v>
      </c>
      <c r="E331" s="8" t="s">
        <v>522</v>
      </c>
      <c r="F331" s="3" t="s">
        <v>523</v>
      </c>
      <c r="G331" s="7" t="s">
        <v>39</v>
      </c>
      <c r="H331" s="3" t="s">
        <v>537</v>
      </c>
      <c r="I331" s="7">
        <v>76.308300000000003</v>
      </c>
      <c r="J331" s="7">
        <v>-73.197299999999998</v>
      </c>
      <c r="K331" s="7" t="s">
        <v>103</v>
      </c>
      <c r="L331" s="7" t="s">
        <v>42</v>
      </c>
      <c r="M331" s="7" t="s">
        <v>525</v>
      </c>
      <c r="N331" s="7" t="s">
        <v>532</v>
      </c>
      <c r="O331" s="7" t="s">
        <v>90</v>
      </c>
      <c r="P331" s="7" t="s">
        <v>532</v>
      </c>
      <c r="Q331" s="7" t="s">
        <v>31</v>
      </c>
      <c r="R331" s="7" t="s">
        <v>533</v>
      </c>
    </row>
    <row r="332" spans="1:18" s="7" customFormat="1" x14ac:dyDescent="0.35">
      <c r="A332" s="7">
        <v>25</v>
      </c>
      <c r="B332" s="4" t="s">
        <v>520</v>
      </c>
      <c r="C332" s="4">
        <v>2025</v>
      </c>
      <c r="D332" s="4" t="s">
        <v>521</v>
      </c>
      <c r="E332" s="8" t="s">
        <v>522</v>
      </c>
      <c r="F332" s="3" t="s">
        <v>523</v>
      </c>
      <c r="G332" s="7" t="s">
        <v>39</v>
      </c>
      <c r="H332" s="3" t="s">
        <v>538</v>
      </c>
      <c r="I332" s="7">
        <v>76.259799999999998</v>
      </c>
      <c r="J332" s="7">
        <v>-74.494399999999999</v>
      </c>
      <c r="K332" s="7" t="s">
        <v>103</v>
      </c>
      <c r="L332" s="7" t="s">
        <v>42</v>
      </c>
      <c r="M332" s="7" t="s">
        <v>525</v>
      </c>
      <c r="N332" s="7" t="s">
        <v>532</v>
      </c>
      <c r="O332" s="7" t="s">
        <v>90</v>
      </c>
      <c r="P332" s="7" t="s">
        <v>532</v>
      </c>
      <c r="Q332" s="7" t="s">
        <v>31</v>
      </c>
      <c r="R332" s="7" t="s">
        <v>533</v>
      </c>
    </row>
    <row r="333" spans="1:18" s="7" customFormat="1" x14ac:dyDescent="0.35">
      <c r="A333" s="7">
        <v>25</v>
      </c>
      <c r="B333" s="4" t="s">
        <v>520</v>
      </c>
      <c r="C333" s="4">
        <v>2025</v>
      </c>
      <c r="D333" s="4" t="s">
        <v>521</v>
      </c>
      <c r="E333" s="8" t="s">
        <v>522</v>
      </c>
      <c r="F333" s="3" t="s">
        <v>523</v>
      </c>
      <c r="G333" s="7" t="s">
        <v>39</v>
      </c>
      <c r="H333" s="3" t="s">
        <v>539</v>
      </c>
      <c r="I333" s="7">
        <v>76.064599999999999</v>
      </c>
      <c r="J333" s="7">
        <v>-81.849299999999999</v>
      </c>
      <c r="K333" s="7" t="s">
        <v>103</v>
      </c>
      <c r="L333" s="7" t="s">
        <v>42</v>
      </c>
      <c r="M333" s="7" t="s">
        <v>525</v>
      </c>
      <c r="N333" s="7" t="s">
        <v>532</v>
      </c>
      <c r="O333" s="7" t="s">
        <v>90</v>
      </c>
      <c r="P333" s="7" t="s">
        <v>532</v>
      </c>
      <c r="Q333" s="7" t="s">
        <v>31</v>
      </c>
      <c r="R333" s="7" t="s">
        <v>533</v>
      </c>
    </row>
    <row r="334" spans="1:18" s="7" customFormat="1" x14ac:dyDescent="0.35">
      <c r="A334" s="7">
        <v>25</v>
      </c>
      <c r="B334" s="4" t="s">
        <v>520</v>
      </c>
      <c r="C334" s="4">
        <v>2025</v>
      </c>
      <c r="D334" s="4" t="s">
        <v>521</v>
      </c>
      <c r="E334" s="8" t="s">
        <v>522</v>
      </c>
      <c r="F334" s="3" t="s">
        <v>523</v>
      </c>
      <c r="G334" s="7" t="s">
        <v>39</v>
      </c>
      <c r="H334" s="3" t="s">
        <v>540</v>
      </c>
      <c r="I334" s="7">
        <v>75.427000000000007</v>
      </c>
      <c r="J334" s="7">
        <v>-61.567</v>
      </c>
      <c r="K334" s="7" t="s">
        <v>103</v>
      </c>
      <c r="L334" s="7" t="s">
        <v>42</v>
      </c>
      <c r="M334" s="7" t="s">
        <v>525</v>
      </c>
      <c r="N334" s="7" t="s">
        <v>532</v>
      </c>
      <c r="O334" s="7" t="s">
        <v>90</v>
      </c>
      <c r="P334" s="7" t="s">
        <v>532</v>
      </c>
      <c r="Q334" s="7" t="s">
        <v>31</v>
      </c>
      <c r="R334" s="7" t="s">
        <v>533</v>
      </c>
    </row>
    <row r="335" spans="1:18" s="7" customFormat="1" x14ac:dyDescent="0.35">
      <c r="A335" s="7">
        <v>25</v>
      </c>
      <c r="B335" s="4" t="s">
        <v>520</v>
      </c>
      <c r="C335" s="4">
        <v>2025</v>
      </c>
      <c r="D335" s="4" t="s">
        <v>521</v>
      </c>
      <c r="E335" s="8" t="s">
        <v>522</v>
      </c>
      <c r="F335" s="3" t="s">
        <v>523</v>
      </c>
      <c r="G335" s="7" t="s">
        <v>39</v>
      </c>
      <c r="H335" s="3" t="s">
        <v>541</v>
      </c>
      <c r="I335" s="7">
        <v>75.217500000000001</v>
      </c>
      <c r="J335" s="7">
        <v>-79.555199999999999</v>
      </c>
      <c r="K335" s="7" t="s">
        <v>103</v>
      </c>
      <c r="L335" s="7" t="s">
        <v>42</v>
      </c>
      <c r="M335" s="7" t="s">
        <v>525</v>
      </c>
      <c r="N335" s="7" t="s">
        <v>532</v>
      </c>
      <c r="O335" s="7" t="s">
        <v>90</v>
      </c>
      <c r="P335" s="7" t="s">
        <v>532</v>
      </c>
      <c r="Q335" s="7" t="s">
        <v>31</v>
      </c>
      <c r="R335" s="7" t="s">
        <v>533</v>
      </c>
    </row>
    <row r="336" spans="1:18" s="7" customFormat="1" x14ac:dyDescent="0.35">
      <c r="A336" s="7">
        <v>25</v>
      </c>
      <c r="B336" s="4" t="s">
        <v>520</v>
      </c>
      <c r="C336" s="4">
        <v>2025</v>
      </c>
      <c r="D336" s="4" t="s">
        <v>521</v>
      </c>
      <c r="E336" s="8" t="s">
        <v>522</v>
      </c>
      <c r="F336" s="3" t="s">
        <v>523</v>
      </c>
      <c r="G336" s="7" t="s">
        <v>39</v>
      </c>
      <c r="H336" s="3" t="s">
        <v>542</v>
      </c>
      <c r="I336" s="7">
        <v>70.902900000000002</v>
      </c>
      <c r="J336" s="7">
        <v>-55.006799999999998</v>
      </c>
      <c r="K336" s="7" t="s">
        <v>103</v>
      </c>
      <c r="L336" s="7" t="s">
        <v>42</v>
      </c>
      <c r="M336" s="7" t="s">
        <v>525</v>
      </c>
      <c r="N336" s="7" t="s">
        <v>532</v>
      </c>
      <c r="O336" s="7" t="s">
        <v>90</v>
      </c>
      <c r="P336" s="7" t="s">
        <v>532</v>
      </c>
      <c r="Q336" s="7" t="s">
        <v>31</v>
      </c>
      <c r="R336" s="7" t="s">
        <v>533</v>
      </c>
    </row>
    <row r="337" spans="1:18" s="7" customFormat="1" x14ac:dyDescent="0.35">
      <c r="A337" s="7">
        <v>25</v>
      </c>
      <c r="B337" s="4" t="s">
        <v>520</v>
      </c>
      <c r="C337" s="4">
        <v>2025</v>
      </c>
      <c r="D337" s="4" t="s">
        <v>521</v>
      </c>
      <c r="E337" s="8" t="s">
        <v>522</v>
      </c>
      <c r="F337" s="3" t="s">
        <v>523</v>
      </c>
      <c r="G337" s="7" t="s">
        <v>39</v>
      </c>
      <c r="H337" s="3" t="s">
        <v>543</v>
      </c>
      <c r="I337" s="7">
        <v>70.704400000000007</v>
      </c>
      <c r="J337" s="7">
        <v>-59.018000000000001</v>
      </c>
      <c r="K337" s="7" t="s">
        <v>103</v>
      </c>
      <c r="L337" s="7" t="s">
        <v>42</v>
      </c>
      <c r="M337" s="7" t="s">
        <v>525</v>
      </c>
      <c r="N337" s="7" t="s">
        <v>532</v>
      </c>
      <c r="O337" s="7" t="s">
        <v>90</v>
      </c>
      <c r="P337" s="7" t="s">
        <v>532</v>
      </c>
      <c r="Q337" s="7" t="s">
        <v>31</v>
      </c>
      <c r="R337" s="7" t="s">
        <v>533</v>
      </c>
    </row>
    <row r="338" spans="1:18" s="7" customFormat="1" x14ac:dyDescent="0.35">
      <c r="A338" s="7">
        <v>25</v>
      </c>
      <c r="B338" s="4" t="s">
        <v>520</v>
      </c>
      <c r="C338" s="4">
        <v>2025</v>
      </c>
      <c r="D338" s="4" t="s">
        <v>521</v>
      </c>
      <c r="E338" s="8" t="s">
        <v>522</v>
      </c>
      <c r="F338" s="3" t="s">
        <v>523</v>
      </c>
      <c r="G338" s="7" t="s">
        <v>39</v>
      </c>
      <c r="H338" s="3" t="s">
        <v>544</v>
      </c>
      <c r="I338" s="7">
        <v>70.419899999999998</v>
      </c>
      <c r="J338" s="7">
        <v>-62.954999999999998</v>
      </c>
      <c r="K338" s="7" t="s">
        <v>103</v>
      </c>
      <c r="L338" s="7" t="s">
        <v>42</v>
      </c>
      <c r="M338" s="7" t="s">
        <v>525</v>
      </c>
      <c r="N338" s="7" t="s">
        <v>532</v>
      </c>
      <c r="O338" s="7" t="s">
        <v>90</v>
      </c>
      <c r="P338" s="7" t="s">
        <v>532</v>
      </c>
      <c r="Q338" s="7" t="s">
        <v>31</v>
      </c>
      <c r="R338" s="7" t="s">
        <v>533</v>
      </c>
    </row>
    <row r="339" spans="1:18" s="7" customFormat="1" x14ac:dyDescent="0.35">
      <c r="A339" s="7">
        <v>25</v>
      </c>
      <c r="B339" s="4" t="s">
        <v>520</v>
      </c>
      <c r="C339" s="4">
        <v>2025</v>
      </c>
      <c r="D339" s="4" t="s">
        <v>521</v>
      </c>
      <c r="E339" s="8" t="s">
        <v>522</v>
      </c>
      <c r="F339" s="3" t="s">
        <v>523</v>
      </c>
      <c r="G339" s="7" t="s">
        <v>39</v>
      </c>
      <c r="H339" s="3" t="s">
        <v>545</v>
      </c>
      <c r="I339" s="7">
        <v>68.278599999999997</v>
      </c>
      <c r="J339" s="7">
        <v>-65.144000000000005</v>
      </c>
      <c r="K339" s="7" t="s">
        <v>103</v>
      </c>
      <c r="L339" s="7" t="s">
        <v>42</v>
      </c>
      <c r="M339" s="7" t="s">
        <v>525</v>
      </c>
      <c r="N339" s="7" t="s">
        <v>532</v>
      </c>
      <c r="O339" s="7" t="s">
        <v>90</v>
      </c>
      <c r="P339" s="7" t="s">
        <v>532</v>
      </c>
      <c r="Q339" s="7" t="s">
        <v>31</v>
      </c>
      <c r="R339" s="7" t="s">
        <v>533</v>
      </c>
    </row>
    <row r="340" spans="1:18" s="7" customFormat="1" x14ac:dyDescent="0.35">
      <c r="A340" s="7">
        <v>25</v>
      </c>
      <c r="B340" s="4" t="s">
        <v>520</v>
      </c>
      <c r="C340" s="4">
        <v>2025</v>
      </c>
      <c r="D340" s="4" t="s">
        <v>521</v>
      </c>
      <c r="E340" s="8" t="s">
        <v>522</v>
      </c>
      <c r="F340" s="3" t="s">
        <v>523</v>
      </c>
      <c r="G340" s="7" t="s">
        <v>39</v>
      </c>
      <c r="H340" s="3" t="s">
        <v>546</v>
      </c>
      <c r="I340" s="7">
        <v>67.474199999999996</v>
      </c>
      <c r="J340" s="7">
        <v>-63.692999999999998</v>
      </c>
      <c r="K340" s="7" t="s">
        <v>103</v>
      </c>
      <c r="L340" s="7" t="s">
        <v>42</v>
      </c>
      <c r="M340" s="7" t="s">
        <v>525</v>
      </c>
      <c r="N340" s="7" t="s">
        <v>532</v>
      </c>
      <c r="O340" s="7" t="s">
        <v>90</v>
      </c>
      <c r="P340" s="7" t="s">
        <v>532</v>
      </c>
      <c r="Q340" s="7" t="s">
        <v>31</v>
      </c>
      <c r="R340" s="7" t="s">
        <v>533</v>
      </c>
    </row>
    <row r="341" spans="1:18" s="7" customFormat="1" x14ac:dyDescent="0.35">
      <c r="A341" s="7">
        <v>25</v>
      </c>
      <c r="B341" s="4" t="s">
        <v>520</v>
      </c>
      <c r="C341" s="4">
        <v>2025</v>
      </c>
      <c r="D341" s="4" t="s">
        <v>521</v>
      </c>
      <c r="E341" s="8" t="s">
        <v>522</v>
      </c>
      <c r="F341" s="3" t="s">
        <v>523</v>
      </c>
      <c r="G341" s="7" t="s">
        <v>39</v>
      </c>
      <c r="H341" s="3" t="s">
        <v>547</v>
      </c>
      <c r="I341" s="7">
        <v>67.345699999999994</v>
      </c>
      <c r="J341" s="7">
        <v>-62.521999999999998</v>
      </c>
      <c r="K341" s="7" t="s">
        <v>103</v>
      </c>
      <c r="L341" s="7" t="s">
        <v>42</v>
      </c>
      <c r="M341" s="7" t="s">
        <v>525</v>
      </c>
      <c r="N341" s="7" t="s">
        <v>532</v>
      </c>
      <c r="O341" s="7" t="s">
        <v>90</v>
      </c>
      <c r="P341" s="7" t="s">
        <v>532</v>
      </c>
      <c r="Q341" s="7" t="s">
        <v>31</v>
      </c>
      <c r="R341" s="7" t="s">
        <v>533</v>
      </c>
    </row>
    <row r="342" spans="1:18" s="7" customFormat="1" x14ac:dyDescent="0.35">
      <c r="A342" s="7">
        <v>25</v>
      </c>
      <c r="B342" s="4" t="s">
        <v>520</v>
      </c>
      <c r="C342" s="4">
        <v>2025</v>
      </c>
      <c r="D342" s="4" t="s">
        <v>521</v>
      </c>
      <c r="E342" s="8" t="s">
        <v>522</v>
      </c>
      <c r="F342" s="3" t="s">
        <v>523</v>
      </c>
      <c r="G342" s="7" t="s">
        <v>39</v>
      </c>
      <c r="H342" s="3" t="s">
        <v>548</v>
      </c>
      <c r="I342" s="7">
        <v>67.198599999999999</v>
      </c>
      <c r="J342" s="7">
        <v>-60.9</v>
      </c>
      <c r="K342" s="7" t="s">
        <v>103</v>
      </c>
      <c r="L342" s="7" t="s">
        <v>42</v>
      </c>
      <c r="M342" s="7" t="s">
        <v>525</v>
      </c>
      <c r="N342" s="7" t="s">
        <v>532</v>
      </c>
      <c r="O342" s="7" t="s">
        <v>90</v>
      </c>
      <c r="P342" s="7" t="s">
        <v>532</v>
      </c>
      <c r="Q342" s="7" t="s">
        <v>31</v>
      </c>
      <c r="R342" s="7" t="s">
        <v>533</v>
      </c>
    </row>
    <row r="343" spans="1:18" s="7" customFormat="1" x14ac:dyDescent="0.35">
      <c r="A343" s="7">
        <v>25</v>
      </c>
      <c r="B343" s="4" t="s">
        <v>520</v>
      </c>
      <c r="C343" s="4">
        <v>2025</v>
      </c>
      <c r="D343" s="4" t="s">
        <v>521</v>
      </c>
      <c r="E343" s="8" t="s">
        <v>522</v>
      </c>
      <c r="F343" s="3" t="s">
        <v>523</v>
      </c>
      <c r="G343" s="7" t="s">
        <v>39</v>
      </c>
      <c r="H343" s="3" t="s">
        <v>549</v>
      </c>
      <c r="I343" s="7">
        <v>66.778400000000005</v>
      </c>
      <c r="J343" s="7">
        <v>-57.848999999999997</v>
      </c>
      <c r="K343" s="7" t="s">
        <v>103</v>
      </c>
      <c r="L343" s="7" t="s">
        <v>42</v>
      </c>
      <c r="M343" s="7" t="s">
        <v>525</v>
      </c>
      <c r="N343" s="7" t="s">
        <v>532</v>
      </c>
      <c r="O343" s="7" t="s">
        <v>90</v>
      </c>
      <c r="P343" s="7" t="s">
        <v>532</v>
      </c>
      <c r="Q343" s="7" t="s">
        <v>31</v>
      </c>
      <c r="R343" s="7" t="s">
        <v>533</v>
      </c>
    </row>
    <row r="344" spans="1:18" s="7" customFormat="1" x14ac:dyDescent="0.35">
      <c r="A344" s="7">
        <v>25</v>
      </c>
      <c r="B344" s="4" t="s">
        <v>520</v>
      </c>
      <c r="C344" s="4">
        <v>2025</v>
      </c>
      <c r="D344" s="4" t="s">
        <v>521</v>
      </c>
      <c r="E344" s="8" t="s">
        <v>522</v>
      </c>
      <c r="F344" s="3" t="s">
        <v>523</v>
      </c>
      <c r="G344" s="7" t="s">
        <v>39</v>
      </c>
      <c r="H344" s="3" t="s">
        <v>550</v>
      </c>
      <c r="I344" s="7">
        <v>66.671899999999994</v>
      </c>
      <c r="J344" s="7">
        <v>-59.563000000000002</v>
      </c>
      <c r="K344" s="7" t="s">
        <v>103</v>
      </c>
      <c r="L344" s="7" t="s">
        <v>42</v>
      </c>
      <c r="M344" s="7" t="s">
        <v>525</v>
      </c>
      <c r="N344" s="7" t="s">
        <v>532</v>
      </c>
      <c r="O344" s="7" t="s">
        <v>90</v>
      </c>
      <c r="P344" s="7" t="s">
        <v>532</v>
      </c>
      <c r="Q344" s="7" t="s">
        <v>31</v>
      </c>
      <c r="R344" s="7" t="s">
        <v>533</v>
      </c>
    </row>
    <row r="345" spans="1:18" s="7" customFormat="1" x14ac:dyDescent="0.35">
      <c r="A345" s="7">
        <v>25</v>
      </c>
      <c r="B345" s="4" t="s">
        <v>520</v>
      </c>
      <c r="C345" s="4">
        <v>2025</v>
      </c>
      <c r="D345" s="4" t="s">
        <v>521</v>
      </c>
      <c r="E345" s="8" t="s">
        <v>522</v>
      </c>
      <c r="F345" s="3" t="s">
        <v>523</v>
      </c>
      <c r="G345" s="7" t="s">
        <v>25</v>
      </c>
      <c r="H345" s="3" t="s">
        <v>551</v>
      </c>
      <c r="I345" s="7">
        <v>63.207999999999998</v>
      </c>
      <c r="J345" s="7">
        <v>-83.796999999999997</v>
      </c>
      <c r="K345" s="7" t="s">
        <v>103</v>
      </c>
      <c r="L345" s="7" t="s">
        <v>42</v>
      </c>
      <c r="M345" s="7" t="s">
        <v>525</v>
      </c>
      <c r="N345" s="7" t="s">
        <v>532</v>
      </c>
      <c r="O345" s="7" t="s">
        <v>90</v>
      </c>
      <c r="P345" s="7" t="s">
        <v>532</v>
      </c>
      <c r="Q345" s="7" t="s">
        <v>31</v>
      </c>
      <c r="R345" s="7" t="s">
        <v>533</v>
      </c>
    </row>
    <row r="346" spans="1:18" s="7" customFormat="1" x14ac:dyDescent="0.35">
      <c r="A346" s="7">
        <v>25</v>
      </c>
      <c r="B346" s="4" t="s">
        <v>520</v>
      </c>
      <c r="C346" s="4">
        <v>2025</v>
      </c>
      <c r="D346" s="4" t="s">
        <v>521</v>
      </c>
      <c r="E346" s="8" t="s">
        <v>522</v>
      </c>
      <c r="F346" s="3" t="s">
        <v>523</v>
      </c>
      <c r="G346" s="7" t="s">
        <v>25</v>
      </c>
      <c r="H346" s="3" t="s">
        <v>552</v>
      </c>
      <c r="I346" s="7">
        <v>63.704000000000001</v>
      </c>
      <c r="J346" s="7">
        <v>-92.01</v>
      </c>
      <c r="K346" s="7" t="s">
        <v>103</v>
      </c>
      <c r="L346" s="7" t="s">
        <v>163</v>
      </c>
      <c r="M346" s="7" t="s">
        <v>525</v>
      </c>
      <c r="N346" s="7" t="s">
        <v>532</v>
      </c>
      <c r="O346" s="7" t="s">
        <v>90</v>
      </c>
      <c r="P346" s="7" t="s">
        <v>532</v>
      </c>
      <c r="Q346" s="7" t="s">
        <v>31</v>
      </c>
      <c r="R346" s="7" t="s">
        <v>533</v>
      </c>
    </row>
    <row r="347" spans="1:18" s="7" customFormat="1" x14ac:dyDescent="0.35">
      <c r="A347" s="7">
        <v>25</v>
      </c>
      <c r="B347" s="4" t="s">
        <v>520</v>
      </c>
      <c r="C347" s="4">
        <v>2025</v>
      </c>
      <c r="D347" s="4" t="s">
        <v>521</v>
      </c>
      <c r="E347" s="8" t="s">
        <v>522</v>
      </c>
      <c r="F347" s="3" t="s">
        <v>523</v>
      </c>
      <c r="G347" s="7" t="s">
        <v>25</v>
      </c>
      <c r="H347" s="3" t="s">
        <v>553</v>
      </c>
      <c r="I347" s="7">
        <v>63.93</v>
      </c>
      <c r="J347" s="7">
        <v>-93.614000000000004</v>
      </c>
      <c r="K347" s="7" t="s">
        <v>103</v>
      </c>
      <c r="L347" s="7" t="s">
        <v>163</v>
      </c>
      <c r="M347" s="7" t="s">
        <v>525</v>
      </c>
      <c r="N347" s="7" t="s">
        <v>532</v>
      </c>
      <c r="O347" s="7" t="s">
        <v>90</v>
      </c>
      <c r="P347" s="7" t="s">
        <v>532</v>
      </c>
      <c r="Q347" s="7" t="s">
        <v>31</v>
      </c>
      <c r="R347" s="7" t="s">
        <v>533</v>
      </c>
    </row>
    <row r="348" spans="1:18" s="7" customFormat="1" x14ac:dyDescent="0.35">
      <c r="A348" s="7">
        <v>25</v>
      </c>
      <c r="B348" s="4" t="s">
        <v>520</v>
      </c>
      <c r="C348" s="4">
        <v>2025</v>
      </c>
      <c r="D348" s="4" t="s">
        <v>521</v>
      </c>
      <c r="E348" s="8" t="s">
        <v>522</v>
      </c>
      <c r="F348" s="3" t="s">
        <v>523</v>
      </c>
      <c r="G348" s="7" t="s">
        <v>25</v>
      </c>
      <c r="H348" s="3" t="s">
        <v>554</v>
      </c>
      <c r="I348" s="7">
        <v>64.227000000000004</v>
      </c>
      <c r="J348" s="7">
        <v>-95.47</v>
      </c>
      <c r="K348" s="7" t="s">
        <v>103</v>
      </c>
      <c r="L348" s="7" t="s">
        <v>28</v>
      </c>
      <c r="M348" s="7" t="s">
        <v>525</v>
      </c>
      <c r="N348" s="7" t="s">
        <v>532</v>
      </c>
      <c r="O348" s="7" t="s">
        <v>90</v>
      </c>
      <c r="P348" s="7" t="s">
        <v>532</v>
      </c>
      <c r="Q348" s="7" t="s">
        <v>31</v>
      </c>
      <c r="R348" s="7" t="s">
        <v>533</v>
      </c>
    </row>
    <row r="349" spans="1:18" s="7" customFormat="1" x14ac:dyDescent="0.35">
      <c r="A349" s="7">
        <v>25</v>
      </c>
      <c r="B349" s="4" t="s">
        <v>520</v>
      </c>
      <c r="C349" s="4">
        <v>2025</v>
      </c>
      <c r="D349" s="4" t="s">
        <v>521</v>
      </c>
      <c r="E349" s="8" t="s">
        <v>522</v>
      </c>
      <c r="F349" s="3" t="s">
        <v>523</v>
      </c>
      <c r="G349" s="7" t="s">
        <v>25</v>
      </c>
      <c r="H349" s="3" t="s">
        <v>555</v>
      </c>
      <c r="I349" s="7">
        <v>64.274000000000001</v>
      </c>
      <c r="J349" s="7">
        <v>-96.141000000000005</v>
      </c>
      <c r="K349" s="7" t="s">
        <v>103</v>
      </c>
      <c r="L349" s="7" t="s">
        <v>28</v>
      </c>
      <c r="M349" s="7" t="s">
        <v>525</v>
      </c>
      <c r="N349" s="7" t="s">
        <v>532</v>
      </c>
      <c r="O349" s="7" t="s">
        <v>90</v>
      </c>
      <c r="P349" s="7" t="s">
        <v>532</v>
      </c>
      <c r="Q349" s="7" t="s">
        <v>31</v>
      </c>
      <c r="R349" s="7" t="s">
        <v>533</v>
      </c>
    </row>
    <row r="350" spans="1:18" s="7" customFormat="1" x14ac:dyDescent="0.35">
      <c r="A350" s="7">
        <v>25</v>
      </c>
      <c r="B350" s="4" t="s">
        <v>520</v>
      </c>
      <c r="C350" s="4">
        <v>2025</v>
      </c>
      <c r="D350" s="4" t="s">
        <v>521</v>
      </c>
      <c r="E350" s="8" t="s">
        <v>522</v>
      </c>
      <c r="F350" s="3" t="s">
        <v>523</v>
      </c>
      <c r="G350" s="7" t="s">
        <v>25</v>
      </c>
      <c r="H350" s="3" t="s">
        <v>556</v>
      </c>
      <c r="I350" s="7">
        <v>64.305999999999997</v>
      </c>
      <c r="J350" s="7">
        <v>-95.998999999999995</v>
      </c>
      <c r="K350" s="7" t="s">
        <v>103</v>
      </c>
      <c r="L350" s="7" t="s">
        <v>28</v>
      </c>
      <c r="M350" s="7" t="s">
        <v>525</v>
      </c>
      <c r="N350" s="7" t="s">
        <v>532</v>
      </c>
      <c r="O350" s="7" t="s">
        <v>90</v>
      </c>
      <c r="P350" s="7" t="s">
        <v>532</v>
      </c>
      <c r="Q350" s="7" t="s">
        <v>31</v>
      </c>
      <c r="R350" s="7" t="s">
        <v>533</v>
      </c>
    </row>
    <row r="351" spans="1:18" s="7" customFormat="1" x14ac:dyDescent="0.35">
      <c r="A351" s="7">
        <v>25</v>
      </c>
      <c r="B351" s="4" t="s">
        <v>520</v>
      </c>
      <c r="C351" s="4">
        <v>2025</v>
      </c>
      <c r="D351" s="4" t="s">
        <v>521</v>
      </c>
      <c r="E351" s="8" t="s">
        <v>522</v>
      </c>
      <c r="F351" s="3" t="s">
        <v>523</v>
      </c>
      <c r="G351" s="7" t="s">
        <v>25</v>
      </c>
      <c r="H351" s="3" t="s">
        <v>557</v>
      </c>
      <c r="I351" s="7">
        <v>63.042999999999999</v>
      </c>
      <c r="J351" s="7">
        <v>-90.558999999999997</v>
      </c>
      <c r="K351" s="7" t="s">
        <v>103</v>
      </c>
      <c r="L351" s="7" t="s">
        <v>163</v>
      </c>
      <c r="M351" s="7" t="s">
        <v>525</v>
      </c>
      <c r="N351" s="7" t="s">
        <v>532</v>
      </c>
      <c r="O351" s="7" t="s">
        <v>90</v>
      </c>
      <c r="P351" s="7" t="s">
        <v>532</v>
      </c>
      <c r="Q351" s="7" t="s">
        <v>31</v>
      </c>
      <c r="R351" s="7" t="s">
        <v>533</v>
      </c>
    </row>
    <row r="352" spans="1:18" s="7" customFormat="1" x14ac:dyDescent="0.35">
      <c r="A352" s="7">
        <v>25</v>
      </c>
      <c r="B352" s="4" t="s">
        <v>520</v>
      </c>
      <c r="C352" s="4">
        <v>2025</v>
      </c>
      <c r="D352" s="4" t="s">
        <v>521</v>
      </c>
      <c r="E352" s="8" t="s">
        <v>522</v>
      </c>
      <c r="F352" s="3" t="s">
        <v>523</v>
      </c>
      <c r="G352" s="7" t="s">
        <v>25</v>
      </c>
      <c r="H352" s="3" t="s">
        <v>558</v>
      </c>
      <c r="I352" s="7">
        <v>62.813000000000002</v>
      </c>
      <c r="J352" s="7">
        <v>-92.043000000000006</v>
      </c>
      <c r="K352" s="7" t="s">
        <v>103</v>
      </c>
      <c r="L352" s="7" t="s">
        <v>163</v>
      </c>
      <c r="M352" s="7" t="s">
        <v>525</v>
      </c>
      <c r="N352" s="7" t="s">
        <v>532</v>
      </c>
      <c r="O352" s="7" t="s">
        <v>90</v>
      </c>
      <c r="P352" s="7" t="s">
        <v>532</v>
      </c>
      <c r="Q352" s="7" t="s">
        <v>31</v>
      </c>
      <c r="R352" s="7" t="s">
        <v>533</v>
      </c>
    </row>
    <row r="353" spans="1:18" s="7" customFormat="1" x14ac:dyDescent="0.35">
      <c r="A353" s="7">
        <v>25</v>
      </c>
      <c r="B353" s="4" t="s">
        <v>520</v>
      </c>
      <c r="C353" s="4">
        <v>2025</v>
      </c>
      <c r="D353" s="4" t="s">
        <v>521</v>
      </c>
      <c r="E353" s="8" t="s">
        <v>522</v>
      </c>
      <c r="F353" s="3" t="s">
        <v>523</v>
      </c>
      <c r="G353" s="7" t="s">
        <v>25</v>
      </c>
      <c r="H353" s="3" t="s">
        <v>559</v>
      </c>
      <c r="I353" s="7">
        <v>61.110999999999997</v>
      </c>
      <c r="J353" s="7">
        <v>-93.942999999999998</v>
      </c>
      <c r="K353" s="7" t="s">
        <v>103</v>
      </c>
      <c r="L353" s="7" t="s">
        <v>42</v>
      </c>
      <c r="M353" s="7" t="s">
        <v>525</v>
      </c>
      <c r="N353" s="7" t="s">
        <v>532</v>
      </c>
      <c r="O353" s="7" t="s">
        <v>90</v>
      </c>
      <c r="P353" s="7" t="s">
        <v>532</v>
      </c>
      <c r="Q353" s="7" t="s">
        <v>31</v>
      </c>
      <c r="R353" s="7" t="s">
        <v>533</v>
      </c>
    </row>
    <row r="354" spans="1:18" s="7" customFormat="1" x14ac:dyDescent="0.35">
      <c r="A354" s="7">
        <v>25</v>
      </c>
      <c r="B354" s="4" t="s">
        <v>520</v>
      </c>
      <c r="C354" s="4">
        <v>2025</v>
      </c>
      <c r="D354" s="4" t="s">
        <v>521</v>
      </c>
      <c r="E354" s="8" t="s">
        <v>522</v>
      </c>
      <c r="F354" s="3" t="s">
        <v>523</v>
      </c>
      <c r="G354" s="7" t="s">
        <v>25</v>
      </c>
      <c r="H354" s="3" t="s">
        <v>560</v>
      </c>
      <c r="I354" s="7">
        <v>63.765999999999998</v>
      </c>
      <c r="J354" s="7">
        <v>-92.0334</v>
      </c>
      <c r="K354" s="7" t="s">
        <v>103</v>
      </c>
      <c r="L354" s="7" t="s">
        <v>163</v>
      </c>
      <c r="M354" s="7" t="s">
        <v>525</v>
      </c>
      <c r="N354" s="7" t="s">
        <v>532</v>
      </c>
      <c r="O354" s="7" t="s">
        <v>90</v>
      </c>
      <c r="P354" s="7" t="s">
        <v>532</v>
      </c>
      <c r="Q354" s="7" t="s">
        <v>31</v>
      </c>
      <c r="R354" s="7" t="s">
        <v>533</v>
      </c>
    </row>
    <row r="355" spans="1:18" s="7" customFormat="1" x14ac:dyDescent="0.35">
      <c r="A355" s="7">
        <v>25</v>
      </c>
      <c r="B355" s="4" t="s">
        <v>520</v>
      </c>
      <c r="C355" s="4">
        <v>2025</v>
      </c>
      <c r="D355" s="4" t="s">
        <v>521</v>
      </c>
      <c r="E355" s="8" t="s">
        <v>522</v>
      </c>
      <c r="F355" s="3" t="s">
        <v>523</v>
      </c>
      <c r="G355" s="7" t="s">
        <v>86</v>
      </c>
      <c r="H355" s="3" t="s">
        <v>561</v>
      </c>
      <c r="I355" s="7">
        <v>46.369799999999998</v>
      </c>
      <c r="J355" s="7">
        <v>-81.049700000000001</v>
      </c>
      <c r="K355" s="7" t="s">
        <v>103</v>
      </c>
      <c r="L355" s="7" t="s">
        <v>28</v>
      </c>
      <c r="M355" s="7" t="s">
        <v>525</v>
      </c>
      <c r="N355" s="7" t="s">
        <v>532</v>
      </c>
      <c r="O355" s="7" t="s">
        <v>90</v>
      </c>
      <c r="P355" s="7" t="s">
        <v>532</v>
      </c>
      <c r="Q355" s="7" t="s">
        <v>31</v>
      </c>
      <c r="R355" s="7" t="s">
        <v>533</v>
      </c>
    </row>
    <row r="356" spans="1:18" s="7" customFormat="1" x14ac:dyDescent="0.35">
      <c r="A356" s="7">
        <v>25</v>
      </c>
      <c r="B356" s="4" t="s">
        <v>520</v>
      </c>
      <c r="C356" s="4">
        <v>2025</v>
      </c>
      <c r="D356" s="4" t="s">
        <v>521</v>
      </c>
      <c r="E356" s="8" t="s">
        <v>522</v>
      </c>
      <c r="F356" s="3" t="s">
        <v>523</v>
      </c>
      <c r="G356" s="7" t="s">
        <v>86</v>
      </c>
      <c r="H356" s="3" t="s">
        <v>562</v>
      </c>
      <c r="I356" s="7">
        <v>46.4422</v>
      </c>
      <c r="J356" s="7">
        <v>-81.040599999999998</v>
      </c>
      <c r="K356" s="7" t="s">
        <v>103</v>
      </c>
      <c r="L356" s="7" t="s">
        <v>28</v>
      </c>
      <c r="M356" s="7" t="s">
        <v>525</v>
      </c>
      <c r="N356" s="7" t="s">
        <v>532</v>
      </c>
      <c r="O356" s="7" t="s">
        <v>90</v>
      </c>
      <c r="P356" s="7" t="s">
        <v>532</v>
      </c>
      <c r="Q356" s="7" t="s">
        <v>31</v>
      </c>
      <c r="R356" s="7" t="s">
        <v>533</v>
      </c>
    </row>
    <row r="357" spans="1:18" s="7" customFormat="1" x14ac:dyDescent="0.35">
      <c r="A357" s="7">
        <v>25</v>
      </c>
      <c r="B357" s="4" t="s">
        <v>520</v>
      </c>
      <c r="C357" s="4">
        <v>2025</v>
      </c>
      <c r="D357" s="4" t="s">
        <v>521</v>
      </c>
      <c r="E357" s="8" t="s">
        <v>522</v>
      </c>
      <c r="F357" s="3" t="s">
        <v>523</v>
      </c>
      <c r="G357" s="7" t="s">
        <v>86</v>
      </c>
      <c r="H357" s="3" t="s">
        <v>563</v>
      </c>
      <c r="I357" s="7">
        <v>46.451799999999999</v>
      </c>
      <c r="J357" s="7">
        <v>-81.056399999999996</v>
      </c>
      <c r="K357" s="7" t="s">
        <v>103</v>
      </c>
      <c r="L357" s="7" t="s">
        <v>28</v>
      </c>
      <c r="M357" s="7" t="s">
        <v>525</v>
      </c>
      <c r="N357" s="7" t="s">
        <v>532</v>
      </c>
      <c r="O357" s="7" t="s">
        <v>90</v>
      </c>
      <c r="P357" s="7" t="s">
        <v>532</v>
      </c>
      <c r="Q357" s="7" t="s">
        <v>31</v>
      </c>
      <c r="R357" s="7" t="s">
        <v>533</v>
      </c>
    </row>
    <row r="358" spans="1:18" s="7" customFormat="1" x14ac:dyDescent="0.35">
      <c r="A358" s="7">
        <v>25</v>
      </c>
      <c r="B358" s="4" t="s">
        <v>520</v>
      </c>
      <c r="C358" s="4">
        <v>2025</v>
      </c>
      <c r="D358" s="4" t="s">
        <v>521</v>
      </c>
      <c r="E358" s="8" t="s">
        <v>522</v>
      </c>
      <c r="F358" s="3" t="s">
        <v>523</v>
      </c>
      <c r="G358" s="7" t="s">
        <v>86</v>
      </c>
      <c r="H358" s="3" t="s">
        <v>564</v>
      </c>
      <c r="I358" s="7">
        <v>46.390999999999998</v>
      </c>
      <c r="J358" s="7">
        <v>-81.0398</v>
      </c>
      <c r="K358" s="7" t="s">
        <v>103</v>
      </c>
      <c r="L358" s="7" t="s">
        <v>28</v>
      </c>
      <c r="M358" s="7" t="s">
        <v>525</v>
      </c>
      <c r="N358" s="7" t="s">
        <v>532</v>
      </c>
      <c r="O358" s="7" t="s">
        <v>90</v>
      </c>
      <c r="P358" s="7" t="s">
        <v>532</v>
      </c>
      <c r="Q358" s="7" t="s">
        <v>31</v>
      </c>
      <c r="R358" s="7" t="s">
        <v>533</v>
      </c>
    </row>
    <row r="359" spans="1:18" s="7" customFormat="1" x14ac:dyDescent="0.35">
      <c r="A359" s="7">
        <v>25</v>
      </c>
      <c r="B359" s="4" t="s">
        <v>520</v>
      </c>
      <c r="C359" s="4">
        <v>2025</v>
      </c>
      <c r="D359" s="4" t="s">
        <v>521</v>
      </c>
      <c r="E359" s="8" t="s">
        <v>522</v>
      </c>
      <c r="F359" s="3" t="s">
        <v>523</v>
      </c>
      <c r="G359" s="7" t="s">
        <v>86</v>
      </c>
      <c r="H359" s="3" t="s">
        <v>565</v>
      </c>
      <c r="I359" s="7">
        <v>46.366100000000003</v>
      </c>
      <c r="J359" s="7">
        <v>-81.066299999999998</v>
      </c>
      <c r="K359" s="7" t="s">
        <v>103</v>
      </c>
      <c r="L359" s="7" t="s">
        <v>28</v>
      </c>
      <c r="M359" s="7" t="s">
        <v>525</v>
      </c>
      <c r="N359" s="7" t="s">
        <v>532</v>
      </c>
      <c r="O359" s="7" t="s">
        <v>90</v>
      </c>
      <c r="P359" s="7" t="s">
        <v>532</v>
      </c>
      <c r="Q359" s="7" t="s">
        <v>31</v>
      </c>
      <c r="R359" s="7" t="s">
        <v>533</v>
      </c>
    </row>
    <row r="360" spans="1:18" s="7" customFormat="1" x14ac:dyDescent="0.35">
      <c r="A360" s="7">
        <v>25</v>
      </c>
      <c r="B360" s="4" t="s">
        <v>520</v>
      </c>
      <c r="C360" s="4">
        <v>2025</v>
      </c>
      <c r="D360" s="4" t="s">
        <v>521</v>
      </c>
      <c r="E360" s="8" t="s">
        <v>522</v>
      </c>
      <c r="F360" s="3" t="s">
        <v>523</v>
      </c>
      <c r="G360" s="7" t="s">
        <v>86</v>
      </c>
      <c r="H360" s="3" t="s">
        <v>566</v>
      </c>
      <c r="I360" s="7">
        <v>47.465699999999998</v>
      </c>
      <c r="J360" s="7">
        <v>-80.631299999999996</v>
      </c>
      <c r="K360" s="7" t="s">
        <v>103</v>
      </c>
      <c r="L360" s="7" t="s">
        <v>28</v>
      </c>
      <c r="M360" s="7" t="s">
        <v>525</v>
      </c>
      <c r="N360" s="7" t="s">
        <v>532</v>
      </c>
      <c r="O360" s="7" t="s">
        <v>90</v>
      </c>
      <c r="P360" s="7" t="s">
        <v>532</v>
      </c>
      <c r="Q360" s="7" t="s">
        <v>31</v>
      </c>
      <c r="R360" s="7" t="s">
        <v>533</v>
      </c>
    </row>
    <row r="361" spans="1:18" s="7" customFormat="1" x14ac:dyDescent="0.35">
      <c r="A361" s="7">
        <v>25</v>
      </c>
      <c r="B361" s="4" t="s">
        <v>520</v>
      </c>
      <c r="C361" s="4">
        <v>2025</v>
      </c>
      <c r="D361" s="4" t="s">
        <v>521</v>
      </c>
      <c r="E361" s="8" t="s">
        <v>522</v>
      </c>
      <c r="F361" s="3" t="s">
        <v>523</v>
      </c>
      <c r="G361" s="7" t="s">
        <v>86</v>
      </c>
      <c r="H361" s="3" t="s">
        <v>567</v>
      </c>
      <c r="I361" s="7">
        <v>46.479900000000001</v>
      </c>
      <c r="J361" s="7">
        <v>-80.976100000000002</v>
      </c>
      <c r="K361" s="7" t="s">
        <v>103</v>
      </c>
      <c r="L361" s="7" t="s">
        <v>28</v>
      </c>
      <c r="M361" s="7" t="s">
        <v>525</v>
      </c>
      <c r="N361" s="7" t="s">
        <v>532</v>
      </c>
      <c r="O361" s="7" t="s">
        <v>90</v>
      </c>
      <c r="P361" s="7" t="s">
        <v>532</v>
      </c>
      <c r="Q361" s="7" t="s">
        <v>31</v>
      </c>
      <c r="R361" s="7" t="s">
        <v>533</v>
      </c>
    </row>
    <row r="362" spans="1:18" s="7" customFormat="1" x14ac:dyDescent="0.35">
      <c r="A362" s="7">
        <v>25</v>
      </c>
      <c r="B362" s="4" t="s">
        <v>520</v>
      </c>
      <c r="C362" s="4">
        <v>2025</v>
      </c>
      <c r="D362" s="4" t="s">
        <v>521</v>
      </c>
      <c r="E362" s="8" t="s">
        <v>522</v>
      </c>
      <c r="F362" s="3" t="s">
        <v>523</v>
      </c>
      <c r="G362" s="7" t="s">
        <v>86</v>
      </c>
      <c r="H362" s="3" t="s">
        <v>568</v>
      </c>
      <c r="I362" s="7">
        <v>46.4544</v>
      </c>
      <c r="J362" s="7">
        <v>-80.880700000000004</v>
      </c>
      <c r="K362" s="7" t="s">
        <v>103</v>
      </c>
      <c r="L362" s="7" t="s">
        <v>28</v>
      </c>
      <c r="M362" s="7" t="s">
        <v>525</v>
      </c>
      <c r="N362" s="7" t="s">
        <v>532</v>
      </c>
      <c r="O362" s="7" t="s">
        <v>90</v>
      </c>
      <c r="P362" s="7" t="s">
        <v>532</v>
      </c>
      <c r="Q362" s="7" t="s">
        <v>31</v>
      </c>
      <c r="R362" s="7" t="s">
        <v>533</v>
      </c>
    </row>
    <row r="363" spans="1:18" s="7" customFormat="1" x14ac:dyDescent="0.35">
      <c r="A363" s="7">
        <v>25</v>
      </c>
      <c r="B363" s="4" t="s">
        <v>520</v>
      </c>
      <c r="C363" s="4">
        <v>2025</v>
      </c>
      <c r="D363" s="4" t="s">
        <v>521</v>
      </c>
      <c r="E363" s="8" t="s">
        <v>522</v>
      </c>
      <c r="F363" s="3" t="s">
        <v>523</v>
      </c>
      <c r="G363" s="7" t="s">
        <v>86</v>
      </c>
      <c r="H363" s="3" t="s">
        <v>569</v>
      </c>
      <c r="I363" s="7">
        <v>47.384099999999997</v>
      </c>
      <c r="J363" s="7">
        <v>-80.651600000000002</v>
      </c>
      <c r="K363" s="7" t="s">
        <v>103</v>
      </c>
      <c r="L363" s="7" t="s">
        <v>28</v>
      </c>
      <c r="M363" s="7" t="s">
        <v>525</v>
      </c>
      <c r="N363" s="7" t="s">
        <v>532</v>
      </c>
      <c r="O363" s="7" t="s">
        <v>90</v>
      </c>
      <c r="P363" s="7" t="s">
        <v>532</v>
      </c>
      <c r="Q363" s="7" t="s">
        <v>31</v>
      </c>
      <c r="R363" s="7" t="s">
        <v>533</v>
      </c>
    </row>
    <row r="364" spans="1:18" s="7" customFormat="1" x14ac:dyDescent="0.35">
      <c r="A364" s="7">
        <v>25</v>
      </c>
      <c r="B364" s="4" t="s">
        <v>520</v>
      </c>
      <c r="C364" s="4">
        <v>2025</v>
      </c>
      <c r="D364" s="4" t="s">
        <v>521</v>
      </c>
      <c r="E364" s="8" t="s">
        <v>522</v>
      </c>
      <c r="F364" s="3" t="s">
        <v>523</v>
      </c>
      <c r="G364" s="7" t="s">
        <v>86</v>
      </c>
      <c r="H364" s="3" t="s">
        <v>570</v>
      </c>
      <c r="I364" s="7">
        <v>47.378799999999998</v>
      </c>
      <c r="J364" s="7">
        <v>-80.637100000000004</v>
      </c>
      <c r="K364" s="7" t="s">
        <v>103</v>
      </c>
      <c r="L364" s="7" t="s">
        <v>28</v>
      </c>
      <c r="M364" s="7" t="s">
        <v>525</v>
      </c>
      <c r="N364" s="7" t="s">
        <v>532</v>
      </c>
      <c r="O364" s="7" t="s">
        <v>90</v>
      </c>
      <c r="P364" s="7" t="s">
        <v>532</v>
      </c>
      <c r="Q364" s="7" t="s">
        <v>31</v>
      </c>
      <c r="R364" s="7" t="s">
        <v>533</v>
      </c>
    </row>
    <row r="365" spans="1:18" s="7" customFormat="1" x14ac:dyDescent="0.35">
      <c r="A365" s="7">
        <v>25</v>
      </c>
      <c r="B365" s="4" t="s">
        <v>520</v>
      </c>
      <c r="C365" s="4">
        <v>2025</v>
      </c>
      <c r="D365" s="4" t="s">
        <v>521</v>
      </c>
      <c r="E365" s="8" t="s">
        <v>522</v>
      </c>
      <c r="F365" s="3" t="s">
        <v>523</v>
      </c>
      <c r="G365" s="7" t="s">
        <v>86</v>
      </c>
      <c r="H365" s="3" t="s">
        <v>571</v>
      </c>
      <c r="I365" s="7">
        <v>43.288800000000002</v>
      </c>
      <c r="J365" s="7">
        <v>-79.836299999999994</v>
      </c>
      <c r="K365" s="7" t="s">
        <v>103</v>
      </c>
      <c r="L365" s="7" t="s">
        <v>28</v>
      </c>
      <c r="M365" s="7" t="s">
        <v>525</v>
      </c>
      <c r="N365" s="7" t="s">
        <v>532</v>
      </c>
      <c r="O365" s="7" t="s">
        <v>90</v>
      </c>
      <c r="P365" s="7" t="s">
        <v>532</v>
      </c>
      <c r="Q365" s="7" t="s">
        <v>31</v>
      </c>
      <c r="R365" s="7" t="s">
        <v>533</v>
      </c>
    </row>
    <row r="366" spans="1:18" s="7" customFormat="1" x14ac:dyDescent="0.35">
      <c r="A366" s="7">
        <v>25</v>
      </c>
      <c r="B366" s="4" t="s">
        <v>520</v>
      </c>
      <c r="C366" s="4">
        <v>2025</v>
      </c>
      <c r="D366" s="4" t="s">
        <v>521</v>
      </c>
      <c r="E366" s="8" t="s">
        <v>522</v>
      </c>
      <c r="F366" s="3" t="s">
        <v>523</v>
      </c>
      <c r="G366" s="7" t="s">
        <v>86</v>
      </c>
      <c r="H366" s="3" t="s">
        <v>321</v>
      </c>
      <c r="I366" s="7">
        <v>43.6233</v>
      </c>
      <c r="J366" s="7">
        <v>-79.446799999999996</v>
      </c>
      <c r="K366" s="7" t="s">
        <v>103</v>
      </c>
      <c r="L366" s="7" t="s">
        <v>28</v>
      </c>
      <c r="M366" s="7" t="s">
        <v>525</v>
      </c>
      <c r="N366" s="7" t="s">
        <v>532</v>
      </c>
      <c r="O366" s="7" t="s">
        <v>90</v>
      </c>
      <c r="P366" s="7" t="s">
        <v>532</v>
      </c>
      <c r="Q366" s="7" t="s">
        <v>31</v>
      </c>
      <c r="R366" s="7" t="s">
        <v>533</v>
      </c>
    </row>
    <row r="367" spans="1:18" s="7" customFormat="1" x14ac:dyDescent="0.35">
      <c r="A367" s="7">
        <v>25</v>
      </c>
      <c r="B367" s="4" t="s">
        <v>520</v>
      </c>
      <c r="C367" s="4">
        <v>2025</v>
      </c>
      <c r="D367" s="4" t="s">
        <v>521</v>
      </c>
      <c r="E367" s="8" t="s">
        <v>522</v>
      </c>
      <c r="F367" s="3" t="s">
        <v>523</v>
      </c>
      <c r="G367" s="7" t="s">
        <v>86</v>
      </c>
      <c r="H367" s="3" t="s">
        <v>572</v>
      </c>
      <c r="I367" s="7">
        <v>45.136699999999998</v>
      </c>
      <c r="J367" s="7">
        <v>-74.4161</v>
      </c>
      <c r="K367" s="7" t="s">
        <v>103</v>
      </c>
      <c r="L367" s="7" t="s">
        <v>28</v>
      </c>
      <c r="M367" s="7" t="s">
        <v>525</v>
      </c>
      <c r="N367" s="7" t="s">
        <v>532</v>
      </c>
      <c r="O367" s="7" t="s">
        <v>90</v>
      </c>
      <c r="P367" s="7" t="s">
        <v>532</v>
      </c>
      <c r="Q367" s="7" t="s">
        <v>31</v>
      </c>
      <c r="R367" s="7" t="s">
        <v>533</v>
      </c>
    </row>
    <row r="368" spans="1:18" s="7" customFormat="1" x14ac:dyDescent="0.35">
      <c r="A368" s="7">
        <v>25</v>
      </c>
      <c r="B368" s="4" t="s">
        <v>520</v>
      </c>
      <c r="C368" s="4">
        <v>2025</v>
      </c>
      <c r="D368" s="4" t="s">
        <v>521</v>
      </c>
      <c r="E368" s="8" t="s">
        <v>522</v>
      </c>
      <c r="F368" s="3" t="s">
        <v>523</v>
      </c>
      <c r="G368" s="7" t="s">
        <v>86</v>
      </c>
      <c r="H368" s="3" t="s">
        <v>573</v>
      </c>
      <c r="I368" s="7">
        <v>44.234299999999998</v>
      </c>
      <c r="J368" s="7">
        <v>-76.374600000000001</v>
      </c>
      <c r="K368" s="7" t="s">
        <v>103</v>
      </c>
      <c r="L368" s="7" t="s">
        <v>28</v>
      </c>
      <c r="M368" s="7" t="s">
        <v>525</v>
      </c>
      <c r="N368" s="7" t="s">
        <v>532</v>
      </c>
      <c r="O368" s="7" t="s">
        <v>90</v>
      </c>
      <c r="P368" s="7" t="s">
        <v>532</v>
      </c>
      <c r="Q368" s="7" t="s">
        <v>31</v>
      </c>
      <c r="R368" s="7" t="s">
        <v>533</v>
      </c>
    </row>
    <row r="369" spans="1:18" s="7" customFormat="1" x14ac:dyDescent="0.35">
      <c r="A369" s="7">
        <v>25</v>
      </c>
      <c r="B369" s="4" t="s">
        <v>520</v>
      </c>
      <c r="C369" s="4">
        <v>2025</v>
      </c>
      <c r="D369" s="4" t="s">
        <v>521</v>
      </c>
      <c r="E369" s="8" t="s">
        <v>522</v>
      </c>
      <c r="F369" s="3" t="s">
        <v>523</v>
      </c>
      <c r="G369" s="7" t="s">
        <v>86</v>
      </c>
      <c r="H369" s="3" t="s">
        <v>574</v>
      </c>
      <c r="I369" s="7">
        <v>43.425800000000002</v>
      </c>
      <c r="J369" s="7">
        <v>-79.660700000000006</v>
      </c>
      <c r="K369" s="7" t="s">
        <v>103</v>
      </c>
      <c r="L369" s="7" t="s">
        <v>28</v>
      </c>
      <c r="M369" s="7" t="s">
        <v>525</v>
      </c>
      <c r="N369" s="7" t="s">
        <v>532</v>
      </c>
      <c r="O369" s="7" t="s">
        <v>90</v>
      </c>
      <c r="P369" s="7" t="s">
        <v>532</v>
      </c>
      <c r="Q369" s="7" t="s">
        <v>31</v>
      </c>
      <c r="R369" s="7" t="s">
        <v>533</v>
      </c>
    </row>
    <row r="370" spans="1:18" s="7" customFormat="1" x14ac:dyDescent="0.35">
      <c r="A370" s="7">
        <v>25</v>
      </c>
      <c r="B370" s="4" t="s">
        <v>520</v>
      </c>
      <c r="C370" s="4">
        <v>2025</v>
      </c>
      <c r="D370" s="4" t="s">
        <v>521</v>
      </c>
      <c r="E370" s="8" t="s">
        <v>522</v>
      </c>
      <c r="F370" s="3" t="s">
        <v>523</v>
      </c>
      <c r="G370" s="7" t="s">
        <v>86</v>
      </c>
      <c r="H370" s="3" t="s">
        <v>575</v>
      </c>
      <c r="I370" s="7">
        <v>43.793599999999998</v>
      </c>
      <c r="J370" s="7">
        <v>-79.084999999999994</v>
      </c>
      <c r="K370" s="7" t="s">
        <v>103</v>
      </c>
      <c r="L370" s="7" t="s">
        <v>28</v>
      </c>
      <c r="M370" s="7" t="s">
        <v>525</v>
      </c>
      <c r="N370" s="7" t="s">
        <v>532</v>
      </c>
      <c r="O370" s="7" t="s">
        <v>90</v>
      </c>
      <c r="P370" s="7" t="s">
        <v>532</v>
      </c>
      <c r="Q370" s="7" t="s">
        <v>31</v>
      </c>
      <c r="R370" s="7" t="s">
        <v>533</v>
      </c>
    </row>
    <row r="371" spans="1:18" s="7" customFormat="1" x14ac:dyDescent="0.35">
      <c r="A371" s="7">
        <v>25</v>
      </c>
      <c r="B371" s="4" t="s">
        <v>520</v>
      </c>
      <c r="C371" s="4">
        <v>2025</v>
      </c>
      <c r="D371" s="4" t="s">
        <v>521</v>
      </c>
      <c r="E371" s="8" t="s">
        <v>522</v>
      </c>
      <c r="F371" s="3" t="s">
        <v>523</v>
      </c>
      <c r="G371" s="7" t="s">
        <v>86</v>
      </c>
      <c r="H371" s="3" t="s">
        <v>576</v>
      </c>
      <c r="I371" s="7">
        <v>43.957900000000002</v>
      </c>
      <c r="J371" s="7">
        <v>-76.811700000000002</v>
      </c>
      <c r="K371" s="7" t="s">
        <v>103</v>
      </c>
      <c r="L371" s="7" t="s">
        <v>28</v>
      </c>
      <c r="M371" s="7" t="s">
        <v>525</v>
      </c>
      <c r="N371" s="7" t="s">
        <v>532</v>
      </c>
      <c r="O371" s="7" t="s">
        <v>90</v>
      </c>
      <c r="P371" s="7" t="s">
        <v>532</v>
      </c>
      <c r="Q371" s="7" t="s">
        <v>31</v>
      </c>
      <c r="R371" s="7" t="s">
        <v>533</v>
      </c>
    </row>
    <row r="372" spans="1:18" s="7" customFormat="1" x14ac:dyDescent="0.35">
      <c r="A372" s="7">
        <v>25</v>
      </c>
      <c r="B372" s="4" t="s">
        <v>520</v>
      </c>
      <c r="C372" s="4">
        <v>2025</v>
      </c>
      <c r="D372" s="4" t="s">
        <v>521</v>
      </c>
      <c r="E372" s="8" t="s">
        <v>522</v>
      </c>
      <c r="F372" s="3" t="s">
        <v>523</v>
      </c>
      <c r="G372" s="7" t="s">
        <v>86</v>
      </c>
      <c r="H372" s="3" t="s">
        <v>577</v>
      </c>
      <c r="I372" s="7">
        <v>43.319899999999997</v>
      </c>
      <c r="J372" s="7">
        <v>-78.978499999999997</v>
      </c>
      <c r="K372" s="7" t="s">
        <v>103</v>
      </c>
      <c r="L372" s="7" t="s">
        <v>28</v>
      </c>
      <c r="M372" s="7" t="s">
        <v>525</v>
      </c>
      <c r="N372" s="7" t="s">
        <v>532</v>
      </c>
      <c r="O372" s="7" t="s">
        <v>90</v>
      </c>
      <c r="P372" s="7" t="s">
        <v>532</v>
      </c>
      <c r="Q372" s="7" t="s">
        <v>31</v>
      </c>
      <c r="R372" s="7" t="s">
        <v>533</v>
      </c>
    </row>
    <row r="373" spans="1:18" s="7" customFormat="1" x14ac:dyDescent="0.35">
      <c r="A373" s="7">
        <v>25</v>
      </c>
      <c r="B373" s="4" t="s">
        <v>520</v>
      </c>
      <c r="C373" s="4">
        <v>2025</v>
      </c>
      <c r="D373" s="4" t="s">
        <v>521</v>
      </c>
      <c r="E373" s="8" t="s">
        <v>522</v>
      </c>
      <c r="F373" s="3" t="s">
        <v>523</v>
      </c>
      <c r="G373" s="7" t="s">
        <v>86</v>
      </c>
      <c r="H373" s="3" t="s">
        <v>578</v>
      </c>
      <c r="I373" s="7">
        <v>43.2682</v>
      </c>
      <c r="J373" s="7">
        <v>-79.671099999999996</v>
      </c>
      <c r="K373" s="7" t="s">
        <v>103</v>
      </c>
      <c r="L373" s="7" t="s">
        <v>28</v>
      </c>
      <c r="M373" s="7" t="s">
        <v>525</v>
      </c>
      <c r="N373" s="7" t="s">
        <v>532</v>
      </c>
      <c r="O373" s="7" t="s">
        <v>90</v>
      </c>
      <c r="P373" s="7" t="s">
        <v>532</v>
      </c>
      <c r="Q373" s="7" t="s">
        <v>31</v>
      </c>
      <c r="R373" s="7" t="s">
        <v>533</v>
      </c>
    </row>
    <row r="374" spans="1:18" s="7" customFormat="1" x14ac:dyDescent="0.35">
      <c r="A374" s="7">
        <v>25</v>
      </c>
      <c r="B374" s="4" t="s">
        <v>520</v>
      </c>
      <c r="C374" s="4">
        <v>2025</v>
      </c>
      <c r="D374" s="4" t="s">
        <v>521</v>
      </c>
      <c r="E374" s="8" t="s">
        <v>522</v>
      </c>
      <c r="F374" s="3" t="s">
        <v>523</v>
      </c>
      <c r="G374" s="7" t="s">
        <v>86</v>
      </c>
      <c r="H374" s="3" t="s">
        <v>579</v>
      </c>
      <c r="I374" s="7">
        <v>43.631599999999999</v>
      </c>
      <c r="J374" s="7">
        <v>-79.369900000000001</v>
      </c>
      <c r="K374" s="7" t="s">
        <v>103</v>
      </c>
      <c r="L374" s="7" t="s">
        <v>28</v>
      </c>
      <c r="M374" s="7" t="s">
        <v>525</v>
      </c>
      <c r="N374" s="7" t="s">
        <v>532</v>
      </c>
      <c r="O374" s="7" t="s">
        <v>90</v>
      </c>
      <c r="P374" s="7" t="s">
        <v>532</v>
      </c>
      <c r="Q374" s="7" t="s">
        <v>31</v>
      </c>
      <c r="R374" s="7" t="s">
        <v>533</v>
      </c>
    </row>
    <row r="375" spans="1:18" s="7" customFormat="1" x14ac:dyDescent="0.35">
      <c r="A375" s="7">
        <v>25</v>
      </c>
      <c r="B375" s="4" t="s">
        <v>520</v>
      </c>
      <c r="C375" s="4">
        <v>2025</v>
      </c>
      <c r="D375" s="4" t="s">
        <v>521</v>
      </c>
      <c r="E375" s="8" t="s">
        <v>522</v>
      </c>
      <c r="F375" s="3" t="s">
        <v>523</v>
      </c>
      <c r="G375" s="7" t="s">
        <v>86</v>
      </c>
      <c r="H375" s="3" t="s">
        <v>580</v>
      </c>
      <c r="I375" s="7">
        <v>44.088299999999997</v>
      </c>
      <c r="J375" s="7">
        <v>-77.543800000000005</v>
      </c>
      <c r="K375" s="7" t="s">
        <v>103</v>
      </c>
      <c r="L375" s="7" t="s">
        <v>28</v>
      </c>
      <c r="M375" s="7" t="s">
        <v>525</v>
      </c>
      <c r="N375" s="7" t="s">
        <v>532</v>
      </c>
      <c r="O375" s="7" t="s">
        <v>90</v>
      </c>
      <c r="P375" s="7" t="s">
        <v>532</v>
      </c>
      <c r="Q375" s="7" t="s">
        <v>31</v>
      </c>
      <c r="R375" s="7" t="s">
        <v>533</v>
      </c>
    </row>
    <row r="376" spans="1:18" s="7" customFormat="1" x14ac:dyDescent="0.35">
      <c r="A376" s="7">
        <v>25</v>
      </c>
      <c r="B376" s="4" t="s">
        <v>520</v>
      </c>
      <c r="C376" s="4">
        <v>2025</v>
      </c>
      <c r="D376" s="4" t="s">
        <v>521</v>
      </c>
      <c r="E376" s="8" t="s">
        <v>522</v>
      </c>
      <c r="F376" s="3" t="s">
        <v>523</v>
      </c>
      <c r="G376" s="7" t="s">
        <v>86</v>
      </c>
      <c r="H376" s="3" t="s">
        <v>581</v>
      </c>
      <c r="I376" s="7">
        <v>46.4863</v>
      </c>
      <c r="J376" s="7">
        <v>-84.116399999999999</v>
      </c>
      <c r="K376" s="7" t="s">
        <v>103</v>
      </c>
      <c r="L376" s="7" t="s">
        <v>28</v>
      </c>
      <c r="M376" s="7" t="s">
        <v>525</v>
      </c>
      <c r="N376" s="7" t="s">
        <v>532</v>
      </c>
      <c r="O376" s="7" t="s">
        <v>90</v>
      </c>
      <c r="P376" s="7" t="s">
        <v>532</v>
      </c>
      <c r="Q376" s="7" t="s">
        <v>31</v>
      </c>
      <c r="R376" s="7" t="s">
        <v>533</v>
      </c>
    </row>
    <row r="377" spans="1:18" s="7" customFormat="1" x14ac:dyDescent="0.35">
      <c r="A377" s="7">
        <v>25</v>
      </c>
      <c r="B377" s="4" t="s">
        <v>520</v>
      </c>
      <c r="C377" s="4">
        <v>2025</v>
      </c>
      <c r="D377" s="4" t="s">
        <v>521</v>
      </c>
      <c r="E377" s="8" t="s">
        <v>522</v>
      </c>
      <c r="F377" s="3" t="s">
        <v>523</v>
      </c>
      <c r="G377" s="7" t="s">
        <v>86</v>
      </c>
      <c r="H377" s="3" t="s">
        <v>582</v>
      </c>
      <c r="I377" s="7">
        <v>48.930599999999998</v>
      </c>
      <c r="J377" s="7">
        <v>-88.195700000000002</v>
      </c>
      <c r="K377" s="7" t="s">
        <v>103</v>
      </c>
      <c r="L377" s="7" t="s">
        <v>28</v>
      </c>
      <c r="M377" s="7" t="s">
        <v>525</v>
      </c>
      <c r="N377" s="7" t="s">
        <v>532</v>
      </c>
      <c r="O377" s="7" t="s">
        <v>90</v>
      </c>
      <c r="P377" s="7" t="s">
        <v>532</v>
      </c>
      <c r="Q377" s="7" t="s">
        <v>31</v>
      </c>
      <c r="R377" s="7" t="s">
        <v>533</v>
      </c>
    </row>
    <row r="378" spans="1:18" s="7" customFormat="1" x14ac:dyDescent="0.35">
      <c r="A378" s="7">
        <v>25</v>
      </c>
      <c r="B378" s="4" t="s">
        <v>520</v>
      </c>
      <c r="C378" s="4">
        <v>2025</v>
      </c>
      <c r="D378" s="4" t="s">
        <v>521</v>
      </c>
      <c r="E378" s="8" t="s">
        <v>522</v>
      </c>
      <c r="F378" s="3" t="s">
        <v>523</v>
      </c>
      <c r="G378" s="7" t="s">
        <v>86</v>
      </c>
      <c r="H378" s="3" t="s">
        <v>583</v>
      </c>
      <c r="I378" s="7">
        <v>48.101599999999998</v>
      </c>
      <c r="J378" s="7">
        <v>-86.034000000000006</v>
      </c>
      <c r="K378" s="7" t="s">
        <v>103</v>
      </c>
      <c r="L378" s="7" t="s">
        <v>28</v>
      </c>
      <c r="M378" s="7" t="s">
        <v>525</v>
      </c>
      <c r="N378" s="7" t="s">
        <v>532</v>
      </c>
      <c r="O378" s="7" t="s">
        <v>90</v>
      </c>
      <c r="P378" s="7" t="s">
        <v>532</v>
      </c>
      <c r="Q378" s="7" t="s">
        <v>31</v>
      </c>
      <c r="R378" s="7" t="s">
        <v>533</v>
      </c>
    </row>
    <row r="379" spans="1:18" s="7" customFormat="1" x14ac:dyDescent="0.35">
      <c r="A379" s="7">
        <v>25</v>
      </c>
      <c r="B379" s="4" t="s">
        <v>520</v>
      </c>
      <c r="C379" s="4">
        <v>2025</v>
      </c>
      <c r="D379" s="4" t="s">
        <v>521</v>
      </c>
      <c r="E379" s="8" t="s">
        <v>522</v>
      </c>
      <c r="F379" s="3" t="s">
        <v>523</v>
      </c>
      <c r="G379" s="7" t="s">
        <v>86</v>
      </c>
      <c r="H379" s="3" t="s">
        <v>584</v>
      </c>
      <c r="I379" s="7">
        <v>48.366900000000001</v>
      </c>
      <c r="J379" s="7">
        <v>-89.155900000000003</v>
      </c>
      <c r="K379" s="7" t="s">
        <v>103</v>
      </c>
      <c r="L379" s="7" t="s">
        <v>28</v>
      </c>
      <c r="M379" s="7" t="s">
        <v>525</v>
      </c>
      <c r="N379" s="7" t="s">
        <v>532</v>
      </c>
      <c r="O379" s="7" t="s">
        <v>90</v>
      </c>
      <c r="P379" s="7" t="s">
        <v>532</v>
      </c>
      <c r="Q379" s="7" t="s">
        <v>31</v>
      </c>
      <c r="R379" s="7" t="s">
        <v>533</v>
      </c>
    </row>
    <row r="380" spans="1:18" s="7" customFormat="1" x14ac:dyDescent="0.35">
      <c r="A380" s="7">
        <v>25</v>
      </c>
      <c r="B380" s="4" t="s">
        <v>520</v>
      </c>
      <c r="C380" s="4">
        <v>2025</v>
      </c>
      <c r="D380" s="4" t="s">
        <v>521</v>
      </c>
      <c r="E380" s="8" t="s">
        <v>522</v>
      </c>
      <c r="F380" s="3" t="s">
        <v>523</v>
      </c>
      <c r="G380" s="7" t="s">
        <v>86</v>
      </c>
      <c r="H380" s="3" t="s">
        <v>585</v>
      </c>
      <c r="I380" s="7">
        <v>43.640999999999998</v>
      </c>
      <c r="J380" s="7">
        <v>-79.466200000000001</v>
      </c>
      <c r="K380" s="7" t="s">
        <v>103</v>
      </c>
      <c r="L380" s="7" t="s">
        <v>28</v>
      </c>
      <c r="M380" s="7" t="s">
        <v>525</v>
      </c>
      <c r="N380" s="7" t="s">
        <v>532</v>
      </c>
      <c r="O380" s="7" t="s">
        <v>90</v>
      </c>
      <c r="P380" s="7" t="s">
        <v>532</v>
      </c>
      <c r="Q380" s="7" t="s">
        <v>31</v>
      </c>
      <c r="R380" s="7" t="s">
        <v>533</v>
      </c>
    </row>
    <row r="381" spans="1:18" s="7" customFormat="1" x14ac:dyDescent="0.35">
      <c r="A381" s="7">
        <v>25</v>
      </c>
      <c r="B381" s="4" t="s">
        <v>520</v>
      </c>
      <c r="C381" s="4">
        <v>2025</v>
      </c>
      <c r="D381" s="4" t="s">
        <v>521</v>
      </c>
      <c r="E381" s="8" t="s">
        <v>522</v>
      </c>
      <c r="F381" s="3" t="s">
        <v>523</v>
      </c>
      <c r="G381" s="7" t="s">
        <v>86</v>
      </c>
      <c r="H381" s="3" t="s">
        <v>586</v>
      </c>
      <c r="I381" s="7">
        <v>43.949300000000001</v>
      </c>
      <c r="J381" s="7">
        <v>-79.437600000000003</v>
      </c>
      <c r="K381" s="7" t="s">
        <v>103</v>
      </c>
      <c r="L381" s="7" t="s">
        <v>28</v>
      </c>
      <c r="M381" s="7" t="s">
        <v>525</v>
      </c>
      <c r="N381" s="7" t="s">
        <v>532</v>
      </c>
      <c r="O381" s="7" t="s">
        <v>90</v>
      </c>
      <c r="P381" s="7" t="s">
        <v>532</v>
      </c>
      <c r="Q381" s="7" t="s">
        <v>31</v>
      </c>
      <c r="R381" s="7" t="s">
        <v>533</v>
      </c>
    </row>
    <row r="382" spans="1:18" s="7" customFormat="1" x14ac:dyDescent="0.35">
      <c r="A382" s="7">
        <v>25</v>
      </c>
      <c r="B382" s="4" t="s">
        <v>520</v>
      </c>
      <c r="C382" s="4">
        <v>2025</v>
      </c>
      <c r="D382" s="4" t="s">
        <v>521</v>
      </c>
      <c r="E382" s="8" t="s">
        <v>522</v>
      </c>
      <c r="F382" s="3" t="s">
        <v>523</v>
      </c>
      <c r="G382" s="7" t="s">
        <v>86</v>
      </c>
      <c r="H382" s="3" t="s">
        <v>587</v>
      </c>
      <c r="I382" s="7">
        <v>43.876600000000003</v>
      </c>
      <c r="J382" s="7">
        <v>-79.453299999999999</v>
      </c>
      <c r="K382" s="7" t="s">
        <v>103</v>
      </c>
      <c r="L382" s="7" t="s">
        <v>28</v>
      </c>
      <c r="M382" s="7" t="s">
        <v>525</v>
      </c>
      <c r="N382" s="7" t="s">
        <v>532</v>
      </c>
      <c r="O382" s="7" t="s">
        <v>90</v>
      </c>
      <c r="P382" s="7" t="s">
        <v>532</v>
      </c>
      <c r="Q382" s="7" t="s">
        <v>31</v>
      </c>
      <c r="R382" s="7" t="s">
        <v>533</v>
      </c>
    </row>
    <row r="383" spans="1:18" s="7" customFormat="1" x14ac:dyDescent="0.35">
      <c r="A383" s="7">
        <v>25</v>
      </c>
      <c r="B383" s="4" t="s">
        <v>520</v>
      </c>
      <c r="C383" s="4">
        <v>2025</v>
      </c>
      <c r="D383" s="4" t="s">
        <v>521</v>
      </c>
      <c r="E383" s="8" t="s">
        <v>522</v>
      </c>
      <c r="F383" s="3" t="s">
        <v>523</v>
      </c>
      <c r="G383" s="7" t="s">
        <v>86</v>
      </c>
      <c r="H383" s="3" t="s">
        <v>588</v>
      </c>
      <c r="I383" s="7">
        <v>43.865200000000002</v>
      </c>
      <c r="J383" s="7">
        <v>-79.266000000000005</v>
      </c>
      <c r="K383" s="7" t="s">
        <v>103</v>
      </c>
      <c r="L383" s="7" t="s">
        <v>28</v>
      </c>
      <c r="M383" s="7" t="s">
        <v>525</v>
      </c>
      <c r="N383" s="7" t="s">
        <v>532</v>
      </c>
      <c r="O383" s="7" t="s">
        <v>90</v>
      </c>
      <c r="P383" s="7" t="s">
        <v>532</v>
      </c>
      <c r="Q383" s="7" t="s">
        <v>31</v>
      </c>
      <c r="R383" s="7" t="s">
        <v>533</v>
      </c>
    </row>
    <row r="384" spans="1:18" s="7" customFormat="1" x14ac:dyDescent="0.35">
      <c r="A384" s="7">
        <v>25</v>
      </c>
      <c r="B384" s="4" t="s">
        <v>520</v>
      </c>
      <c r="C384" s="4">
        <v>2025</v>
      </c>
      <c r="D384" s="4" t="s">
        <v>521</v>
      </c>
      <c r="E384" s="8" t="s">
        <v>522</v>
      </c>
      <c r="F384" s="3" t="s">
        <v>523</v>
      </c>
      <c r="G384" s="7" t="s">
        <v>86</v>
      </c>
      <c r="H384" s="3" t="s">
        <v>589</v>
      </c>
      <c r="I384" s="7">
        <v>43.871899999999997</v>
      </c>
      <c r="J384" s="7">
        <v>-79.314899999999994</v>
      </c>
      <c r="K384" s="7" t="s">
        <v>103</v>
      </c>
      <c r="L384" s="7" t="s">
        <v>28</v>
      </c>
      <c r="M384" s="7" t="s">
        <v>525</v>
      </c>
      <c r="N384" s="7" t="s">
        <v>532</v>
      </c>
      <c r="O384" s="7" t="s">
        <v>90</v>
      </c>
      <c r="P384" s="7" t="s">
        <v>532</v>
      </c>
      <c r="Q384" s="7" t="s">
        <v>31</v>
      </c>
      <c r="R384" s="7" t="s">
        <v>533</v>
      </c>
    </row>
    <row r="385" spans="1:18" s="7" customFormat="1" x14ac:dyDescent="0.35">
      <c r="A385" s="7">
        <v>26</v>
      </c>
      <c r="B385" s="7" t="s">
        <v>590</v>
      </c>
      <c r="C385" s="7">
        <v>2021</v>
      </c>
      <c r="D385" s="7" t="s">
        <v>420</v>
      </c>
      <c r="E385" s="7" t="s">
        <v>591</v>
      </c>
      <c r="F385" s="7" t="s">
        <v>592</v>
      </c>
      <c r="G385" s="7" t="s">
        <v>54</v>
      </c>
      <c r="H385" s="7" t="s">
        <v>593</v>
      </c>
      <c r="I385" s="52">
        <v>48.763890000000004</v>
      </c>
      <c r="J385" s="52">
        <v>-123.62083</v>
      </c>
      <c r="K385" s="7" t="s">
        <v>103</v>
      </c>
      <c r="L385" s="7" t="s">
        <v>163</v>
      </c>
      <c r="M385" s="7" t="s">
        <v>594</v>
      </c>
      <c r="N385" s="7" t="s">
        <v>435</v>
      </c>
      <c r="O385" s="7" t="s">
        <v>31</v>
      </c>
      <c r="P385" s="7" t="s">
        <v>435</v>
      </c>
      <c r="Q385" s="7" t="s">
        <v>31</v>
      </c>
      <c r="R385" s="7" t="s">
        <v>597</v>
      </c>
    </row>
    <row r="386" spans="1:18" s="7" customFormat="1" x14ac:dyDescent="0.35">
      <c r="A386" s="7">
        <v>26</v>
      </c>
      <c r="B386" s="7" t="s">
        <v>590</v>
      </c>
      <c r="C386" s="7">
        <v>2021</v>
      </c>
      <c r="D386" s="7" t="s">
        <v>420</v>
      </c>
      <c r="E386" s="7" t="s">
        <v>591</v>
      </c>
      <c r="F386" s="7" t="s">
        <v>592</v>
      </c>
      <c r="G386" s="7" t="s">
        <v>54</v>
      </c>
      <c r="H386" s="7" t="s">
        <v>598</v>
      </c>
      <c r="I386" s="52">
        <v>48.762439999999998</v>
      </c>
      <c r="J386" s="52">
        <v>-123.62083</v>
      </c>
      <c r="K386" s="7" t="s">
        <v>103</v>
      </c>
      <c r="L386" s="7" t="s">
        <v>163</v>
      </c>
      <c r="M386" s="7" t="s">
        <v>594</v>
      </c>
      <c r="N386" s="7" t="s">
        <v>435</v>
      </c>
      <c r="O386" s="7" t="s">
        <v>31</v>
      </c>
      <c r="P386" s="7" t="s">
        <v>435</v>
      </c>
      <c r="Q386" s="7" t="s">
        <v>31</v>
      </c>
      <c r="R386" s="7" t="s">
        <v>599</v>
      </c>
    </row>
    <row r="387" spans="1:18" s="7" customFormat="1" x14ac:dyDescent="0.35">
      <c r="A387" s="7">
        <v>26</v>
      </c>
      <c r="B387" s="7" t="s">
        <v>590</v>
      </c>
      <c r="C387" s="7">
        <v>2021</v>
      </c>
      <c r="D387" s="7" t="s">
        <v>420</v>
      </c>
      <c r="E387" s="7" t="s">
        <v>591</v>
      </c>
      <c r="F387" s="7" t="s">
        <v>592</v>
      </c>
      <c r="G387" s="7" t="s">
        <v>54</v>
      </c>
      <c r="H387" s="7" t="s">
        <v>600</v>
      </c>
      <c r="I387" s="52">
        <v>48.760809999999999</v>
      </c>
      <c r="J387" s="52">
        <v>-123.63139</v>
      </c>
      <c r="K387" s="7" t="s">
        <v>103</v>
      </c>
      <c r="L387" s="7" t="s">
        <v>163</v>
      </c>
      <c r="M387" s="7" t="s">
        <v>594</v>
      </c>
      <c r="N387" s="7" t="s">
        <v>435</v>
      </c>
      <c r="O387" s="7" t="s">
        <v>31</v>
      </c>
      <c r="P387" s="7" t="s">
        <v>435</v>
      </c>
      <c r="Q387" s="7" t="s">
        <v>31</v>
      </c>
      <c r="R387" s="7" t="s">
        <v>601</v>
      </c>
    </row>
    <row r="388" spans="1:18" s="7" customFormat="1" x14ac:dyDescent="0.35">
      <c r="A388" s="7">
        <v>26</v>
      </c>
      <c r="B388" s="7" t="s">
        <v>590</v>
      </c>
      <c r="C388" s="7">
        <v>2021</v>
      </c>
      <c r="D388" s="7" t="s">
        <v>420</v>
      </c>
      <c r="E388" s="7" t="s">
        <v>591</v>
      </c>
      <c r="F388" s="7" t="s">
        <v>592</v>
      </c>
      <c r="G388" s="7" t="s">
        <v>54</v>
      </c>
      <c r="H388" s="7" t="s">
        <v>602</v>
      </c>
      <c r="I388" s="52">
        <v>48.758611000000002</v>
      </c>
      <c r="J388" s="52">
        <v>-123.626278</v>
      </c>
      <c r="K388" s="7" t="s">
        <v>103</v>
      </c>
      <c r="L388" s="7" t="s">
        <v>163</v>
      </c>
      <c r="M388" s="7" t="s">
        <v>594</v>
      </c>
      <c r="N388" s="7" t="s">
        <v>435</v>
      </c>
      <c r="O388" s="7" t="s">
        <v>31</v>
      </c>
      <c r="P388" s="7" t="s">
        <v>435</v>
      </c>
      <c r="Q388" s="7" t="s">
        <v>31</v>
      </c>
      <c r="R388" s="7" t="s">
        <v>603</v>
      </c>
    </row>
    <row r="389" spans="1:18" s="7" customFormat="1" x14ac:dyDescent="0.35">
      <c r="A389" s="7">
        <v>26</v>
      </c>
      <c r="B389" s="7" t="s">
        <v>590</v>
      </c>
      <c r="C389" s="7">
        <v>2021</v>
      </c>
      <c r="D389" s="7" t="s">
        <v>420</v>
      </c>
      <c r="E389" s="7" t="s">
        <v>591</v>
      </c>
      <c r="F389" s="7" t="s">
        <v>592</v>
      </c>
      <c r="G389" s="7" t="s">
        <v>54</v>
      </c>
      <c r="H389" s="7" t="s">
        <v>604</v>
      </c>
      <c r="I389" s="52">
        <v>48.757778000000002</v>
      </c>
      <c r="J389" s="52">
        <v>-123.62325</v>
      </c>
      <c r="K389" s="7" t="s">
        <v>103</v>
      </c>
      <c r="L389" s="7" t="s">
        <v>163</v>
      </c>
      <c r="M389" s="7" t="s">
        <v>594</v>
      </c>
      <c r="N389" s="7" t="s">
        <v>435</v>
      </c>
      <c r="O389" s="7" t="s">
        <v>31</v>
      </c>
      <c r="P389" s="7" t="s">
        <v>435</v>
      </c>
      <c r="Q389" s="7" t="s">
        <v>31</v>
      </c>
      <c r="R389" s="7" t="s">
        <v>605</v>
      </c>
    </row>
    <row r="390" spans="1:18" s="7" customFormat="1" x14ac:dyDescent="0.35">
      <c r="A390" s="7">
        <v>26</v>
      </c>
      <c r="B390" s="7" t="s">
        <v>590</v>
      </c>
      <c r="C390" s="7">
        <v>2021</v>
      </c>
      <c r="D390" s="7" t="s">
        <v>420</v>
      </c>
      <c r="E390" s="7" t="s">
        <v>591</v>
      </c>
      <c r="F390" s="7" t="s">
        <v>592</v>
      </c>
      <c r="G390" s="7" t="s">
        <v>54</v>
      </c>
      <c r="H390" s="7" t="s">
        <v>606</v>
      </c>
      <c r="I390" s="52">
        <v>48.758778</v>
      </c>
      <c r="J390" s="52">
        <v>-123.63336099999999</v>
      </c>
      <c r="K390" s="7" t="s">
        <v>103</v>
      </c>
      <c r="L390" s="7" t="s">
        <v>163</v>
      </c>
      <c r="M390" s="7" t="s">
        <v>594</v>
      </c>
      <c r="N390" s="7" t="s">
        <v>435</v>
      </c>
      <c r="O390" s="7" t="s">
        <v>31</v>
      </c>
      <c r="P390" s="7" t="s">
        <v>435</v>
      </c>
      <c r="Q390" s="7" t="s">
        <v>31</v>
      </c>
    </row>
    <row r="391" spans="1:18" s="7" customFormat="1" x14ac:dyDescent="0.35">
      <c r="A391" s="7">
        <v>26</v>
      </c>
      <c r="B391" s="7" t="s">
        <v>590</v>
      </c>
      <c r="C391" s="7">
        <v>2021</v>
      </c>
      <c r="D391" s="7" t="s">
        <v>420</v>
      </c>
      <c r="E391" s="7" t="s">
        <v>591</v>
      </c>
      <c r="F391" s="7" t="s">
        <v>592</v>
      </c>
      <c r="G391" s="7" t="s">
        <v>54</v>
      </c>
      <c r="H391" s="7" t="s">
        <v>607</v>
      </c>
      <c r="I391" s="52">
        <v>48.749889000000003</v>
      </c>
      <c r="J391" s="52">
        <v>-123.63336099999999</v>
      </c>
      <c r="K391" s="7" t="s">
        <v>103</v>
      </c>
      <c r="L391" s="7" t="s">
        <v>163</v>
      </c>
      <c r="M391" s="7" t="s">
        <v>594</v>
      </c>
      <c r="N391" s="7" t="s">
        <v>435</v>
      </c>
      <c r="O391" s="7" t="s">
        <v>31</v>
      </c>
      <c r="P391" s="7" t="s">
        <v>435</v>
      </c>
      <c r="Q391" s="7" t="s">
        <v>31</v>
      </c>
      <c r="R391" s="7" t="s">
        <v>608</v>
      </c>
    </row>
    <row r="392" spans="1:18" s="7" customFormat="1" x14ac:dyDescent="0.35">
      <c r="A392" s="7">
        <v>26</v>
      </c>
      <c r="B392" s="7" t="s">
        <v>590</v>
      </c>
      <c r="C392" s="7">
        <v>2021</v>
      </c>
      <c r="D392" s="7" t="s">
        <v>420</v>
      </c>
      <c r="E392" s="7" t="s">
        <v>591</v>
      </c>
      <c r="F392" s="7" t="s">
        <v>592</v>
      </c>
      <c r="G392" s="7" t="s">
        <v>54</v>
      </c>
      <c r="H392" s="7" t="s">
        <v>609</v>
      </c>
      <c r="I392" s="52">
        <v>48.755389000000001</v>
      </c>
      <c r="J392" s="52">
        <v>-123.626361</v>
      </c>
      <c r="K392" s="7" t="s">
        <v>103</v>
      </c>
      <c r="L392" s="7" t="s">
        <v>163</v>
      </c>
      <c r="M392" s="7" t="s">
        <v>594</v>
      </c>
      <c r="N392" s="7" t="s">
        <v>435</v>
      </c>
      <c r="O392" s="7" t="s">
        <v>31</v>
      </c>
      <c r="P392" s="7" t="s">
        <v>435</v>
      </c>
      <c r="Q392" s="7" t="s">
        <v>31</v>
      </c>
      <c r="R392" s="7" t="s">
        <v>610</v>
      </c>
    </row>
    <row r="393" spans="1:18" s="7" customFormat="1" x14ac:dyDescent="0.35">
      <c r="A393" s="7">
        <v>26</v>
      </c>
      <c r="B393" s="7" t="s">
        <v>590</v>
      </c>
      <c r="C393" s="7">
        <v>2021</v>
      </c>
      <c r="D393" s="7" t="s">
        <v>420</v>
      </c>
      <c r="E393" s="7" t="s">
        <v>591</v>
      </c>
      <c r="F393" s="7" t="s">
        <v>592</v>
      </c>
      <c r="G393" s="7" t="s">
        <v>54</v>
      </c>
      <c r="H393" s="7" t="s">
        <v>611</v>
      </c>
      <c r="I393" s="52">
        <v>48.752889000000003</v>
      </c>
      <c r="J393" s="52">
        <v>-123.633861</v>
      </c>
      <c r="K393" s="7" t="s">
        <v>103</v>
      </c>
      <c r="L393" s="7" t="s">
        <v>163</v>
      </c>
      <c r="M393" s="7" t="s">
        <v>594</v>
      </c>
      <c r="N393" s="7" t="s">
        <v>435</v>
      </c>
      <c r="O393" s="7" t="s">
        <v>31</v>
      </c>
      <c r="P393" s="7" t="s">
        <v>435</v>
      </c>
      <c r="Q393" s="7" t="s">
        <v>31</v>
      </c>
      <c r="R393" s="7" t="s">
        <v>612</v>
      </c>
    </row>
    <row r="394" spans="1:18" s="7" customFormat="1" x14ac:dyDescent="0.35">
      <c r="A394" s="7">
        <v>26</v>
      </c>
      <c r="B394" s="7" t="s">
        <v>590</v>
      </c>
      <c r="C394" s="7">
        <v>2021</v>
      </c>
      <c r="D394" s="7" t="s">
        <v>420</v>
      </c>
      <c r="E394" s="7" t="s">
        <v>591</v>
      </c>
      <c r="F394" s="7" t="s">
        <v>592</v>
      </c>
      <c r="G394" s="7" t="s">
        <v>54</v>
      </c>
      <c r="H394" s="7" t="s">
        <v>613</v>
      </c>
      <c r="I394" s="52">
        <v>48.751221999999999</v>
      </c>
      <c r="J394" s="52">
        <v>-123.626778</v>
      </c>
      <c r="K394" s="7" t="s">
        <v>103</v>
      </c>
      <c r="L394" s="7" t="s">
        <v>163</v>
      </c>
      <c r="M394" s="7" t="s">
        <v>594</v>
      </c>
      <c r="N394" s="7" t="s">
        <v>435</v>
      </c>
      <c r="O394" s="7" t="s">
        <v>31</v>
      </c>
      <c r="P394" s="7" t="s">
        <v>435</v>
      </c>
      <c r="Q394" s="7" t="s">
        <v>31</v>
      </c>
    </row>
    <row r="395" spans="1:18" s="7" customFormat="1" x14ac:dyDescent="0.35">
      <c r="A395" s="7">
        <v>26</v>
      </c>
      <c r="B395" s="7" t="s">
        <v>590</v>
      </c>
      <c r="C395" s="7">
        <v>2021</v>
      </c>
      <c r="D395" s="7" t="s">
        <v>420</v>
      </c>
      <c r="E395" s="7" t="s">
        <v>591</v>
      </c>
      <c r="F395" s="7" t="s">
        <v>592</v>
      </c>
      <c r="G395" s="7" t="s">
        <v>54</v>
      </c>
      <c r="H395" s="7" t="s">
        <v>614</v>
      </c>
      <c r="I395" s="52">
        <v>48.749861000000003</v>
      </c>
      <c r="J395" s="52">
        <v>-123.632306</v>
      </c>
      <c r="K395" s="7" t="s">
        <v>103</v>
      </c>
      <c r="L395" s="7" t="s">
        <v>163</v>
      </c>
      <c r="M395" s="7" t="s">
        <v>594</v>
      </c>
      <c r="N395" s="7" t="s">
        <v>435</v>
      </c>
      <c r="O395" s="7" t="s">
        <v>31</v>
      </c>
      <c r="P395" s="7" t="s">
        <v>435</v>
      </c>
      <c r="Q395" s="7" t="s">
        <v>31</v>
      </c>
    </row>
    <row r="396" spans="1:18" s="7" customFormat="1" x14ac:dyDescent="0.35">
      <c r="A396" s="7">
        <v>26</v>
      </c>
      <c r="B396" s="7" t="s">
        <v>590</v>
      </c>
      <c r="C396" s="7">
        <v>2021</v>
      </c>
      <c r="D396" s="7" t="s">
        <v>420</v>
      </c>
      <c r="E396" s="7" t="s">
        <v>591</v>
      </c>
      <c r="F396" s="7" t="s">
        <v>592</v>
      </c>
      <c r="G396" s="7" t="s">
        <v>54</v>
      </c>
      <c r="H396" s="7" t="s">
        <v>615</v>
      </c>
      <c r="I396" s="52">
        <v>48.746499999999997</v>
      </c>
      <c r="J396" s="52">
        <v>-123.64061100000001</v>
      </c>
      <c r="K396" s="7" t="s">
        <v>103</v>
      </c>
      <c r="L396" s="7" t="s">
        <v>163</v>
      </c>
      <c r="M396" s="7" t="s">
        <v>594</v>
      </c>
      <c r="N396" s="7" t="s">
        <v>435</v>
      </c>
      <c r="O396" s="7" t="s">
        <v>31</v>
      </c>
      <c r="P396" s="7" t="s">
        <v>435</v>
      </c>
      <c r="Q396" s="7" t="s">
        <v>31</v>
      </c>
    </row>
    <row r="397" spans="1:18" s="7" customFormat="1" x14ac:dyDescent="0.35">
      <c r="A397" s="7">
        <v>26</v>
      </c>
      <c r="B397" s="7" t="s">
        <v>590</v>
      </c>
      <c r="C397" s="7">
        <v>2021</v>
      </c>
      <c r="D397" s="7" t="s">
        <v>420</v>
      </c>
      <c r="E397" s="7" t="s">
        <v>591</v>
      </c>
      <c r="F397" s="7" t="s">
        <v>592</v>
      </c>
      <c r="G397" s="7" t="s">
        <v>54</v>
      </c>
      <c r="H397" s="7" t="s">
        <v>616</v>
      </c>
      <c r="I397" s="52">
        <v>48.744444000000001</v>
      </c>
      <c r="J397" s="52">
        <v>-123.634722</v>
      </c>
      <c r="K397" s="7" t="s">
        <v>103</v>
      </c>
      <c r="L397" s="7" t="s">
        <v>163</v>
      </c>
      <c r="M397" s="7" t="s">
        <v>594</v>
      </c>
      <c r="N397" s="7" t="s">
        <v>435</v>
      </c>
      <c r="O397" s="7" t="s">
        <v>31</v>
      </c>
      <c r="P397" s="7" t="s">
        <v>435</v>
      </c>
      <c r="Q397" s="7" t="s">
        <v>31</v>
      </c>
    </row>
    <row r="398" spans="1:18" s="7" customFormat="1" x14ac:dyDescent="0.35">
      <c r="A398" s="7">
        <v>26</v>
      </c>
      <c r="B398" s="7" t="s">
        <v>590</v>
      </c>
      <c r="C398" s="7">
        <v>2021</v>
      </c>
      <c r="D398" s="7" t="s">
        <v>420</v>
      </c>
      <c r="E398" s="7" t="s">
        <v>591</v>
      </c>
      <c r="F398" s="7" t="s">
        <v>592</v>
      </c>
      <c r="G398" s="7" t="s">
        <v>54</v>
      </c>
      <c r="H398" s="7" t="s">
        <v>617</v>
      </c>
      <c r="I398" s="52">
        <v>48.743250000000003</v>
      </c>
      <c r="J398" s="52">
        <v>-123.625861</v>
      </c>
      <c r="K398" s="7" t="s">
        <v>103</v>
      </c>
      <c r="L398" s="7" t="s">
        <v>163</v>
      </c>
      <c r="M398" s="7" t="s">
        <v>594</v>
      </c>
      <c r="N398" s="7" t="s">
        <v>435</v>
      </c>
      <c r="O398" s="7" t="s">
        <v>31</v>
      </c>
      <c r="P398" s="7" t="s">
        <v>435</v>
      </c>
      <c r="Q398" s="7" t="s">
        <v>31</v>
      </c>
    </row>
    <row r="399" spans="1:18" s="7" customFormat="1" x14ac:dyDescent="0.35">
      <c r="A399" s="7">
        <v>28</v>
      </c>
      <c r="B399" s="4" t="s">
        <v>618</v>
      </c>
      <c r="C399" s="4">
        <v>2021</v>
      </c>
      <c r="D399" s="4" t="s">
        <v>619</v>
      </c>
      <c r="E399" s="8" t="s">
        <v>620</v>
      </c>
      <c r="F399" s="3" t="s">
        <v>621</v>
      </c>
      <c r="G399" s="3" t="s">
        <v>86</v>
      </c>
      <c r="H399" s="7" t="s">
        <v>622</v>
      </c>
      <c r="I399" s="7">
        <v>44.364434000000003</v>
      </c>
      <c r="J399" s="7">
        <v>-79.387765999999999</v>
      </c>
      <c r="K399" s="7" t="s">
        <v>41</v>
      </c>
      <c r="L399" s="7" t="s">
        <v>28</v>
      </c>
      <c r="M399" s="7" t="s">
        <v>623</v>
      </c>
      <c r="N399" s="7" t="s">
        <v>532</v>
      </c>
      <c r="O399" s="7" t="s">
        <v>31</v>
      </c>
      <c r="P399" s="7" t="s">
        <v>532</v>
      </c>
      <c r="Q399" s="7" t="s">
        <v>31</v>
      </c>
      <c r="R399" s="7">
        <v>2018</v>
      </c>
    </row>
    <row r="400" spans="1:18" s="7" customFormat="1" x14ac:dyDescent="0.35">
      <c r="A400" s="7">
        <v>28</v>
      </c>
      <c r="B400" s="4" t="s">
        <v>618</v>
      </c>
      <c r="C400" s="4">
        <v>2021</v>
      </c>
      <c r="D400" s="4" t="s">
        <v>619</v>
      </c>
      <c r="E400" s="8" t="s">
        <v>620</v>
      </c>
      <c r="F400" s="3" t="s">
        <v>621</v>
      </c>
      <c r="G400" s="3" t="s">
        <v>86</v>
      </c>
      <c r="H400" s="7" t="s">
        <v>625</v>
      </c>
      <c r="I400" s="7">
        <v>44.408538</v>
      </c>
      <c r="J400" s="7">
        <v>-79.237879000000007</v>
      </c>
      <c r="K400" s="7" t="s">
        <v>41</v>
      </c>
      <c r="L400" s="7" t="s">
        <v>28</v>
      </c>
      <c r="M400" s="7" t="s">
        <v>623</v>
      </c>
      <c r="N400" s="7" t="s">
        <v>532</v>
      </c>
      <c r="O400" s="7" t="s">
        <v>31</v>
      </c>
      <c r="P400" s="7" t="s">
        <v>532</v>
      </c>
      <c r="Q400" s="7" t="s">
        <v>31</v>
      </c>
      <c r="R400" s="7">
        <v>2018</v>
      </c>
    </row>
    <row r="401" spans="1:18" s="7" customFormat="1" x14ac:dyDescent="0.35">
      <c r="A401" s="7">
        <v>28</v>
      </c>
      <c r="B401" s="4" t="s">
        <v>618</v>
      </c>
      <c r="C401" s="4">
        <v>2021</v>
      </c>
      <c r="D401" s="4" t="s">
        <v>619</v>
      </c>
      <c r="E401" s="8" t="s">
        <v>620</v>
      </c>
      <c r="F401" s="3" t="s">
        <v>621</v>
      </c>
      <c r="G401" s="3" t="s">
        <v>86</v>
      </c>
      <c r="H401" s="7" t="s">
        <v>626</v>
      </c>
      <c r="I401" s="7">
        <v>44.163209999999999</v>
      </c>
      <c r="J401" s="7">
        <v>-79.515874999999994</v>
      </c>
      <c r="K401" s="7" t="s">
        <v>41</v>
      </c>
      <c r="L401" s="7" t="s">
        <v>28</v>
      </c>
      <c r="M401" s="7" t="s">
        <v>623</v>
      </c>
      <c r="N401" s="7" t="s">
        <v>532</v>
      </c>
      <c r="O401" s="7" t="s">
        <v>31</v>
      </c>
      <c r="P401" s="7" t="s">
        <v>532</v>
      </c>
      <c r="Q401" s="7" t="s">
        <v>31</v>
      </c>
      <c r="R401" s="7">
        <v>2018</v>
      </c>
    </row>
    <row r="402" spans="1:18" s="7" customFormat="1" x14ac:dyDescent="0.35">
      <c r="A402" s="7">
        <v>28</v>
      </c>
      <c r="B402" s="4" t="s">
        <v>618</v>
      </c>
      <c r="C402" s="4">
        <v>2021</v>
      </c>
      <c r="D402" s="4" t="s">
        <v>619</v>
      </c>
      <c r="E402" s="8" t="s">
        <v>620</v>
      </c>
      <c r="F402" s="3" t="s">
        <v>621</v>
      </c>
      <c r="G402" s="3" t="s">
        <v>86</v>
      </c>
      <c r="H402" s="7" t="s">
        <v>627</v>
      </c>
      <c r="I402" s="7">
        <v>44.163691999999998</v>
      </c>
      <c r="J402" s="7">
        <v>-79.518364000000005</v>
      </c>
      <c r="K402" s="7" t="s">
        <v>41</v>
      </c>
      <c r="L402" s="7" t="s">
        <v>28</v>
      </c>
      <c r="M402" s="7" t="s">
        <v>623</v>
      </c>
      <c r="N402" s="7" t="s">
        <v>532</v>
      </c>
      <c r="O402" s="7" t="s">
        <v>31</v>
      </c>
      <c r="P402" s="7" t="s">
        <v>532</v>
      </c>
      <c r="Q402" s="7" t="s">
        <v>31</v>
      </c>
      <c r="R402" s="7">
        <v>2018</v>
      </c>
    </row>
    <row r="403" spans="1:18" s="7" customFormat="1" x14ac:dyDescent="0.35">
      <c r="A403" s="7">
        <v>28</v>
      </c>
      <c r="B403" s="4" t="s">
        <v>618</v>
      </c>
      <c r="C403" s="4">
        <v>2021</v>
      </c>
      <c r="D403" s="4" t="s">
        <v>619</v>
      </c>
      <c r="E403" s="8" t="s">
        <v>620</v>
      </c>
      <c r="F403" s="3" t="s">
        <v>621</v>
      </c>
      <c r="G403" s="3" t="s">
        <v>86</v>
      </c>
      <c r="H403" s="7" t="s">
        <v>628</v>
      </c>
      <c r="I403" s="7">
        <v>44.243048999999999</v>
      </c>
      <c r="J403" s="7">
        <v>-79.511942000000005</v>
      </c>
      <c r="K403" s="7" t="s">
        <v>41</v>
      </c>
      <c r="L403" s="7" t="s">
        <v>28</v>
      </c>
      <c r="M403" s="7" t="s">
        <v>623</v>
      </c>
      <c r="N403" s="7" t="s">
        <v>532</v>
      </c>
      <c r="O403" s="7" t="s">
        <v>31</v>
      </c>
      <c r="P403" s="7" t="s">
        <v>532</v>
      </c>
      <c r="Q403" s="7" t="s">
        <v>31</v>
      </c>
      <c r="R403" s="7">
        <v>2018</v>
      </c>
    </row>
    <row r="404" spans="1:18" s="7" customFormat="1" x14ac:dyDescent="0.35">
      <c r="A404" s="7">
        <v>28</v>
      </c>
      <c r="B404" s="4" t="s">
        <v>618</v>
      </c>
      <c r="C404" s="4">
        <v>2021</v>
      </c>
      <c r="D404" s="4" t="s">
        <v>619</v>
      </c>
      <c r="E404" s="8" t="s">
        <v>620</v>
      </c>
      <c r="F404" s="3" t="s">
        <v>621</v>
      </c>
      <c r="G404" s="3" t="s">
        <v>86</v>
      </c>
      <c r="H404" s="7" t="s">
        <v>629</v>
      </c>
      <c r="I404" s="7">
        <v>44.442886999999999</v>
      </c>
      <c r="J404" s="7">
        <v>-79.444434000000001</v>
      </c>
      <c r="K404" s="7" t="s">
        <v>41</v>
      </c>
      <c r="L404" s="7" t="s">
        <v>28</v>
      </c>
      <c r="M404" s="7" t="s">
        <v>623</v>
      </c>
      <c r="N404" s="7" t="s">
        <v>532</v>
      </c>
      <c r="O404" s="7" t="s">
        <v>31</v>
      </c>
      <c r="P404" s="7" t="s">
        <v>532</v>
      </c>
      <c r="Q404" s="7" t="s">
        <v>31</v>
      </c>
      <c r="R404" s="7">
        <v>2018</v>
      </c>
    </row>
    <row r="405" spans="1:18" s="7" customFormat="1" x14ac:dyDescent="0.35">
      <c r="A405" s="7">
        <v>28</v>
      </c>
      <c r="B405" s="4" t="s">
        <v>618</v>
      </c>
      <c r="C405" s="4">
        <v>2021</v>
      </c>
      <c r="D405" s="4" t="s">
        <v>619</v>
      </c>
      <c r="E405" s="8" t="s">
        <v>620</v>
      </c>
      <c r="F405" s="3" t="s">
        <v>621</v>
      </c>
      <c r="G405" s="3" t="s">
        <v>86</v>
      </c>
      <c r="H405" s="7" t="s">
        <v>630</v>
      </c>
      <c r="I405" s="7">
        <v>44.382586000000003</v>
      </c>
      <c r="J405" s="7">
        <v>-79.654134999999997</v>
      </c>
      <c r="K405" s="7" t="s">
        <v>41</v>
      </c>
      <c r="L405" s="7" t="s">
        <v>28</v>
      </c>
      <c r="M405" s="7" t="s">
        <v>623</v>
      </c>
      <c r="N405" s="7" t="s">
        <v>532</v>
      </c>
      <c r="O405" s="7" t="s">
        <v>31</v>
      </c>
      <c r="P405" s="7" t="s">
        <v>532</v>
      </c>
      <c r="Q405" s="7" t="s">
        <v>31</v>
      </c>
      <c r="R405" s="7">
        <v>2018</v>
      </c>
    </row>
    <row r="406" spans="1:18" s="7" customFormat="1" x14ac:dyDescent="0.35">
      <c r="A406" s="7">
        <v>28</v>
      </c>
      <c r="B406" s="4" t="s">
        <v>618</v>
      </c>
      <c r="C406" s="4">
        <v>2021</v>
      </c>
      <c r="D406" s="4" t="s">
        <v>619</v>
      </c>
      <c r="E406" s="8" t="s">
        <v>620</v>
      </c>
      <c r="F406" s="3" t="s">
        <v>621</v>
      </c>
      <c r="G406" s="3" t="s">
        <v>86</v>
      </c>
      <c r="H406" s="7" t="s">
        <v>631</v>
      </c>
      <c r="I406" s="7">
        <v>44.577945</v>
      </c>
      <c r="J406" s="7">
        <v>-79.401259999999994</v>
      </c>
      <c r="K406" s="7" t="s">
        <v>41</v>
      </c>
      <c r="L406" s="7" t="s">
        <v>28</v>
      </c>
      <c r="M406" s="7" t="s">
        <v>623</v>
      </c>
      <c r="N406" s="7" t="s">
        <v>532</v>
      </c>
      <c r="O406" s="7" t="s">
        <v>31</v>
      </c>
      <c r="P406" s="7" t="s">
        <v>532</v>
      </c>
      <c r="Q406" s="7" t="s">
        <v>31</v>
      </c>
      <c r="R406" s="7">
        <v>2018</v>
      </c>
    </row>
    <row r="407" spans="1:18" s="7" customFormat="1" x14ac:dyDescent="0.35">
      <c r="A407" s="7">
        <v>28</v>
      </c>
      <c r="B407" s="4" t="s">
        <v>618</v>
      </c>
      <c r="C407" s="4">
        <v>2021</v>
      </c>
      <c r="D407" s="4" t="s">
        <v>619</v>
      </c>
      <c r="E407" s="8" t="s">
        <v>620</v>
      </c>
      <c r="F407" s="3" t="s">
        <v>621</v>
      </c>
      <c r="G407" s="3" t="s">
        <v>86</v>
      </c>
      <c r="H407" s="7" t="s">
        <v>622</v>
      </c>
      <c r="I407" s="7">
        <v>44.364434000000003</v>
      </c>
      <c r="J407" s="7">
        <v>-79.387765999999999</v>
      </c>
      <c r="K407" s="7" t="s">
        <v>103</v>
      </c>
      <c r="L407" s="7" t="s">
        <v>28</v>
      </c>
      <c r="M407" s="7" t="s">
        <v>632</v>
      </c>
      <c r="N407" s="7" t="s">
        <v>633</v>
      </c>
      <c r="O407" s="7" t="s">
        <v>31</v>
      </c>
      <c r="P407" s="7" t="s">
        <v>633</v>
      </c>
      <c r="Q407" s="7" t="s">
        <v>31</v>
      </c>
      <c r="R407" s="7">
        <v>2018</v>
      </c>
    </row>
    <row r="408" spans="1:18" s="7" customFormat="1" x14ac:dyDescent="0.35">
      <c r="A408" s="7">
        <v>28</v>
      </c>
      <c r="B408" s="4" t="s">
        <v>618</v>
      </c>
      <c r="C408" s="4">
        <v>2021</v>
      </c>
      <c r="D408" s="4" t="s">
        <v>619</v>
      </c>
      <c r="E408" s="8" t="s">
        <v>620</v>
      </c>
      <c r="F408" s="3" t="s">
        <v>621</v>
      </c>
      <c r="G408" s="3" t="s">
        <v>86</v>
      </c>
      <c r="H408" s="7" t="s">
        <v>625</v>
      </c>
      <c r="I408" s="7">
        <v>44.408538</v>
      </c>
      <c r="J408" s="7">
        <v>-79.237879000000007</v>
      </c>
      <c r="K408" s="7" t="s">
        <v>103</v>
      </c>
      <c r="L408" s="7" t="s">
        <v>28</v>
      </c>
      <c r="M408" s="7" t="s">
        <v>632</v>
      </c>
      <c r="N408" s="7" t="s">
        <v>633</v>
      </c>
      <c r="O408" s="7" t="s">
        <v>31</v>
      </c>
      <c r="P408" s="7" t="s">
        <v>633</v>
      </c>
      <c r="Q408" s="7" t="s">
        <v>31</v>
      </c>
      <c r="R408" s="7">
        <v>2018</v>
      </c>
    </row>
    <row r="409" spans="1:18" s="7" customFormat="1" x14ac:dyDescent="0.35">
      <c r="A409" s="7">
        <v>28</v>
      </c>
      <c r="B409" s="4" t="s">
        <v>618</v>
      </c>
      <c r="C409" s="4">
        <v>2021</v>
      </c>
      <c r="D409" s="4" t="s">
        <v>619</v>
      </c>
      <c r="E409" s="8" t="s">
        <v>620</v>
      </c>
      <c r="F409" s="3" t="s">
        <v>621</v>
      </c>
      <c r="G409" s="3" t="s">
        <v>86</v>
      </c>
      <c r="H409" s="7" t="s">
        <v>626</v>
      </c>
      <c r="I409" s="7">
        <v>44.163209999999999</v>
      </c>
      <c r="J409" s="7">
        <v>-79.515874999999994</v>
      </c>
      <c r="K409" s="7" t="s">
        <v>103</v>
      </c>
      <c r="L409" s="7" t="s">
        <v>28</v>
      </c>
      <c r="M409" s="7" t="s">
        <v>632</v>
      </c>
      <c r="N409" s="7" t="s">
        <v>633</v>
      </c>
      <c r="O409" s="7" t="s">
        <v>31</v>
      </c>
      <c r="P409" s="7" t="s">
        <v>633</v>
      </c>
      <c r="Q409" s="7" t="s">
        <v>31</v>
      </c>
      <c r="R409" s="7">
        <v>2018</v>
      </c>
    </row>
    <row r="410" spans="1:18" s="7" customFormat="1" x14ac:dyDescent="0.35">
      <c r="A410" s="7">
        <v>28</v>
      </c>
      <c r="B410" s="4" t="s">
        <v>618</v>
      </c>
      <c r="C410" s="4">
        <v>2021</v>
      </c>
      <c r="D410" s="4" t="s">
        <v>619</v>
      </c>
      <c r="E410" s="8" t="s">
        <v>620</v>
      </c>
      <c r="F410" s="3" t="s">
        <v>621</v>
      </c>
      <c r="G410" s="3" t="s">
        <v>86</v>
      </c>
      <c r="H410" s="7" t="s">
        <v>627</v>
      </c>
      <c r="I410" s="7">
        <v>44.163691999999998</v>
      </c>
      <c r="J410" s="7">
        <v>-79.518364000000005</v>
      </c>
      <c r="K410" s="7" t="s">
        <v>103</v>
      </c>
      <c r="L410" s="7" t="s">
        <v>28</v>
      </c>
      <c r="M410" s="7" t="s">
        <v>632</v>
      </c>
      <c r="N410" s="7" t="s">
        <v>633</v>
      </c>
      <c r="O410" s="7" t="s">
        <v>31</v>
      </c>
      <c r="P410" s="7" t="s">
        <v>633</v>
      </c>
      <c r="Q410" s="7" t="s">
        <v>31</v>
      </c>
      <c r="R410" s="7">
        <v>2018</v>
      </c>
    </row>
    <row r="411" spans="1:18" s="7" customFormat="1" x14ac:dyDescent="0.35">
      <c r="A411" s="7">
        <v>28</v>
      </c>
      <c r="B411" s="4" t="s">
        <v>618</v>
      </c>
      <c r="C411" s="4">
        <v>2021</v>
      </c>
      <c r="D411" s="4" t="s">
        <v>619</v>
      </c>
      <c r="E411" s="8" t="s">
        <v>620</v>
      </c>
      <c r="F411" s="3" t="s">
        <v>621</v>
      </c>
      <c r="G411" s="3" t="s">
        <v>86</v>
      </c>
      <c r="H411" s="7" t="s">
        <v>628</v>
      </c>
      <c r="I411" s="7">
        <v>44.243048999999999</v>
      </c>
      <c r="J411" s="7">
        <v>-79.511942000000005</v>
      </c>
      <c r="K411" s="7" t="s">
        <v>103</v>
      </c>
      <c r="L411" s="7" t="s">
        <v>28</v>
      </c>
      <c r="M411" s="7" t="s">
        <v>632</v>
      </c>
      <c r="N411" s="7" t="s">
        <v>633</v>
      </c>
      <c r="O411" s="7" t="s">
        <v>31</v>
      </c>
      <c r="P411" s="7" t="s">
        <v>633</v>
      </c>
      <c r="Q411" s="7" t="s">
        <v>31</v>
      </c>
      <c r="R411" s="7">
        <v>2018</v>
      </c>
    </row>
    <row r="412" spans="1:18" s="7" customFormat="1" x14ac:dyDescent="0.35">
      <c r="A412" s="7">
        <v>28</v>
      </c>
      <c r="B412" s="4" t="s">
        <v>618</v>
      </c>
      <c r="C412" s="4">
        <v>2021</v>
      </c>
      <c r="D412" s="4" t="s">
        <v>619</v>
      </c>
      <c r="E412" s="8" t="s">
        <v>620</v>
      </c>
      <c r="F412" s="3" t="s">
        <v>621</v>
      </c>
      <c r="G412" s="3" t="s">
        <v>86</v>
      </c>
      <c r="H412" s="7" t="s">
        <v>629</v>
      </c>
      <c r="I412" s="7">
        <v>44.442886999999999</v>
      </c>
      <c r="J412" s="7">
        <v>-79.444434000000001</v>
      </c>
      <c r="K412" s="7" t="s">
        <v>103</v>
      </c>
      <c r="L412" s="7" t="s">
        <v>28</v>
      </c>
      <c r="M412" s="7" t="s">
        <v>632</v>
      </c>
      <c r="N412" s="7" t="s">
        <v>633</v>
      </c>
      <c r="O412" s="7" t="s">
        <v>31</v>
      </c>
      <c r="P412" s="7" t="s">
        <v>633</v>
      </c>
      <c r="Q412" s="7" t="s">
        <v>31</v>
      </c>
      <c r="R412" s="7">
        <v>2018</v>
      </c>
    </row>
    <row r="413" spans="1:18" s="7" customFormat="1" x14ac:dyDescent="0.35">
      <c r="A413" s="7">
        <v>28</v>
      </c>
      <c r="B413" s="4" t="s">
        <v>618</v>
      </c>
      <c r="C413" s="4">
        <v>2021</v>
      </c>
      <c r="D413" s="4" t="s">
        <v>619</v>
      </c>
      <c r="E413" s="8" t="s">
        <v>620</v>
      </c>
      <c r="F413" s="3" t="s">
        <v>621</v>
      </c>
      <c r="G413" s="3" t="s">
        <v>86</v>
      </c>
      <c r="H413" s="7" t="s">
        <v>630</v>
      </c>
      <c r="I413" s="7">
        <v>44.382586000000003</v>
      </c>
      <c r="J413" s="7">
        <v>-79.654134999999997</v>
      </c>
      <c r="K413" s="7" t="s">
        <v>103</v>
      </c>
      <c r="L413" s="7" t="s">
        <v>28</v>
      </c>
      <c r="M413" s="7" t="s">
        <v>632</v>
      </c>
      <c r="N413" s="7" t="s">
        <v>633</v>
      </c>
      <c r="O413" s="7" t="s">
        <v>31</v>
      </c>
      <c r="P413" s="7" t="s">
        <v>633</v>
      </c>
      <c r="Q413" s="7" t="s">
        <v>31</v>
      </c>
      <c r="R413" s="7">
        <v>2018</v>
      </c>
    </row>
    <row r="414" spans="1:18" s="7" customFormat="1" x14ac:dyDescent="0.35">
      <c r="A414" s="7">
        <v>28</v>
      </c>
      <c r="B414" s="4" t="s">
        <v>618</v>
      </c>
      <c r="C414" s="4">
        <v>2021</v>
      </c>
      <c r="D414" s="4" t="s">
        <v>619</v>
      </c>
      <c r="E414" s="8" t="s">
        <v>620</v>
      </c>
      <c r="F414" s="3" t="s">
        <v>621</v>
      </c>
      <c r="G414" s="3" t="s">
        <v>86</v>
      </c>
      <c r="H414" s="7" t="s">
        <v>631</v>
      </c>
      <c r="I414" s="7">
        <v>44.577945</v>
      </c>
      <c r="J414" s="7">
        <v>-79.401259999999994</v>
      </c>
      <c r="K414" s="7" t="s">
        <v>103</v>
      </c>
      <c r="L414" s="7" t="s">
        <v>28</v>
      </c>
      <c r="M414" s="7" t="s">
        <v>632</v>
      </c>
      <c r="N414" s="7" t="s">
        <v>633</v>
      </c>
      <c r="O414" s="7" t="s">
        <v>31</v>
      </c>
      <c r="P414" s="7" t="s">
        <v>633</v>
      </c>
      <c r="Q414" s="7" t="s">
        <v>31</v>
      </c>
      <c r="R414" s="7">
        <v>2018</v>
      </c>
    </row>
    <row r="415" spans="1:18" s="7" customFormat="1" x14ac:dyDescent="0.35">
      <c r="A415" s="7">
        <v>28</v>
      </c>
      <c r="B415" s="4" t="s">
        <v>618</v>
      </c>
      <c r="C415" s="4">
        <v>2021</v>
      </c>
      <c r="D415" s="4" t="s">
        <v>619</v>
      </c>
      <c r="E415" s="8" t="s">
        <v>620</v>
      </c>
      <c r="F415" s="3" t="s">
        <v>621</v>
      </c>
      <c r="G415" s="3" t="s">
        <v>86</v>
      </c>
      <c r="H415" s="7" t="s">
        <v>622</v>
      </c>
      <c r="I415" s="7">
        <v>44.364434000000003</v>
      </c>
      <c r="J415" s="7">
        <v>-79.387765999999999</v>
      </c>
      <c r="K415" s="7" t="s">
        <v>41</v>
      </c>
      <c r="L415" s="7" t="s">
        <v>28</v>
      </c>
      <c r="M415" s="7" t="s">
        <v>635</v>
      </c>
      <c r="N415" s="7" t="s">
        <v>474</v>
      </c>
      <c r="O415" s="7" t="s">
        <v>31</v>
      </c>
      <c r="P415" s="7" t="s">
        <v>474</v>
      </c>
      <c r="Q415" s="7" t="s">
        <v>31</v>
      </c>
      <c r="R415" s="7" t="s">
        <v>637</v>
      </c>
    </row>
    <row r="416" spans="1:18" s="7" customFormat="1" x14ac:dyDescent="0.35">
      <c r="A416" s="7">
        <v>28</v>
      </c>
      <c r="B416" s="4" t="s">
        <v>618</v>
      </c>
      <c r="C416" s="4">
        <v>2021</v>
      </c>
      <c r="D416" s="4" t="s">
        <v>619</v>
      </c>
      <c r="E416" s="8" t="s">
        <v>620</v>
      </c>
      <c r="F416" s="3" t="s">
        <v>621</v>
      </c>
      <c r="G416" s="3" t="s">
        <v>86</v>
      </c>
      <c r="H416" s="7" t="s">
        <v>625</v>
      </c>
      <c r="I416" s="7">
        <v>44.408538</v>
      </c>
      <c r="J416" s="7">
        <v>-79.237879000000007</v>
      </c>
      <c r="K416" s="7" t="s">
        <v>41</v>
      </c>
      <c r="L416" s="7" t="s">
        <v>28</v>
      </c>
      <c r="M416" s="7" t="s">
        <v>635</v>
      </c>
      <c r="N416" s="7" t="s">
        <v>474</v>
      </c>
      <c r="O416" s="7" t="s">
        <v>31</v>
      </c>
      <c r="P416" s="7" t="s">
        <v>474</v>
      </c>
      <c r="Q416" s="7" t="s">
        <v>31</v>
      </c>
      <c r="R416" s="7" t="s">
        <v>637</v>
      </c>
    </row>
    <row r="417" spans="1:18" s="7" customFormat="1" x14ac:dyDescent="0.35">
      <c r="A417" s="7">
        <v>28</v>
      </c>
      <c r="B417" s="4" t="s">
        <v>618</v>
      </c>
      <c r="C417" s="4">
        <v>2021</v>
      </c>
      <c r="D417" s="4" t="s">
        <v>619</v>
      </c>
      <c r="E417" s="8" t="s">
        <v>620</v>
      </c>
      <c r="F417" s="3" t="s">
        <v>621</v>
      </c>
      <c r="G417" s="3" t="s">
        <v>86</v>
      </c>
      <c r="H417" s="7" t="s">
        <v>626</v>
      </c>
      <c r="I417" s="7">
        <v>44.163209999999999</v>
      </c>
      <c r="J417" s="7">
        <v>-79.515874999999994</v>
      </c>
      <c r="K417" s="7" t="s">
        <v>41</v>
      </c>
      <c r="L417" s="7" t="s">
        <v>28</v>
      </c>
      <c r="M417" s="7" t="s">
        <v>635</v>
      </c>
      <c r="N417" s="7" t="s">
        <v>474</v>
      </c>
      <c r="O417" s="7" t="s">
        <v>31</v>
      </c>
      <c r="P417" s="7" t="s">
        <v>474</v>
      </c>
      <c r="Q417" s="7" t="s">
        <v>31</v>
      </c>
      <c r="R417" s="7" t="s">
        <v>637</v>
      </c>
    </row>
    <row r="418" spans="1:18" s="7" customFormat="1" x14ac:dyDescent="0.35">
      <c r="A418" s="7">
        <v>28</v>
      </c>
      <c r="B418" s="4" t="s">
        <v>618</v>
      </c>
      <c r="C418" s="4">
        <v>2021</v>
      </c>
      <c r="D418" s="4" t="s">
        <v>619</v>
      </c>
      <c r="E418" s="8" t="s">
        <v>620</v>
      </c>
      <c r="F418" s="3" t="s">
        <v>621</v>
      </c>
      <c r="G418" s="3" t="s">
        <v>86</v>
      </c>
      <c r="H418" s="7" t="s">
        <v>627</v>
      </c>
      <c r="I418" s="7">
        <v>44.163691999999998</v>
      </c>
      <c r="J418" s="7">
        <v>-79.518364000000005</v>
      </c>
      <c r="K418" s="7" t="s">
        <v>41</v>
      </c>
      <c r="L418" s="7" t="s">
        <v>28</v>
      </c>
      <c r="M418" s="7" t="s">
        <v>635</v>
      </c>
      <c r="N418" s="7" t="s">
        <v>474</v>
      </c>
      <c r="O418" s="7" t="s">
        <v>31</v>
      </c>
      <c r="P418" s="7" t="s">
        <v>474</v>
      </c>
      <c r="Q418" s="7" t="s">
        <v>31</v>
      </c>
      <c r="R418" s="7" t="s">
        <v>637</v>
      </c>
    </row>
    <row r="419" spans="1:18" s="7" customFormat="1" x14ac:dyDescent="0.35">
      <c r="A419" s="7">
        <v>28</v>
      </c>
      <c r="B419" s="4" t="s">
        <v>618</v>
      </c>
      <c r="C419" s="4">
        <v>2021</v>
      </c>
      <c r="D419" s="4" t="s">
        <v>619</v>
      </c>
      <c r="E419" s="8" t="s">
        <v>620</v>
      </c>
      <c r="F419" s="3" t="s">
        <v>621</v>
      </c>
      <c r="G419" s="3" t="s">
        <v>86</v>
      </c>
      <c r="H419" s="7" t="s">
        <v>628</v>
      </c>
      <c r="I419" s="7">
        <v>44.243048999999999</v>
      </c>
      <c r="J419" s="7">
        <v>-79.511942000000005</v>
      </c>
      <c r="K419" s="7" t="s">
        <v>41</v>
      </c>
      <c r="L419" s="7" t="s">
        <v>28</v>
      </c>
      <c r="M419" s="7" t="s">
        <v>635</v>
      </c>
      <c r="N419" s="7" t="s">
        <v>474</v>
      </c>
      <c r="O419" s="7" t="s">
        <v>31</v>
      </c>
      <c r="P419" s="7" t="s">
        <v>474</v>
      </c>
      <c r="Q419" s="7" t="s">
        <v>31</v>
      </c>
      <c r="R419" s="7" t="s">
        <v>637</v>
      </c>
    </row>
    <row r="420" spans="1:18" s="7" customFormat="1" x14ac:dyDescent="0.35">
      <c r="A420" s="7">
        <v>28</v>
      </c>
      <c r="B420" s="4" t="s">
        <v>618</v>
      </c>
      <c r="C420" s="4">
        <v>2021</v>
      </c>
      <c r="D420" s="4" t="s">
        <v>619</v>
      </c>
      <c r="E420" s="8" t="s">
        <v>620</v>
      </c>
      <c r="F420" s="3" t="s">
        <v>621</v>
      </c>
      <c r="G420" s="3" t="s">
        <v>86</v>
      </c>
      <c r="H420" s="7" t="s">
        <v>629</v>
      </c>
      <c r="I420" s="7">
        <v>44.442886999999999</v>
      </c>
      <c r="J420" s="7">
        <v>-79.444434000000001</v>
      </c>
      <c r="K420" s="7" t="s">
        <v>41</v>
      </c>
      <c r="L420" s="7" t="s">
        <v>28</v>
      </c>
      <c r="M420" s="7" t="s">
        <v>635</v>
      </c>
      <c r="N420" s="7" t="s">
        <v>474</v>
      </c>
      <c r="O420" s="7" t="s">
        <v>31</v>
      </c>
      <c r="P420" s="7" t="s">
        <v>474</v>
      </c>
      <c r="Q420" s="7" t="s">
        <v>31</v>
      </c>
      <c r="R420" s="7" t="s">
        <v>637</v>
      </c>
    </row>
    <row r="421" spans="1:18" s="7" customFormat="1" x14ac:dyDescent="0.35">
      <c r="A421" s="7">
        <v>28</v>
      </c>
      <c r="B421" s="4" t="s">
        <v>618</v>
      </c>
      <c r="C421" s="4">
        <v>2021</v>
      </c>
      <c r="D421" s="4" t="s">
        <v>619</v>
      </c>
      <c r="E421" s="8" t="s">
        <v>620</v>
      </c>
      <c r="F421" s="3" t="s">
        <v>621</v>
      </c>
      <c r="G421" s="3" t="s">
        <v>86</v>
      </c>
      <c r="H421" s="7" t="s">
        <v>630</v>
      </c>
      <c r="I421" s="7">
        <v>44.382586000000003</v>
      </c>
      <c r="J421" s="7">
        <v>-79.654134999999997</v>
      </c>
      <c r="K421" s="7" t="s">
        <v>41</v>
      </c>
      <c r="L421" s="7" t="s">
        <v>28</v>
      </c>
      <c r="M421" s="7" t="s">
        <v>635</v>
      </c>
      <c r="N421" s="7" t="s">
        <v>474</v>
      </c>
      <c r="O421" s="7" t="s">
        <v>31</v>
      </c>
      <c r="P421" s="7" t="s">
        <v>474</v>
      </c>
      <c r="Q421" s="7" t="s">
        <v>31</v>
      </c>
      <c r="R421" s="7" t="s">
        <v>637</v>
      </c>
    </row>
    <row r="422" spans="1:18" s="7" customFormat="1" x14ac:dyDescent="0.35">
      <c r="A422" s="7">
        <v>28</v>
      </c>
      <c r="B422" s="4" t="s">
        <v>618</v>
      </c>
      <c r="C422" s="4">
        <v>2021</v>
      </c>
      <c r="D422" s="4" t="s">
        <v>619</v>
      </c>
      <c r="E422" s="8" t="s">
        <v>620</v>
      </c>
      <c r="F422" s="3" t="s">
        <v>621</v>
      </c>
      <c r="G422" s="3" t="s">
        <v>86</v>
      </c>
      <c r="H422" s="7" t="s">
        <v>631</v>
      </c>
      <c r="I422" s="7">
        <v>44.577945</v>
      </c>
      <c r="J422" s="7">
        <v>-79.401259999999994</v>
      </c>
      <c r="K422" s="7" t="s">
        <v>41</v>
      </c>
      <c r="L422" s="7" t="s">
        <v>28</v>
      </c>
      <c r="M422" s="7" t="s">
        <v>635</v>
      </c>
      <c r="N422" s="7" t="s">
        <v>474</v>
      </c>
      <c r="O422" s="7" t="s">
        <v>31</v>
      </c>
      <c r="P422" s="7" t="s">
        <v>474</v>
      </c>
      <c r="Q422" s="7" t="s">
        <v>31</v>
      </c>
      <c r="R422" s="7" t="s">
        <v>637</v>
      </c>
    </row>
    <row r="423" spans="1:18" s="7" customFormat="1" x14ac:dyDescent="0.35">
      <c r="A423" s="7">
        <v>28</v>
      </c>
      <c r="B423" s="4" t="s">
        <v>618</v>
      </c>
      <c r="C423" s="4">
        <v>2021</v>
      </c>
      <c r="D423" s="4" t="s">
        <v>619</v>
      </c>
      <c r="E423" s="8" t="s">
        <v>620</v>
      </c>
      <c r="F423" s="3" t="s">
        <v>621</v>
      </c>
      <c r="G423" s="3" t="s">
        <v>86</v>
      </c>
      <c r="H423" s="7" t="s">
        <v>622</v>
      </c>
      <c r="I423" s="7">
        <v>44.364434000000003</v>
      </c>
      <c r="J423" s="7">
        <v>-79.387765999999999</v>
      </c>
      <c r="K423" s="7" t="s">
        <v>41</v>
      </c>
      <c r="L423" s="7" t="s">
        <v>28</v>
      </c>
      <c r="M423" s="7" t="s">
        <v>623</v>
      </c>
      <c r="N423" s="7" t="s">
        <v>532</v>
      </c>
      <c r="O423" s="7" t="s">
        <v>31</v>
      </c>
      <c r="P423" s="7" t="s">
        <v>532</v>
      </c>
      <c r="Q423" s="7" t="s">
        <v>31</v>
      </c>
      <c r="R423" s="7">
        <v>2019</v>
      </c>
    </row>
    <row r="424" spans="1:18" s="7" customFormat="1" x14ac:dyDescent="0.35">
      <c r="A424" s="7">
        <v>28</v>
      </c>
      <c r="B424" s="4" t="s">
        <v>618</v>
      </c>
      <c r="C424" s="4">
        <v>2021</v>
      </c>
      <c r="D424" s="4" t="s">
        <v>619</v>
      </c>
      <c r="E424" s="8" t="s">
        <v>620</v>
      </c>
      <c r="F424" s="3" t="s">
        <v>621</v>
      </c>
      <c r="G424" s="3" t="s">
        <v>86</v>
      </c>
      <c r="H424" s="7" t="s">
        <v>625</v>
      </c>
      <c r="I424" s="7">
        <v>44.408538</v>
      </c>
      <c r="J424" s="7">
        <v>-79.237879000000007</v>
      </c>
      <c r="K424" s="7" t="s">
        <v>41</v>
      </c>
      <c r="L424" s="7" t="s">
        <v>28</v>
      </c>
      <c r="M424" s="7" t="s">
        <v>623</v>
      </c>
      <c r="N424" s="7" t="s">
        <v>532</v>
      </c>
      <c r="O424" s="7" t="s">
        <v>31</v>
      </c>
      <c r="P424" s="7" t="s">
        <v>532</v>
      </c>
      <c r="Q424" s="7" t="s">
        <v>31</v>
      </c>
      <c r="R424" s="7">
        <v>2019</v>
      </c>
    </row>
    <row r="425" spans="1:18" s="7" customFormat="1" x14ac:dyDescent="0.35">
      <c r="A425" s="7">
        <v>28</v>
      </c>
      <c r="B425" s="4" t="s">
        <v>618</v>
      </c>
      <c r="C425" s="4">
        <v>2021</v>
      </c>
      <c r="D425" s="4" t="s">
        <v>619</v>
      </c>
      <c r="E425" s="8" t="s">
        <v>620</v>
      </c>
      <c r="F425" s="3" t="s">
        <v>621</v>
      </c>
      <c r="G425" s="3" t="s">
        <v>86</v>
      </c>
      <c r="H425" s="7" t="s">
        <v>626</v>
      </c>
      <c r="I425" s="7">
        <v>44.163209999999999</v>
      </c>
      <c r="J425" s="7">
        <v>-79.515874999999994</v>
      </c>
      <c r="K425" s="7" t="s">
        <v>41</v>
      </c>
      <c r="L425" s="7" t="s">
        <v>28</v>
      </c>
      <c r="M425" s="7" t="s">
        <v>623</v>
      </c>
      <c r="N425" s="7" t="s">
        <v>532</v>
      </c>
      <c r="O425" s="7" t="s">
        <v>31</v>
      </c>
      <c r="P425" s="7" t="s">
        <v>532</v>
      </c>
      <c r="Q425" s="7" t="s">
        <v>31</v>
      </c>
      <c r="R425" s="7">
        <v>2019</v>
      </c>
    </row>
    <row r="426" spans="1:18" s="7" customFormat="1" x14ac:dyDescent="0.35">
      <c r="A426" s="7">
        <v>28</v>
      </c>
      <c r="B426" s="4" t="s">
        <v>618</v>
      </c>
      <c r="C426" s="4">
        <v>2021</v>
      </c>
      <c r="D426" s="4" t="s">
        <v>619</v>
      </c>
      <c r="E426" s="8" t="s">
        <v>620</v>
      </c>
      <c r="F426" s="3" t="s">
        <v>621</v>
      </c>
      <c r="G426" s="3" t="s">
        <v>86</v>
      </c>
      <c r="H426" s="7" t="s">
        <v>627</v>
      </c>
      <c r="I426" s="7">
        <v>44.163691999999998</v>
      </c>
      <c r="J426" s="7">
        <v>-79.518364000000005</v>
      </c>
      <c r="K426" s="7" t="s">
        <v>41</v>
      </c>
      <c r="L426" s="7" t="s">
        <v>28</v>
      </c>
      <c r="M426" s="7" t="s">
        <v>623</v>
      </c>
      <c r="N426" s="7" t="s">
        <v>532</v>
      </c>
      <c r="O426" s="7" t="s">
        <v>31</v>
      </c>
      <c r="P426" s="7" t="s">
        <v>532</v>
      </c>
      <c r="Q426" s="7" t="s">
        <v>31</v>
      </c>
      <c r="R426" s="7">
        <v>2019</v>
      </c>
    </row>
    <row r="427" spans="1:18" s="7" customFormat="1" x14ac:dyDescent="0.35">
      <c r="A427" s="7">
        <v>28</v>
      </c>
      <c r="B427" s="4" t="s">
        <v>618</v>
      </c>
      <c r="C427" s="4">
        <v>2021</v>
      </c>
      <c r="D427" s="4" t="s">
        <v>619</v>
      </c>
      <c r="E427" s="8" t="s">
        <v>620</v>
      </c>
      <c r="F427" s="3" t="s">
        <v>621</v>
      </c>
      <c r="G427" s="3" t="s">
        <v>86</v>
      </c>
      <c r="H427" s="7" t="s">
        <v>628</v>
      </c>
      <c r="I427" s="7">
        <v>44.243048999999999</v>
      </c>
      <c r="J427" s="7">
        <v>-79.511942000000005</v>
      </c>
      <c r="K427" s="7" t="s">
        <v>41</v>
      </c>
      <c r="L427" s="7" t="s">
        <v>28</v>
      </c>
      <c r="M427" s="7" t="s">
        <v>623</v>
      </c>
      <c r="N427" s="7" t="s">
        <v>532</v>
      </c>
      <c r="O427" s="7" t="s">
        <v>31</v>
      </c>
      <c r="P427" s="7" t="s">
        <v>532</v>
      </c>
      <c r="Q427" s="7" t="s">
        <v>31</v>
      </c>
      <c r="R427" s="7">
        <v>2019</v>
      </c>
    </row>
    <row r="428" spans="1:18" s="7" customFormat="1" x14ac:dyDescent="0.35">
      <c r="A428" s="7">
        <v>28</v>
      </c>
      <c r="B428" s="4" t="s">
        <v>618</v>
      </c>
      <c r="C428" s="4">
        <v>2021</v>
      </c>
      <c r="D428" s="4" t="s">
        <v>619</v>
      </c>
      <c r="E428" s="8" t="s">
        <v>620</v>
      </c>
      <c r="F428" s="3" t="s">
        <v>621</v>
      </c>
      <c r="G428" s="3" t="s">
        <v>86</v>
      </c>
      <c r="H428" s="7" t="s">
        <v>629</v>
      </c>
      <c r="I428" s="7">
        <v>44.442886999999999</v>
      </c>
      <c r="J428" s="7">
        <v>-79.444434000000001</v>
      </c>
      <c r="K428" s="7" t="s">
        <v>41</v>
      </c>
      <c r="L428" s="7" t="s">
        <v>28</v>
      </c>
      <c r="M428" s="7" t="s">
        <v>623</v>
      </c>
      <c r="N428" s="7" t="s">
        <v>532</v>
      </c>
      <c r="O428" s="7" t="s">
        <v>31</v>
      </c>
      <c r="P428" s="7" t="s">
        <v>532</v>
      </c>
      <c r="Q428" s="7" t="s">
        <v>31</v>
      </c>
      <c r="R428" s="7">
        <v>2019</v>
      </c>
    </row>
    <row r="429" spans="1:18" s="7" customFormat="1" x14ac:dyDescent="0.35">
      <c r="A429" s="7">
        <v>28</v>
      </c>
      <c r="B429" s="4" t="s">
        <v>618</v>
      </c>
      <c r="C429" s="4">
        <v>2021</v>
      </c>
      <c r="D429" s="4" t="s">
        <v>619</v>
      </c>
      <c r="E429" s="8" t="s">
        <v>620</v>
      </c>
      <c r="F429" s="3" t="s">
        <v>621</v>
      </c>
      <c r="G429" s="3" t="s">
        <v>86</v>
      </c>
      <c r="H429" s="7" t="s">
        <v>630</v>
      </c>
      <c r="I429" s="7">
        <v>44.382586000000003</v>
      </c>
      <c r="J429" s="7">
        <v>-79.654134999999997</v>
      </c>
      <c r="K429" s="7" t="s">
        <v>41</v>
      </c>
      <c r="L429" s="7" t="s">
        <v>28</v>
      </c>
      <c r="M429" s="7" t="s">
        <v>623</v>
      </c>
      <c r="N429" s="7" t="s">
        <v>532</v>
      </c>
      <c r="O429" s="7" t="s">
        <v>31</v>
      </c>
      <c r="P429" s="7" t="s">
        <v>532</v>
      </c>
      <c r="Q429" s="7" t="s">
        <v>31</v>
      </c>
      <c r="R429" s="7">
        <v>2019</v>
      </c>
    </row>
    <row r="430" spans="1:18" s="7" customFormat="1" x14ac:dyDescent="0.35">
      <c r="A430" s="7">
        <v>28</v>
      </c>
      <c r="B430" s="4" t="s">
        <v>618</v>
      </c>
      <c r="C430" s="4">
        <v>2021</v>
      </c>
      <c r="D430" s="4" t="s">
        <v>619</v>
      </c>
      <c r="E430" s="8" t="s">
        <v>620</v>
      </c>
      <c r="F430" s="3" t="s">
        <v>621</v>
      </c>
      <c r="G430" s="3" t="s">
        <v>86</v>
      </c>
      <c r="H430" s="7" t="s">
        <v>631</v>
      </c>
      <c r="I430" s="7">
        <v>44.577945</v>
      </c>
      <c r="J430" s="7">
        <v>-79.401259999999994</v>
      </c>
      <c r="K430" s="7" t="s">
        <v>41</v>
      </c>
      <c r="L430" s="7" t="s">
        <v>28</v>
      </c>
      <c r="M430" s="7" t="s">
        <v>623</v>
      </c>
      <c r="N430" s="7" t="s">
        <v>532</v>
      </c>
      <c r="O430" s="7" t="s">
        <v>31</v>
      </c>
      <c r="P430" s="7" t="s">
        <v>532</v>
      </c>
      <c r="Q430" s="7" t="s">
        <v>31</v>
      </c>
      <c r="R430" s="7">
        <v>2019</v>
      </c>
    </row>
    <row r="431" spans="1:18" s="7" customFormat="1" x14ac:dyDescent="0.35">
      <c r="A431" s="7">
        <v>28</v>
      </c>
      <c r="B431" s="4" t="s">
        <v>618</v>
      </c>
      <c r="C431" s="4">
        <v>2021</v>
      </c>
      <c r="D431" s="4" t="s">
        <v>619</v>
      </c>
      <c r="E431" s="8" t="s">
        <v>620</v>
      </c>
      <c r="F431" s="3" t="s">
        <v>621</v>
      </c>
      <c r="G431" s="3" t="s">
        <v>86</v>
      </c>
      <c r="H431" s="7" t="s">
        <v>622</v>
      </c>
      <c r="I431" s="7">
        <v>44.364434000000003</v>
      </c>
      <c r="J431" s="7">
        <v>-79.387765999999999</v>
      </c>
      <c r="K431" s="7" t="s">
        <v>103</v>
      </c>
      <c r="L431" s="7" t="s">
        <v>28</v>
      </c>
      <c r="M431" s="7" t="s">
        <v>632</v>
      </c>
      <c r="N431" s="7" t="s">
        <v>633</v>
      </c>
      <c r="O431" s="7" t="s">
        <v>31</v>
      </c>
      <c r="P431" s="7" t="s">
        <v>633</v>
      </c>
      <c r="Q431" s="7" t="s">
        <v>31</v>
      </c>
      <c r="R431" s="7">
        <v>2019</v>
      </c>
    </row>
    <row r="432" spans="1:18" s="7" customFormat="1" ht="15.75" customHeight="1" x14ac:dyDescent="0.35">
      <c r="A432" s="7">
        <v>28</v>
      </c>
      <c r="B432" s="4" t="s">
        <v>618</v>
      </c>
      <c r="C432" s="4">
        <v>2021</v>
      </c>
      <c r="D432" s="4" t="s">
        <v>619</v>
      </c>
      <c r="E432" s="8" t="s">
        <v>620</v>
      </c>
      <c r="F432" s="3" t="s">
        <v>621</v>
      </c>
      <c r="G432" s="3" t="s">
        <v>86</v>
      </c>
      <c r="H432" s="7" t="s">
        <v>625</v>
      </c>
      <c r="I432" s="7">
        <v>44.408538</v>
      </c>
      <c r="J432" s="7">
        <v>-79.237879000000007</v>
      </c>
      <c r="K432" s="7" t="s">
        <v>103</v>
      </c>
      <c r="L432" s="7" t="s">
        <v>28</v>
      </c>
      <c r="M432" s="7" t="s">
        <v>632</v>
      </c>
      <c r="N432" s="7" t="s">
        <v>633</v>
      </c>
      <c r="O432" s="7" t="s">
        <v>31</v>
      </c>
      <c r="P432" s="7" t="s">
        <v>633</v>
      </c>
      <c r="Q432" s="7" t="s">
        <v>31</v>
      </c>
      <c r="R432" s="7">
        <v>2019</v>
      </c>
    </row>
    <row r="433" spans="1:18" s="7" customFormat="1" x14ac:dyDescent="0.35">
      <c r="A433" s="7">
        <v>28</v>
      </c>
      <c r="B433" s="4" t="s">
        <v>618</v>
      </c>
      <c r="C433" s="4">
        <v>2021</v>
      </c>
      <c r="D433" s="4" t="s">
        <v>619</v>
      </c>
      <c r="E433" s="8" t="s">
        <v>620</v>
      </c>
      <c r="F433" s="3" t="s">
        <v>621</v>
      </c>
      <c r="G433" s="3" t="s">
        <v>86</v>
      </c>
      <c r="H433" s="7" t="s">
        <v>626</v>
      </c>
      <c r="I433" s="7">
        <v>44.163209999999999</v>
      </c>
      <c r="J433" s="7">
        <v>-79.515874999999994</v>
      </c>
      <c r="K433" s="7" t="s">
        <v>103</v>
      </c>
      <c r="L433" s="7" t="s">
        <v>28</v>
      </c>
      <c r="M433" s="7" t="s">
        <v>632</v>
      </c>
      <c r="N433" s="7" t="s">
        <v>633</v>
      </c>
      <c r="O433" s="7" t="s">
        <v>31</v>
      </c>
      <c r="P433" s="7" t="s">
        <v>633</v>
      </c>
      <c r="Q433" s="7" t="s">
        <v>31</v>
      </c>
      <c r="R433" s="7">
        <v>2019</v>
      </c>
    </row>
    <row r="434" spans="1:18" s="7" customFormat="1" ht="18" customHeight="1" x14ac:dyDescent="0.35">
      <c r="A434" s="7">
        <v>28</v>
      </c>
      <c r="B434" s="4" t="s">
        <v>618</v>
      </c>
      <c r="C434" s="4">
        <v>2021</v>
      </c>
      <c r="D434" s="4" t="s">
        <v>619</v>
      </c>
      <c r="E434" s="8" t="s">
        <v>620</v>
      </c>
      <c r="F434" s="3" t="s">
        <v>621</v>
      </c>
      <c r="G434" s="3" t="s">
        <v>86</v>
      </c>
      <c r="H434" s="7" t="s">
        <v>627</v>
      </c>
      <c r="I434" s="7">
        <v>44.163691999999998</v>
      </c>
      <c r="J434" s="7">
        <v>-79.518364000000005</v>
      </c>
      <c r="K434" s="7" t="s">
        <v>103</v>
      </c>
      <c r="L434" s="7" t="s">
        <v>28</v>
      </c>
      <c r="M434" s="7" t="s">
        <v>632</v>
      </c>
      <c r="N434" s="7" t="s">
        <v>633</v>
      </c>
      <c r="O434" s="7" t="s">
        <v>31</v>
      </c>
      <c r="P434" s="7" t="s">
        <v>633</v>
      </c>
      <c r="Q434" s="7" t="s">
        <v>31</v>
      </c>
      <c r="R434" s="7">
        <v>2019</v>
      </c>
    </row>
    <row r="435" spans="1:18" s="7" customFormat="1" ht="18" customHeight="1" x14ac:dyDescent="0.35">
      <c r="A435" s="7">
        <v>28</v>
      </c>
      <c r="B435" s="4" t="s">
        <v>618</v>
      </c>
      <c r="C435" s="4">
        <v>2021</v>
      </c>
      <c r="D435" s="4" t="s">
        <v>619</v>
      </c>
      <c r="E435" s="8" t="s">
        <v>620</v>
      </c>
      <c r="F435" s="3" t="s">
        <v>621</v>
      </c>
      <c r="G435" s="3" t="s">
        <v>86</v>
      </c>
      <c r="H435" s="7" t="s">
        <v>628</v>
      </c>
      <c r="I435" s="7">
        <v>44.243048999999999</v>
      </c>
      <c r="J435" s="7">
        <v>-79.511942000000005</v>
      </c>
      <c r="K435" s="7" t="s">
        <v>103</v>
      </c>
      <c r="L435" s="7" t="s">
        <v>28</v>
      </c>
      <c r="M435" s="7" t="s">
        <v>632</v>
      </c>
      <c r="N435" s="7" t="s">
        <v>633</v>
      </c>
      <c r="O435" s="7" t="s">
        <v>31</v>
      </c>
      <c r="P435" s="7" t="s">
        <v>633</v>
      </c>
      <c r="Q435" s="7" t="s">
        <v>31</v>
      </c>
      <c r="R435" s="7">
        <v>2019</v>
      </c>
    </row>
    <row r="436" spans="1:18" s="7" customFormat="1" ht="18" customHeight="1" x14ac:dyDescent="0.35">
      <c r="A436" s="7">
        <v>28</v>
      </c>
      <c r="B436" s="4" t="s">
        <v>618</v>
      </c>
      <c r="C436" s="4">
        <v>2021</v>
      </c>
      <c r="D436" s="4" t="s">
        <v>619</v>
      </c>
      <c r="E436" s="8" t="s">
        <v>620</v>
      </c>
      <c r="F436" s="3" t="s">
        <v>621</v>
      </c>
      <c r="G436" s="3" t="s">
        <v>86</v>
      </c>
      <c r="H436" s="7" t="s">
        <v>629</v>
      </c>
      <c r="I436" s="7">
        <v>44.442886999999999</v>
      </c>
      <c r="J436" s="7">
        <v>-79.444434000000001</v>
      </c>
      <c r="K436" s="7" t="s">
        <v>103</v>
      </c>
      <c r="L436" s="7" t="s">
        <v>28</v>
      </c>
      <c r="M436" s="7" t="s">
        <v>632</v>
      </c>
      <c r="N436" s="7" t="s">
        <v>633</v>
      </c>
      <c r="O436" s="7" t="s">
        <v>31</v>
      </c>
      <c r="P436" s="7" t="s">
        <v>633</v>
      </c>
      <c r="Q436" s="7" t="s">
        <v>31</v>
      </c>
      <c r="R436" s="7">
        <v>2019</v>
      </c>
    </row>
    <row r="437" spans="1:18" s="7" customFormat="1" ht="18.75" customHeight="1" x14ac:dyDescent="0.35">
      <c r="A437" s="7">
        <v>28</v>
      </c>
      <c r="B437" s="4" t="s">
        <v>618</v>
      </c>
      <c r="C437" s="4">
        <v>2021</v>
      </c>
      <c r="D437" s="4" t="s">
        <v>619</v>
      </c>
      <c r="E437" s="8" t="s">
        <v>620</v>
      </c>
      <c r="F437" s="3" t="s">
        <v>621</v>
      </c>
      <c r="G437" s="3" t="s">
        <v>86</v>
      </c>
      <c r="H437" s="7" t="s">
        <v>630</v>
      </c>
      <c r="I437" s="7">
        <v>44.382586000000003</v>
      </c>
      <c r="J437" s="7">
        <v>-79.654134999999997</v>
      </c>
      <c r="K437" s="7" t="s">
        <v>103</v>
      </c>
      <c r="L437" s="7" t="s">
        <v>28</v>
      </c>
      <c r="M437" s="7" t="s">
        <v>632</v>
      </c>
      <c r="N437" s="7" t="s">
        <v>633</v>
      </c>
      <c r="O437" s="7" t="s">
        <v>31</v>
      </c>
      <c r="P437" s="7" t="s">
        <v>633</v>
      </c>
      <c r="Q437" s="7" t="s">
        <v>31</v>
      </c>
      <c r="R437" s="7">
        <v>2019</v>
      </c>
    </row>
    <row r="438" spans="1:18" s="7" customFormat="1" ht="18.75" customHeight="1" x14ac:dyDescent="0.35">
      <c r="A438" s="7">
        <v>28</v>
      </c>
      <c r="B438" s="4" t="s">
        <v>618</v>
      </c>
      <c r="C438" s="4">
        <v>2021</v>
      </c>
      <c r="D438" s="4" t="s">
        <v>619</v>
      </c>
      <c r="E438" s="8" t="s">
        <v>620</v>
      </c>
      <c r="F438" s="3" t="s">
        <v>621</v>
      </c>
      <c r="G438" s="3" t="s">
        <v>86</v>
      </c>
      <c r="H438" s="7" t="s">
        <v>631</v>
      </c>
      <c r="I438" s="7">
        <v>44.577945</v>
      </c>
      <c r="J438" s="7">
        <v>-79.401259999999994</v>
      </c>
      <c r="K438" s="7" t="s">
        <v>103</v>
      </c>
      <c r="L438" s="7" t="s">
        <v>28</v>
      </c>
      <c r="M438" s="7" t="s">
        <v>632</v>
      </c>
      <c r="N438" s="7" t="s">
        <v>633</v>
      </c>
      <c r="O438" s="7" t="s">
        <v>31</v>
      </c>
      <c r="P438" s="7" t="s">
        <v>633</v>
      </c>
      <c r="Q438" s="7" t="s">
        <v>31</v>
      </c>
      <c r="R438" s="7">
        <v>2019</v>
      </c>
    </row>
    <row r="439" spans="1:18" s="7" customFormat="1" ht="18" customHeight="1" x14ac:dyDescent="0.35">
      <c r="A439" s="7">
        <v>28</v>
      </c>
      <c r="B439" s="4" t="s">
        <v>618</v>
      </c>
      <c r="C439" s="4">
        <v>2021</v>
      </c>
      <c r="D439" s="4" t="s">
        <v>619</v>
      </c>
      <c r="E439" s="8" t="s">
        <v>620</v>
      </c>
      <c r="F439" s="3" t="s">
        <v>621</v>
      </c>
      <c r="G439" s="3" t="s">
        <v>86</v>
      </c>
      <c r="H439" s="7" t="s">
        <v>622</v>
      </c>
      <c r="I439" s="7">
        <v>44.364434000000003</v>
      </c>
      <c r="J439" s="7">
        <v>-79.387765999999999</v>
      </c>
      <c r="K439" s="7" t="s">
        <v>41</v>
      </c>
      <c r="L439" s="7" t="s">
        <v>28</v>
      </c>
      <c r="M439" s="7" t="s">
        <v>635</v>
      </c>
      <c r="N439" s="7" t="s">
        <v>474</v>
      </c>
      <c r="O439" s="7" t="s">
        <v>31</v>
      </c>
      <c r="P439" s="7" t="s">
        <v>474</v>
      </c>
      <c r="Q439" s="7" t="s">
        <v>31</v>
      </c>
      <c r="R439" s="7" t="s">
        <v>638</v>
      </c>
    </row>
    <row r="440" spans="1:18" s="7" customFormat="1" ht="18" customHeight="1" x14ac:dyDescent="0.35">
      <c r="A440" s="7">
        <v>28</v>
      </c>
      <c r="B440" s="4" t="s">
        <v>618</v>
      </c>
      <c r="C440" s="4">
        <v>2021</v>
      </c>
      <c r="D440" s="4" t="s">
        <v>619</v>
      </c>
      <c r="E440" s="8" t="s">
        <v>620</v>
      </c>
      <c r="F440" s="3" t="s">
        <v>621</v>
      </c>
      <c r="G440" s="3" t="s">
        <v>86</v>
      </c>
      <c r="H440" s="7" t="s">
        <v>625</v>
      </c>
      <c r="I440" s="7">
        <v>44.408538</v>
      </c>
      <c r="J440" s="7">
        <v>-79.237879000000007</v>
      </c>
      <c r="K440" s="7" t="s">
        <v>41</v>
      </c>
      <c r="L440" s="7" t="s">
        <v>28</v>
      </c>
      <c r="M440" s="7" t="s">
        <v>635</v>
      </c>
      <c r="N440" s="7" t="s">
        <v>474</v>
      </c>
      <c r="O440" s="7" t="s">
        <v>31</v>
      </c>
      <c r="P440" s="7" t="s">
        <v>474</v>
      </c>
      <c r="Q440" s="7" t="s">
        <v>31</v>
      </c>
      <c r="R440" s="7" t="s">
        <v>638</v>
      </c>
    </row>
    <row r="441" spans="1:18" s="7" customFormat="1" ht="18" customHeight="1" x14ac:dyDescent="0.35">
      <c r="A441" s="7">
        <v>28</v>
      </c>
      <c r="B441" s="4" t="s">
        <v>618</v>
      </c>
      <c r="C441" s="4">
        <v>2021</v>
      </c>
      <c r="D441" s="4" t="s">
        <v>619</v>
      </c>
      <c r="E441" s="8" t="s">
        <v>620</v>
      </c>
      <c r="F441" s="3" t="s">
        <v>621</v>
      </c>
      <c r="G441" s="3" t="s">
        <v>86</v>
      </c>
      <c r="H441" s="7" t="s">
        <v>626</v>
      </c>
      <c r="I441" s="7">
        <v>44.163209999999999</v>
      </c>
      <c r="J441" s="7">
        <v>-79.515874999999994</v>
      </c>
      <c r="K441" s="7" t="s">
        <v>41</v>
      </c>
      <c r="L441" s="7" t="s">
        <v>28</v>
      </c>
      <c r="M441" s="7" t="s">
        <v>635</v>
      </c>
      <c r="N441" s="7" t="s">
        <v>474</v>
      </c>
      <c r="O441" s="7" t="s">
        <v>31</v>
      </c>
      <c r="P441" s="7" t="s">
        <v>474</v>
      </c>
      <c r="Q441" s="7" t="s">
        <v>31</v>
      </c>
      <c r="R441" s="7" t="s">
        <v>638</v>
      </c>
    </row>
    <row r="442" spans="1:18" s="7" customFormat="1" ht="18" customHeight="1" x14ac:dyDescent="0.35">
      <c r="A442" s="7">
        <v>28</v>
      </c>
      <c r="B442" s="4" t="s">
        <v>618</v>
      </c>
      <c r="C442" s="4">
        <v>2021</v>
      </c>
      <c r="D442" s="4" t="s">
        <v>619</v>
      </c>
      <c r="E442" s="8" t="s">
        <v>620</v>
      </c>
      <c r="F442" s="3" t="s">
        <v>621</v>
      </c>
      <c r="G442" s="3" t="s">
        <v>86</v>
      </c>
      <c r="H442" s="7" t="s">
        <v>627</v>
      </c>
      <c r="I442" s="7">
        <v>44.163691999999998</v>
      </c>
      <c r="J442" s="7">
        <v>-79.518364000000005</v>
      </c>
      <c r="K442" s="7" t="s">
        <v>41</v>
      </c>
      <c r="L442" s="7" t="s">
        <v>28</v>
      </c>
      <c r="M442" s="7" t="s">
        <v>635</v>
      </c>
      <c r="N442" s="7" t="s">
        <v>474</v>
      </c>
      <c r="O442" s="7" t="s">
        <v>31</v>
      </c>
      <c r="P442" s="7" t="s">
        <v>474</v>
      </c>
      <c r="Q442" s="7" t="s">
        <v>31</v>
      </c>
      <c r="R442" s="7" t="s">
        <v>638</v>
      </c>
    </row>
    <row r="443" spans="1:18" s="7" customFormat="1" ht="18" customHeight="1" x14ac:dyDescent="0.35">
      <c r="A443" s="7">
        <v>28</v>
      </c>
      <c r="B443" s="4" t="s">
        <v>618</v>
      </c>
      <c r="C443" s="4">
        <v>2021</v>
      </c>
      <c r="D443" s="4" t="s">
        <v>619</v>
      </c>
      <c r="E443" s="8" t="s">
        <v>620</v>
      </c>
      <c r="F443" s="3" t="s">
        <v>621</v>
      </c>
      <c r="G443" s="3" t="s">
        <v>86</v>
      </c>
      <c r="H443" s="7" t="s">
        <v>628</v>
      </c>
      <c r="I443" s="7">
        <v>44.243048999999999</v>
      </c>
      <c r="J443" s="7">
        <v>-79.511942000000005</v>
      </c>
      <c r="K443" s="7" t="s">
        <v>41</v>
      </c>
      <c r="L443" s="7" t="s">
        <v>28</v>
      </c>
      <c r="M443" s="7" t="s">
        <v>635</v>
      </c>
      <c r="N443" s="7" t="s">
        <v>474</v>
      </c>
      <c r="O443" s="7" t="s">
        <v>31</v>
      </c>
      <c r="P443" s="7" t="s">
        <v>474</v>
      </c>
      <c r="Q443" s="7" t="s">
        <v>31</v>
      </c>
      <c r="R443" s="7" t="s">
        <v>638</v>
      </c>
    </row>
    <row r="444" spans="1:18" s="7" customFormat="1" ht="18" customHeight="1" x14ac:dyDescent="0.35">
      <c r="A444" s="7">
        <v>28</v>
      </c>
      <c r="B444" s="4" t="s">
        <v>618</v>
      </c>
      <c r="C444" s="4">
        <v>2021</v>
      </c>
      <c r="D444" s="4" t="s">
        <v>619</v>
      </c>
      <c r="E444" s="8" t="s">
        <v>620</v>
      </c>
      <c r="F444" s="3" t="s">
        <v>621</v>
      </c>
      <c r="G444" s="3" t="s">
        <v>86</v>
      </c>
      <c r="H444" s="7" t="s">
        <v>629</v>
      </c>
      <c r="I444" s="7">
        <v>44.442886999999999</v>
      </c>
      <c r="J444" s="7">
        <v>-79.444434000000001</v>
      </c>
      <c r="K444" s="7" t="s">
        <v>41</v>
      </c>
      <c r="L444" s="7" t="s">
        <v>28</v>
      </c>
      <c r="M444" s="7" t="s">
        <v>635</v>
      </c>
      <c r="N444" s="7" t="s">
        <v>474</v>
      </c>
      <c r="O444" s="7" t="s">
        <v>31</v>
      </c>
      <c r="P444" s="7" t="s">
        <v>474</v>
      </c>
      <c r="Q444" s="7" t="s">
        <v>31</v>
      </c>
      <c r="R444" s="7" t="s">
        <v>638</v>
      </c>
    </row>
    <row r="445" spans="1:18" s="7" customFormat="1" ht="18" customHeight="1" x14ac:dyDescent="0.35">
      <c r="A445" s="7">
        <v>28</v>
      </c>
      <c r="B445" s="4" t="s">
        <v>618</v>
      </c>
      <c r="C445" s="4">
        <v>2021</v>
      </c>
      <c r="D445" s="4" t="s">
        <v>619</v>
      </c>
      <c r="E445" s="8" t="s">
        <v>620</v>
      </c>
      <c r="F445" s="3" t="s">
        <v>621</v>
      </c>
      <c r="G445" s="3" t="s">
        <v>86</v>
      </c>
      <c r="H445" s="7" t="s">
        <v>630</v>
      </c>
      <c r="I445" s="7">
        <v>44.382586000000003</v>
      </c>
      <c r="J445" s="7">
        <v>-79.654134999999997</v>
      </c>
      <c r="K445" s="7" t="s">
        <v>41</v>
      </c>
      <c r="L445" s="7" t="s">
        <v>28</v>
      </c>
      <c r="M445" s="7" t="s">
        <v>635</v>
      </c>
      <c r="N445" s="7" t="s">
        <v>474</v>
      </c>
      <c r="O445" s="7" t="s">
        <v>31</v>
      </c>
      <c r="P445" s="7" t="s">
        <v>474</v>
      </c>
      <c r="Q445" s="7" t="s">
        <v>31</v>
      </c>
      <c r="R445" s="7" t="s">
        <v>638</v>
      </c>
    </row>
    <row r="446" spans="1:18" s="7" customFormat="1" ht="18" customHeight="1" x14ac:dyDescent="0.35">
      <c r="A446" s="7">
        <v>28</v>
      </c>
      <c r="B446" s="4" t="s">
        <v>618</v>
      </c>
      <c r="C446" s="4">
        <v>2021</v>
      </c>
      <c r="D446" s="4" t="s">
        <v>619</v>
      </c>
      <c r="E446" s="8" t="s">
        <v>620</v>
      </c>
      <c r="F446" s="3" t="s">
        <v>621</v>
      </c>
      <c r="G446" s="3" t="s">
        <v>86</v>
      </c>
      <c r="H446" s="7" t="s">
        <v>631</v>
      </c>
      <c r="I446" s="7">
        <v>44.577945</v>
      </c>
      <c r="J446" s="7">
        <v>-79.401259999999994</v>
      </c>
      <c r="K446" s="7" t="s">
        <v>41</v>
      </c>
      <c r="L446" s="7" t="s">
        <v>28</v>
      </c>
      <c r="M446" s="7" t="s">
        <v>635</v>
      </c>
      <c r="N446" s="7" t="s">
        <v>474</v>
      </c>
      <c r="O446" s="7" t="s">
        <v>31</v>
      </c>
      <c r="P446" s="7" t="s">
        <v>474</v>
      </c>
      <c r="Q446" s="7" t="s">
        <v>31</v>
      </c>
      <c r="R446" s="7" t="s">
        <v>638</v>
      </c>
    </row>
    <row r="447" spans="1:18" s="7" customFormat="1" ht="18" customHeight="1" x14ac:dyDescent="0.35">
      <c r="A447" s="7">
        <v>29</v>
      </c>
      <c r="B447" s="7" t="s">
        <v>639</v>
      </c>
      <c r="C447" s="7">
        <v>2020</v>
      </c>
      <c r="D447" s="7" t="s">
        <v>619</v>
      </c>
      <c r="E447" s="7" t="s">
        <v>640</v>
      </c>
      <c r="F447" s="7" t="s">
        <v>641</v>
      </c>
      <c r="G447" s="7" t="s">
        <v>86</v>
      </c>
      <c r="H447" s="7" t="s">
        <v>642</v>
      </c>
      <c r="I447" s="7">
        <v>42.863545000000002</v>
      </c>
      <c r="J447" s="7">
        <v>-79.152529999999999</v>
      </c>
      <c r="K447" s="7" t="s">
        <v>138</v>
      </c>
      <c r="L447" s="7" t="s">
        <v>28</v>
      </c>
      <c r="M447" s="7" t="s">
        <v>643</v>
      </c>
      <c r="N447" s="6" t="s">
        <v>644</v>
      </c>
      <c r="O447" s="7" t="s">
        <v>31</v>
      </c>
      <c r="P447" s="6" t="s">
        <v>644</v>
      </c>
      <c r="Q447" s="7" t="s">
        <v>31</v>
      </c>
      <c r="R447" s="4" t="s">
        <v>646</v>
      </c>
    </row>
    <row r="448" spans="1:18" s="7" customFormat="1" ht="18" customHeight="1" x14ac:dyDescent="0.35">
      <c r="A448" s="7">
        <v>29</v>
      </c>
      <c r="B448" s="7" t="s">
        <v>639</v>
      </c>
      <c r="C448" s="7">
        <v>2020</v>
      </c>
      <c r="D448" s="7" t="s">
        <v>619</v>
      </c>
      <c r="E448" s="7" t="s">
        <v>640</v>
      </c>
      <c r="F448" s="7" t="s">
        <v>641</v>
      </c>
      <c r="G448" s="7" t="s">
        <v>86</v>
      </c>
      <c r="H448" s="7" t="s">
        <v>647</v>
      </c>
      <c r="I448" s="7">
        <v>42.477110000000003</v>
      </c>
      <c r="J448" s="10">
        <v>-79.369529999999997</v>
      </c>
      <c r="K448" s="7" t="s">
        <v>138</v>
      </c>
      <c r="L448" s="7" t="s">
        <v>28</v>
      </c>
      <c r="M448" s="7" t="s">
        <v>643</v>
      </c>
      <c r="N448" s="6" t="s">
        <v>644</v>
      </c>
      <c r="O448" s="7" t="s">
        <v>31</v>
      </c>
      <c r="P448" s="6" t="s">
        <v>644</v>
      </c>
      <c r="Q448" s="7" t="s">
        <v>31</v>
      </c>
      <c r="R448" s="4" t="s">
        <v>646</v>
      </c>
    </row>
    <row r="449" spans="1:18" s="7" customFormat="1" ht="18" customHeight="1" x14ac:dyDescent="0.35">
      <c r="A449" s="7">
        <v>29</v>
      </c>
      <c r="B449" s="7" t="s">
        <v>639</v>
      </c>
      <c r="C449" s="7">
        <v>2020</v>
      </c>
      <c r="D449" s="7" t="s">
        <v>619</v>
      </c>
      <c r="E449" s="7" t="s">
        <v>640</v>
      </c>
      <c r="F449" s="7" t="s">
        <v>641</v>
      </c>
      <c r="G449" s="7" t="s">
        <v>86</v>
      </c>
      <c r="H449" s="7" t="s">
        <v>649</v>
      </c>
      <c r="I449" s="7">
        <v>42.489339000000001</v>
      </c>
      <c r="J449" s="10">
        <v>-79.340845999999999</v>
      </c>
      <c r="K449" s="7" t="s">
        <v>138</v>
      </c>
      <c r="L449" s="7" t="s">
        <v>28</v>
      </c>
      <c r="M449" s="7" t="s">
        <v>643</v>
      </c>
      <c r="N449" s="6" t="s">
        <v>644</v>
      </c>
      <c r="O449" s="7" t="s">
        <v>31</v>
      </c>
      <c r="P449" s="6" t="s">
        <v>644</v>
      </c>
      <c r="Q449" s="7" t="s">
        <v>31</v>
      </c>
      <c r="R449" s="4" t="s">
        <v>646</v>
      </c>
    </row>
    <row r="450" spans="1:18" s="7" customFormat="1" ht="18" customHeight="1" x14ac:dyDescent="0.35">
      <c r="A450" s="7">
        <v>29</v>
      </c>
      <c r="B450" s="7" t="s">
        <v>639</v>
      </c>
      <c r="C450" s="7">
        <v>2020</v>
      </c>
      <c r="D450" s="7" t="s">
        <v>619</v>
      </c>
      <c r="E450" s="7" t="s">
        <v>640</v>
      </c>
      <c r="F450" s="7" t="s">
        <v>641</v>
      </c>
      <c r="G450" s="7" t="s">
        <v>86</v>
      </c>
      <c r="H450" s="7" t="s">
        <v>651</v>
      </c>
      <c r="I450" s="7">
        <v>42.497273</v>
      </c>
      <c r="J450" s="10">
        <v>-79.357529</v>
      </c>
      <c r="K450" s="7" t="s">
        <v>138</v>
      </c>
      <c r="L450" s="7" t="s">
        <v>28</v>
      </c>
      <c r="M450" s="7" t="s">
        <v>643</v>
      </c>
      <c r="N450" s="6" t="s">
        <v>644</v>
      </c>
      <c r="O450" s="7" t="s">
        <v>31</v>
      </c>
      <c r="P450" s="6" t="s">
        <v>644</v>
      </c>
      <c r="Q450" s="7" t="s">
        <v>31</v>
      </c>
      <c r="R450" s="4" t="s">
        <v>646</v>
      </c>
    </row>
    <row r="451" spans="1:18" s="7" customFormat="1" ht="18" customHeight="1" x14ac:dyDescent="0.35">
      <c r="A451" s="7">
        <v>29</v>
      </c>
      <c r="B451" s="7" t="s">
        <v>639</v>
      </c>
      <c r="C451" s="7">
        <v>2020</v>
      </c>
      <c r="D451" s="7" t="s">
        <v>619</v>
      </c>
      <c r="E451" s="7" t="s">
        <v>640</v>
      </c>
      <c r="F451" s="7" t="s">
        <v>641</v>
      </c>
      <c r="G451" s="7" t="s">
        <v>86</v>
      </c>
      <c r="H451" s="7" t="s">
        <v>653</v>
      </c>
      <c r="I451" s="7">
        <v>42.162402999999998</v>
      </c>
      <c r="J451" s="10">
        <v>-80.122990000000001</v>
      </c>
      <c r="K451" s="7" t="s">
        <v>138</v>
      </c>
      <c r="L451" s="7" t="s">
        <v>28</v>
      </c>
      <c r="M451" s="7" t="s">
        <v>643</v>
      </c>
      <c r="N451" s="6" t="s">
        <v>644</v>
      </c>
      <c r="O451" s="7" t="s">
        <v>31</v>
      </c>
      <c r="P451" s="6" t="s">
        <v>644</v>
      </c>
      <c r="Q451" s="7" t="s">
        <v>31</v>
      </c>
      <c r="R451" s="4" t="s">
        <v>646</v>
      </c>
    </row>
    <row r="452" spans="1:18" s="7" customFormat="1" ht="16.5" customHeight="1" x14ac:dyDescent="0.35">
      <c r="A452" s="7">
        <v>29</v>
      </c>
      <c r="B452" s="7" t="s">
        <v>639</v>
      </c>
      <c r="C452" s="7">
        <v>2020</v>
      </c>
      <c r="D452" s="7" t="s">
        <v>619</v>
      </c>
      <c r="E452" s="7" t="s">
        <v>640</v>
      </c>
      <c r="F452" s="7" t="s">
        <v>641</v>
      </c>
      <c r="G452" s="7" t="s">
        <v>86</v>
      </c>
      <c r="H452" s="7" t="s">
        <v>655</v>
      </c>
      <c r="I452" s="7">
        <v>43.645344999999999</v>
      </c>
      <c r="J452" s="10">
        <v>-76.197652000000005</v>
      </c>
      <c r="K452" s="7" t="s">
        <v>138</v>
      </c>
      <c r="L452" s="7" t="s">
        <v>28</v>
      </c>
      <c r="M452" s="7" t="s">
        <v>643</v>
      </c>
      <c r="N452" s="6" t="s">
        <v>644</v>
      </c>
      <c r="O452" s="7" t="s">
        <v>31</v>
      </c>
      <c r="P452" s="6" t="s">
        <v>644</v>
      </c>
      <c r="Q452" s="7" t="s">
        <v>31</v>
      </c>
      <c r="R452" s="4" t="s">
        <v>646</v>
      </c>
    </row>
    <row r="453" spans="1:18" s="7" customFormat="1" ht="18" customHeight="1" x14ac:dyDescent="0.35">
      <c r="A453" s="7">
        <v>30</v>
      </c>
      <c r="B453" s="7" t="s">
        <v>657</v>
      </c>
      <c r="C453" s="7">
        <v>2020</v>
      </c>
      <c r="D453" s="7" t="s">
        <v>658</v>
      </c>
      <c r="E453" s="7" t="s">
        <v>659</v>
      </c>
      <c r="F453" s="7" t="s">
        <v>660</v>
      </c>
      <c r="G453" s="7" t="s">
        <v>86</v>
      </c>
      <c r="H453" s="7" t="s">
        <v>263</v>
      </c>
      <c r="I453" s="7">
        <v>43.618735999999998</v>
      </c>
      <c r="J453" s="10">
        <v>-79.414304000000001</v>
      </c>
      <c r="K453" s="7" t="s">
        <v>41</v>
      </c>
      <c r="L453" s="7" t="s">
        <v>28</v>
      </c>
      <c r="M453" s="7" t="s">
        <v>661</v>
      </c>
      <c r="N453" s="7" t="s">
        <v>265</v>
      </c>
      <c r="O453" s="7" t="s">
        <v>31</v>
      </c>
      <c r="P453" s="7" t="s">
        <v>265</v>
      </c>
      <c r="Q453" s="7" t="s">
        <v>31</v>
      </c>
    </row>
    <row r="454" spans="1:18" s="7" customFormat="1" ht="18" customHeight="1" x14ac:dyDescent="0.35">
      <c r="A454" s="7">
        <v>31</v>
      </c>
      <c r="B454" s="7" t="s">
        <v>662</v>
      </c>
      <c r="C454" s="7">
        <v>2020</v>
      </c>
      <c r="D454" s="7" t="s">
        <v>663</v>
      </c>
      <c r="E454" s="7" t="s">
        <v>664</v>
      </c>
      <c r="F454" s="7" t="s">
        <v>665</v>
      </c>
      <c r="G454" s="7" t="s">
        <v>161</v>
      </c>
      <c r="H454" s="7" t="s">
        <v>666</v>
      </c>
      <c r="I454" s="7">
        <v>45.300066999999999</v>
      </c>
      <c r="J454" s="52">
        <v>-74.135204999999999</v>
      </c>
      <c r="K454" s="7" t="s">
        <v>103</v>
      </c>
      <c r="L454" s="7" t="s">
        <v>163</v>
      </c>
      <c r="M454" s="7" t="s">
        <v>667</v>
      </c>
      <c r="N454" s="51" t="s">
        <v>435</v>
      </c>
      <c r="O454" s="7" t="s">
        <v>90</v>
      </c>
      <c r="P454" s="51" t="s">
        <v>435</v>
      </c>
      <c r="Q454" s="7" t="s">
        <v>90</v>
      </c>
      <c r="R454" s="7" t="s">
        <v>33</v>
      </c>
    </row>
    <row r="455" spans="1:18" s="7" customFormat="1" ht="18" customHeight="1" x14ac:dyDescent="0.35">
      <c r="A455" s="7">
        <v>31</v>
      </c>
      <c r="B455" s="7" t="s">
        <v>662</v>
      </c>
      <c r="C455" s="7">
        <v>2020</v>
      </c>
      <c r="D455" s="7" t="s">
        <v>663</v>
      </c>
      <c r="E455" s="7" t="s">
        <v>664</v>
      </c>
      <c r="F455" s="7" t="s">
        <v>665</v>
      </c>
      <c r="G455" s="7" t="s">
        <v>161</v>
      </c>
      <c r="H455" s="7" t="s">
        <v>666</v>
      </c>
      <c r="I455" s="7">
        <v>45.294271999999999</v>
      </c>
      <c r="J455" s="7">
        <v>-74.082830000000001</v>
      </c>
      <c r="K455" s="7" t="s">
        <v>103</v>
      </c>
      <c r="L455" s="7" t="s">
        <v>163</v>
      </c>
      <c r="M455" s="7" t="s">
        <v>667</v>
      </c>
      <c r="N455" s="51" t="s">
        <v>435</v>
      </c>
      <c r="O455" s="7" t="s">
        <v>90</v>
      </c>
      <c r="P455" s="51" t="s">
        <v>435</v>
      </c>
      <c r="Q455" s="7" t="s">
        <v>90</v>
      </c>
      <c r="R455" s="7" t="s">
        <v>33</v>
      </c>
    </row>
    <row r="456" spans="1:18" s="7" customFormat="1" ht="18" customHeight="1" x14ac:dyDescent="0.35">
      <c r="A456" s="7">
        <v>31</v>
      </c>
      <c r="B456" s="7" t="s">
        <v>662</v>
      </c>
      <c r="C456" s="7">
        <v>2020</v>
      </c>
      <c r="D456" s="7" t="s">
        <v>663</v>
      </c>
      <c r="E456" s="7" t="s">
        <v>664</v>
      </c>
      <c r="F456" s="7" t="s">
        <v>665</v>
      </c>
      <c r="G456" s="7" t="s">
        <v>161</v>
      </c>
      <c r="H456" s="7" t="s">
        <v>666</v>
      </c>
      <c r="I456" s="7">
        <v>45.465387</v>
      </c>
      <c r="J456" s="7">
        <v>-74.016341999999995</v>
      </c>
      <c r="K456" s="7" t="s">
        <v>103</v>
      </c>
      <c r="L456" s="7" t="s">
        <v>163</v>
      </c>
      <c r="M456" s="7" t="s">
        <v>667</v>
      </c>
      <c r="N456" s="51" t="s">
        <v>435</v>
      </c>
      <c r="O456" s="7" t="s">
        <v>90</v>
      </c>
      <c r="P456" s="51" t="s">
        <v>435</v>
      </c>
      <c r="Q456" s="7" t="s">
        <v>90</v>
      </c>
      <c r="R456" s="7" t="s">
        <v>33</v>
      </c>
    </row>
    <row r="457" spans="1:18" s="7" customFormat="1" ht="15.75" customHeight="1" x14ac:dyDescent="0.35">
      <c r="A457" s="7">
        <v>31</v>
      </c>
      <c r="B457" s="7" t="s">
        <v>662</v>
      </c>
      <c r="C457" s="7">
        <v>2020</v>
      </c>
      <c r="D457" s="7" t="s">
        <v>663</v>
      </c>
      <c r="E457" s="7" t="s">
        <v>664</v>
      </c>
      <c r="F457" s="7" t="s">
        <v>665</v>
      </c>
      <c r="G457" s="7" t="s">
        <v>161</v>
      </c>
      <c r="H457" s="7" t="s">
        <v>666</v>
      </c>
      <c r="I457" s="7">
        <v>45.425998999999997</v>
      </c>
      <c r="J457" s="7">
        <v>-73.822903999999994</v>
      </c>
      <c r="K457" s="7" t="s">
        <v>103</v>
      </c>
      <c r="L457" s="7" t="s">
        <v>163</v>
      </c>
      <c r="M457" s="7" t="s">
        <v>667</v>
      </c>
      <c r="N457" s="51" t="s">
        <v>435</v>
      </c>
      <c r="O457" s="7" t="s">
        <v>90</v>
      </c>
      <c r="P457" s="51" t="s">
        <v>435</v>
      </c>
      <c r="Q457" s="7" t="s">
        <v>90</v>
      </c>
      <c r="R457" s="7" t="s">
        <v>33</v>
      </c>
    </row>
    <row r="458" spans="1:18" s="7" customFormat="1" ht="15.75" customHeight="1" x14ac:dyDescent="0.35">
      <c r="A458" s="7">
        <v>31</v>
      </c>
      <c r="B458" s="7" t="s">
        <v>662</v>
      </c>
      <c r="C458" s="7">
        <v>2020</v>
      </c>
      <c r="D458" s="7" t="s">
        <v>663</v>
      </c>
      <c r="E458" s="7" t="s">
        <v>664</v>
      </c>
      <c r="F458" s="7" t="s">
        <v>665</v>
      </c>
      <c r="G458" s="7" t="s">
        <v>161</v>
      </c>
      <c r="H458" s="7" t="s">
        <v>666</v>
      </c>
      <c r="I458" s="7">
        <v>45.547575000000002</v>
      </c>
      <c r="J458" s="7">
        <v>-73.512332000000001</v>
      </c>
      <c r="K458" s="7" t="s">
        <v>103</v>
      </c>
      <c r="L458" s="7" t="s">
        <v>163</v>
      </c>
      <c r="M458" s="7" t="s">
        <v>667</v>
      </c>
      <c r="N458" s="51" t="s">
        <v>435</v>
      </c>
      <c r="O458" s="7" t="s">
        <v>90</v>
      </c>
      <c r="P458" s="51" t="s">
        <v>435</v>
      </c>
      <c r="Q458" s="7" t="s">
        <v>90</v>
      </c>
      <c r="R458" s="7" t="s">
        <v>33</v>
      </c>
    </row>
    <row r="459" spans="1:18" s="7" customFormat="1" ht="15.75" customHeight="1" x14ac:dyDescent="0.35">
      <c r="A459" s="7">
        <v>31</v>
      </c>
      <c r="B459" s="7" t="s">
        <v>662</v>
      </c>
      <c r="C459" s="7">
        <v>2020</v>
      </c>
      <c r="D459" s="7" t="s">
        <v>663</v>
      </c>
      <c r="E459" s="7" t="s">
        <v>664</v>
      </c>
      <c r="F459" s="7" t="s">
        <v>665</v>
      </c>
      <c r="G459" s="7" t="s">
        <v>161</v>
      </c>
      <c r="H459" s="7" t="s">
        <v>666</v>
      </c>
      <c r="I459" s="7">
        <v>45.728437</v>
      </c>
      <c r="J459" s="7">
        <v>-73.443929999999995</v>
      </c>
      <c r="K459" s="7" t="s">
        <v>103</v>
      </c>
      <c r="L459" s="7" t="s">
        <v>163</v>
      </c>
      <c r="M459" s="7" t="s">
        <v>667</v>
      </c>
      <c r="N459" s="51" t="s">
        <v>435</v>
      </c>
      <c r="O459" s="7" t="s">
        <v>90</v>
      </c>
      <c r="P459" s="51" t="s">
        <v>435</v>
      </c>
      <c r="Q459" s="7" t="s">
        <v>90</v>
      </c>
      <c r="R459" s="7" t="s">
        <v>33</v>
      </c>
    </row>
    <row r="460" spans="1:18" s="7" customFormat="1" ht="15.75" customHeight="1" x14ac:dyDescent="0.35">
      <c r="A460" s="7">
        <v>31</v>
      </c>
      <c r="B460" s="7" t="s">
        <v>662</v>
      </c>
      <c r="C460" s="7">
        <v>2020</v>
      </c>
      <c r="D460" s="7" t="s">
        <v>663</v>
      </c>
      <c r="E460" s="7" t="s">
        <v>664</v>
      </c>
      <c r="F460" s="7" t="s">
        <v>665</v>
      </c>
      <c r="G460" s="7" t="s">
        <v>161</v>
      </c>
      <c r="H460" s="7" t="s">
        <v>666</v>
      </c>
      <c r="I460" s="7">
        <v>45.752372000000001</v>
      </c>
      <c r="J460" s="7">
        <v>-73.403918000000004</v>
      </c>
      <c r="K460" s="7" t="s">
        <v>103</v>
      </c>
      <c r="L460" s="7" t="s">
        <v>163</v>
      </c>
      <c r="M460" s="7" t="s">
        <v>667</v>
      </c>
      <c r="N460" s="51" t="s">
        <v>435</v>
      </c>
      <c r="O460" s="7" t="s">
        <v>90</v>
      </c>
      <c r="P460" s="51" t="s">
        <v>435</v>
      </c>
      <c r="Q460" s="7" t="s">
        <v>90</v>
      </c>
      <c r="R460" s="7" t="s">
        <v>33</v>
      </c>
    </row>
    <row r="461" spans="1:18" s="7" customFormat="1" ht="18" customHeight="1" x14ac:dyDescent="0.35">
      <c r="A461" s="7">
        <v>31</v>
      </c>
      <c r="B461" s="7" t="s">
        <v>662</v>
      </c>
      <c r="C461" s="7">
        <v>2020</v>
      </c>
      <c r="D461" s="7" t="s">
        <v>663</v>
      </c>
      <c r="E461" s="7" t="s">
        <v>664</v>
      </c>
      <c r="F461" s="7" t="s">
        <v>665</v>
      </c>
      <c r="G461" s="7" t="s">
        <v>161</v>
      </c>
      <c r="H461" s="7" t="s">
        <v>666</v>
      </c>
      <c r="I461" s="7">
        <v>45.809888999999998</v>
      </c>
      <c r="J461" s="7">
        <v>-73.364722999999998</v>
      </c>
      <c r="K461" s="7" t="s">
        <v>103</v>
      </c>
      <c r="L461" s="7" t="s">
        <v>163</v>
      </c>
      <c r="M461" s="7" t="s">
        <v>667</v>
      </c>
      <c r="N461" s="51" t="s">
        <v>435</v>
      </c>
      <c r="O461" s="7" t="s">
        <v>90</v>
      </c>
      <c r="P461" s="51" t="s">
        <v>435</v>
      </c>
      <c r="Q461" s="7" t="s">
        <v>90</v>
      </c>
      <c r="R461" s="7" t="s">
        <v>33</v>
      </c>
    </row>
    <row r="462" spans="1:18" s="7" customFormat="1" ht="18" customHeight="1" x14ac:dyDescent="0.35">
      <c r="A462" s="7">
        <v>31</v>
      </c>
      <c r="B462" s="7" t="s">
        <v>662</v>
      </c>
      <c r="C462" s="7">
        <v>2020</v>
      </c>
      <c r="D462" s="7" t="s">
        <v>663</v>
      </c>
      <c r="E462" s="7" t="s">
        <v>664</v>
      </c>
      <c r="F462" s="7" t="s">
        <v>665</v>
      </c>
      <c r="G462" s="7" t="s">
        <v>161</v>
      </c>
      <c r="H462" s="7" t="s">
        <v>666</v>
      </c>
      <c r="I462" s="7">
        <v>45.936503999999999</v>
      </c>
      <c r="J462" s="7">
        <v>-73.211693999999994</v>
      </c>
      <c r="K462" s="7" t="s">
        <v>103</v>
      </c>
      <c r="L462" s="7" t="s">
        <v>163</v>
      </c>
      <c r="M462" s="7" t="s">
        <v>667</v>
      </c>
      <c r="N462" s="51" t="s">
        <v>435</v>
      </c>
      <c r="O462" s="7" t="s">
        <v>90</v>
      </c>
      <c r="P462" s="51" t="s">
        <v>435</v>
      </c>
      <c r="Q462" s="7" t="s">
        <v>90</v>
      </c>
      <c r="R462" s="7" t="s">
        <v>33</v>
      </c>
    </row>
    <row r="463" spans="1:18" s="7" customFormat="1" ht="18" customHeight="1" x14ac:dyDescent="0.35">
      <c r="A463" s="7">
        <v>31</v>
      </c>
      <c r="B463" s="7" t="s">
        <v>662</v>
      </c>
      <c r="C463" s="7">
        <v>2020</v>
      </c>
      <c r="D463" s="7" t="s">
        <v>663</v>
      </c>
      <c r="E463" s="7" t="s">
        <v>664</v>
      </c>
      <c r="F463" s="7" t="s">
        <v>665</v>
      </c>
      <c r="G463" s="7" t="s">
        <v>161</v>
      </c>
      <c r="H463" s="7" t="s">
        <v>666</v>
      </c>
      <c r="I463" s="7">
        <v>46.014113000000002</v>
      </c>
      <c r="J463" s="7">
        <v>-73.179648999999998</v>
      </c>
      <c r="K463" s="7" t="s">
        <v>103</v>
      </c>
      <c r="L463" s="7" t="s">
        <v>163</v>
      </c>
      <c r="M463" s="7" t="s">
        <v>667</v>
      </c>
      <c r="N463" s="51" t="s">
        <v>435</v>
      </c>
      <c r="O463" s="7" t="s">
        <v>90</v>
      </c>
      <c r="P463" s="51" t="s">
        <v>435</v>
      </c>
      <c r="Q463" s="7" t="s">
        <v>90</v>
      </c>
      <c r="R463" s="7" t="s">
        <v>33</v>
      </c>
    </row>
    <row r="464" spans="1:18" s="7" customFormat="1" ht="18" customHeight="1" x14ac:dyDescent="0.35">
      <c r="A464" s="7">
        <v>31</v>
      </c>
      <c r="B464" s="7" t="s">
        <v>662</v>
      </c>
      <c r="C464" s="7">
        <v>2020</v>
      </c>
      <c r="D464" s="7" t="s">
        <v>663</v>
      </c>
      <c r="E464" s="7" t="s">
        <v>664</v>
      </c>
      <c r="F464" s="7" t="s">
        <v>665</v>
      </c>
      <c r="G464" s="7" t="s">
        <v>161</v>
      </c>
      <c r="H464" s="7" t="s">
        <v>666</v>
      </c>
      <c r="I464" s="7">
        <v>46.041082000000003</v>
      </c>
      <c r="J464" s="7">
        <v>-73.167996000000002</v>
      </c>
      <c r="K464" s="7" t="s">
        <v>103</v>
      </c>
      <c r="L464" s="7" t="s">
        <v>163</v>
      </c>
      <c r="M464" s="7" t="s">
        <v>667</v>
      </c>
      <c r="N464" s="51" t="s">
        <v>435</v>
      </c>
      <c r="O464" s="7" t="s">
        <v>90</v>
      </c>
      <c r="P464" s="51" t="s">
        <v>435</v>
      </c>
      <c r="Q464" s="7" t="s">
        <v>90</v>
      </c>
      <c r="R464" s="7" t="s">
        <v>33</v>
      </c>
    </row>
    <row r="465" spans="1:18" s="7" customFormat="1" ht="18" customHeight="1" x14ac:dyDescent="0.35">
      <c r="A465" s="7">
        <v>31</v>
      </c>
      <c r="B465" s="7" t="s">
        <v>662</v>
      </c>
      <c r="C465" s="7">
        <v>2020</v>
      </c>
      <c r="D465" s="7" t="s">
        <v>663</v>
      </c>
      <c r="E465" s="7" t="s">
        <v>664</v>
      </c>
      <c r="F465" s="7" t="s">
        <v>665</v>
      </c>
      <c r="G465" s="7" t="s">
        <v>161</v>
      </c>
      <c r="H465" s="7" t="s">
        <v>666</v>
      </c>
      <c r="I465" s="7">
        <v>46.076121999999998</v>
      </c>
      <c r="J465" s="7">
        <v>-73.073802999999998</v>
      </c>
      <c r="K465" s="7" t="s">
        <v>103</v>
      </c>
      <c r="L465" s="7" t="s">
        <v>163</v>
      </c>
      <c r="M465" s="7" t="s">
        <v>667</v>
      </c>
      <c r="N465" s="51" t="s">
        <v>435</v>
      </c>
      <c r="O465" s="7" t="s">
        <v>90</v>
      </c>
      <c r="P465" s="51" t="s">
        <v>435</v>
      </c>
      <c r="Q465" s="7" t="s">
        <v>90</v>
      </c>
      <c r="R465" s="7" t="s">
        <v>33</v>
      </c>
    </row>
    <row r="466" spans="1:18" s="7" customFormat="1" ht="18" customHeight="1" x14ac:dyDescent="0.35">
      <c r="A466" s="7">
        <v>31</v>
      </c>
      <c r="B466" s="7" t="s">
        <v>662</v>
      </c>
      <c r="C466" s="7">
        <v>2020</v>
      </c>
      <c r="D466" s="7" t="s">
        <v>663</v>
      </c>
      <c r="E466" s="7" t="s">
        <v>664</v>
      </c>
      <c r="F466" s="7" t="s">
        <v>665</v>
      </c>
      <c r="G466" s="7" t="s">
        <v>161</v>
      </c>
      <c r="H466" s="7" t="s">
        <v>666</v>
      </c>
      <c r="I466" s="7">
        <v>46.181289999999997</v>
      </c>
      <c r="J466" s="7">
        <v>-72.967800999999994</v>
      </c>
      <c r="K466" s="7" t="s">
        <v>103</v>
      </c>
      <c r="L466" s="7" t="s">
        <v>163</v>
      </c>
      <c r="M466" s="7" t="s">
        <v>667</v>
      </c>
      <c r="N466" s="51" t="s">
        <v>435</v>
      </c>
      <c r="O466" s="7" t="s">
        <v>90</v>
      </c>
      <c r="P466" s="51" t="s">
        <v>435</v>
      </c>
      <c r="Q466" s="7" t="s">
        <v>90</v>
      </c>
      <c r="R466" s="7" t="s">
        <v>33</v>
      </c>
    </row>
    <row r="467" spans="1:18" s="7" customFormat="1" ht="18" customHeight="1" x14ac:dyDescent="0.35">
      <c r="A467" s="7">
        <v>31</v>
      </c>
      <c r="B467" s="7" t="s">
        <v>662</v>
      </c>
      <c r="C467" s="7">
        <v>2020</v>
      </c>
      <c r="D467" s="7" t="s">
        <v>663</v>
      </c>
      <c r="E467" s="7" t="s">
        <v>664</v>
      </c>
      <c r="F467" s="7" t="s">
        <v>665</v>
      </c>
      <c r="G467" s="7" t="s">
        <v>161</v>
      </c>
      <c r="H467" s="7" t="s">
        <v>666</v>
      </c>
      <c r="I467" s="7">
        <v>46.246015</v>
      </c>
      <c r="J467" s="7">
        <v>-72.863868999999994</v>
      </c>
      <c r="K467" s="7" t="s">
        <v>103</v>
      </c>
      <c r="L467" s="7" t="s">
        <v>163</v>
      </c>
      <c r="M467" s="7" t="s">
        <v>667</v>
      </c>
      <c r="N467" s="51" t="s">
        <v>435</v>
      </c>
      <c r="O467" s="7" t="s">
        <v>90</v>
      </c>
      <c r="P467" s="51" t="s">
        <v>435</v>
      </c>
      <c r="Q467" s="7" t="s">
        <v>90</v>
      </c>
      <c r="R467" s="7" t="s">
        <v>33</v>
      </c>
    </row>
    <row r="468" spans="1:18" s="7" customFormat="1" ht="18" customHeight="1" x14ac:dyDescent="0.35">
      <c r="A468" s="7">
        <v>31</v>
      </c>
      <c r="B468" s="7" t="s">
        <v>662</v>
      </c>
      <c r="C468" s="7">
        <v>2020</v>
      </c>
      <c r="D468" s="7" t="s">
        <v>663</v>
      </c>
      <c r="E468" s="7" t="s">
        <v>664</v>
      </c>
      <c r="F468" s="7" t="s">
        <v>665</v>
      </c>
      <c r="G468" s="7" t="s">
        <v>161</v>
      </c>
      <c r="H468" s="7" t="s">
        <v>666</v>
      </c>
      <c r="I468" s="7">
        <v>46.316248000000002</v>
      </c>
      <c r="J468" s="7">
        <v>-72.559003000000004</v>
      </c>
      <c r="K468" s="7" t="s">
        <v>103</v>
      </c>
      <c r="L468" s="7" t="s">
        <v>163</v>
      </c>
      <c r="M468" s="7" t="s">
        <v>667</v>
      </c>
      <c r="N468" s="51" t="s">
        <v>435</v>
      </c>
      <c r="O468" s="7" t="s">
        <v>90</v>
      </c>
      <c r="P468" s="51" t="s">
        <v>435</v>
      </c>
      <c r="Q468" s="7" t="s">
        <v>90</v>
      </c>
      <c r="R468" s="7" t="s">
        <v>33</v>
      </c>
    </row>
    <row r="469" spans="1:18" s="7" customFormat="1" ht="18" customHeight="1" x14ac:dyDescent="0.35">
      <c r="A469" s="7">
        <v>31</v>
      </c>
      <c r="B469" s="7" t="s">
        <v>662</v>
      </c>
      <c r="C469" s="7">
        <v>2020</v>
      </c>
      <c r="D469" s="7" t="s">
        <v>663</v>
      </c>
      <c r="E469" s="7" t="s">
        <v>664</v>
      </c>
      <c r="F469" s="7" t="s">
        <v>665</v>
      </c>
      <c r="G469" s="7" t="s">
        <v>161</v>
      </c>
      <c r="H469" s="7" t="s">
        <v>666</v>
      </c>
      <c r="I469" s="7">
        <v>46.362488999999997</v>
      </c>
      <c r="J469" s="7">
        <v>-72.493179999999995</v>
      </c>
      <c r="K469" s="7" t="s">
        <v>103</v>
      </c>
      <c r="L469" s="7" t="s">
        <v>163</v>
      </c>
      <c r="M469" s="7" t="s">
        <v>667</v>
      </c>
      <c r="N469" s="51" t="s">
        <v>435</v>
      </c>
      <c r="O469" s="7" t="s">
        <v>90</v>
      </c>
      <c r="P469" s="51" t="s">
        <v>435</v>
      </c>
      <c r="Q469" s="7" t="s">
        <v>90</v>
      </c>
      <c r="R469" s="7" t="s">
        <v>33</v>
      </c>
    </row>
    <row r="470" spans="1:18" s="7" customFormat="1" ht="18" customHeight="1" x14ac:dyDescent="0.35">
      <c r="A470" s="7">
        <v>31</v>
      </c>
      <c r="B470" s="7" t="s">
        <v>662</v>
      </c>
      <c r="C470" s="7">
        <v>2020</v>
      </c>
      <c r="D470" s="7" t="s">
        <v>663</v>
      </c>
      <c r="E470" s="7" t="s">
        <v>664</v>
      </c>
      <c r="F470" s="7" t="s">
        <v>665</v>
      </c>
      <c r="G470" s="7" t="s">
        <v>161</v>
      </c>
      <c r="H470" s="7" t="s">
        <v>666</v>
      </c>
      <c r="I470" s="7">
        <v>46.371254999999998</v>
      </c>
      <c r="J470" s="7">
        <v>-72.460845000000006</v>
      </c>
      <c r="K470" s="7" t="s">
        <v>103</v>
      </c>
      <c r="L470" s="7" t="s">
        <v>163</v>
      </c>
      <c r="M470" s="7" t="s">
        <v>667</v>
      </c>
      <c r="N470" s="51" t="s">
        <v>435</v>
      </c>
      <c r="O470" s="7" t="s">
        <v>90</v>
      </c>
      <c r="P470" s="51" t="s">
        <v>435</v>
      </c>
      <c r="Q470" s="7" t="s">
        <v>90</v>
      </c>
      <c r="R470" s="7" t="s">
        <v>33</v>
      </c>
    </row>
    <row r="471" spans="1:18" s="7" customFormat="1" ht="18" customHeight="1" x14ac:dyDescent="0.35">
      <c r="A471" s="7">
        <v>31</v>
      </c>
      <c r="B471" s="7" t="s">
        <v>662</v>
      </c>
      <c r="C471" s="7">
        <v>2020</v>
      </c>
      <c r="D471" s="7" t="s">
        <v>663</v>
      </c>
      <c r="E471" s="7" t="s">
        <v>664</v>
      </c>
      <c r="F471" s="7" t="s">
        <v>665</v>
      </c>
      <c r="G471" s="7" t="s">
        <v>161</v>
      </c>
      <c r="H471" s="7" t="s">
        <v>666</v>
      </c>
      <c r="I471" s="7">
        <v>46.404708999999997</v>
      </c>
      <c r="J471" s="7">
        <v>-72.364997000000002</v>
      </c>
      <c r="K471" s="7" t="s">
        <v>103</v>
      </c>
      <c r="L471" s="7" t="s">
        <v>163</v>
      </c>
      <c r="M471" s="7" t="s">
        <v>667</v>
      </c>
      <c r="N471" s="51" t="s">
        <v>435</v>
      </c>
      <c r="O471" s="7" t="s">
        <v>90</v>
      </c>
      <c r="P471" s="51" t="s">
        <v>435</v>
      </c>
      <c r="Q471" s="7" t="s">
        <v>90</v>
      </c>
      <c r="R471" s="7" t="s">
        <v>33</v>
      </c>
    </row>
    <row r="472" spans="1:18" s="7" customFormat="1" ht="18" customHeight="1" x14ac:dyDescent="0.35">
      <c r="A472" s="7">
        <v>31</v>
      </c>
      <c r="B472" s="7" t="s">
        <v>662</v>
      </c>
      <c r="C472" s="7">
        <v>2020</v>
      </c>
      <c r="D472" s="7" t="s">
        <v>663</v>
      </c>
      <c r="E472" s="7" t="s">
        <v>664</v>
      </c>
      <c r="F472" s="7" t="s">
        <v>665</v>
      </c>
      <c r="G472" s="7" t="s">
        <v>161</v>
      </c>
      <c r="H472" s="7" t="s">
        <v>666</v>
      </c>
      <c r="I472" s="7">
        <v>46.420344</v>
      </c>
      <c r="J472" s="7">
        <v>-72.282331999999997</v>
      </c>
      <c r="K472" s="7" t="s">
        <v>103</v>
      </c>
      <c r="L472" s="7" t="s">
        <v>163</v>
      </c>
      <c r="M472" s="7" t="s">
        <v>667</v>
      </c>
      <c r="N472" s="51" t="s">
        <v>435</v>
      </c>
      <c r="O472" s="7" t="s">
        <v>90</v>
      </c>
      <c r="P472" s="51" t="s">
        <v>435</v>
      </c>
      <c r="Q472" s="7" t="s">
        <v>90</v>
      </c>
      <c r="R472" s="7" t="s">
        <v>33</v>
      </c>
    </row>
    <row r="473" spans="1:18" s="7" customFormat="1" ht="18" customHeight="1" x14ac:dyDescent="0.35">
      <c r="A473" s="7">
        <v>31</v>
      </c>
      <c r="B473" s="7" t="s">
        <v>662</v>
      </c>
      <c r="C473" s="7">
        <v>2020</v>
      </c>
      <c r="D473" s="7" t="s">
        <v>663</v>
      </c>
      <c r="E473" s="7" t="s">
        <v>664</v>
      </c>
      <c r="F473" s="7" t="s">
        <v>665</v>
      </c>
      <c r="G473" s="7" t="s">
        <v>161</v>
      </c>
      <c r="H473" s="7" t="s">
        <v>666</v>
      </c>
      <c r="I473" s="7">
        <v>46.470474000000003</v>
      </c>
      <c r="J473" s="7">
        <v>-72.223437000000004</v>
      </c>
      <c r="K473" s="7" t="s">
        <v>103</v>
      </c>
      <c r="L473" s="7" t="s">
        <v>163</v>
      </c>
      <c r="M473" s="7" t="s">
        <v>667</v>
      </c>
      <c r="N473" s="51" t="s">
        <v>435</v>
      </c>
      <c r="O473" s="7" t="s">
        <v>90</v>
      </c>
      <c r="P473" s="51" t="s">
        <v>435</v>
      </c>
      <c r="Q473" s="7" t="s">
        <v>90</v>
      </c>
      <c r="R473" s="7" t="s">
        <v>33</v>
      </c>
    </row>
    <row r="474" spans="1:18" s="7" customFormat="1" ht="18" customHeight="1" x14ac:dyDescent="0.35">
      <c r="A474" s="7">
        <v>31</v>
      </c>
      <c r="B474" s="7" t="s">
        <v>662</v>
      </c>
      <c r="C474" s="7">
        <v>2020</v>
      </c>
      <c r="D474" s="7" t="s">
        <v>663</v>
      </c>
      <c r="E474" s="7" t="s">
        <v>664</v>
      </c>
      <c r="F474" s="7" t="s">
        <v>665</v>
      </c>
      <c r="G474" s="7" t="s">
        <v>161</v>
      </c>
      <c r="H474" s="7" t="s">
        <v>666</v>
      </c>
      <c r="I474" s="7">
        <v>46.584088000000001</v>
      </c>
      <c r="J474" s="7">
        <v>-72.059455999999997</v>
      </c>
      <c r="K474" s="7" t="s">
        <v>103</v>
      </c>
      <c r="L474" s="7" t="s">
        <v>163</v>
      </c>
      <c r="M474" s="7" t="s">
        <v>667</v>
      </c>
      <c r="N474" s="51" t="s">
        <v>435</v>
      </c>
      <c r="O474" s="7" t="s">
        <v>90</v>
      </c>
      <c r="P474" s="51" t="s">
        <v>435</v>
      </c>
      <c r="Q474" s="7" t="s">
        <v>90</v>
      </c>
      <c r="R474" s="7" t="s">
        <v>33</v>
      </c>
    </row>
    <row r="475" spans="1:18" s="7" customFormat="1" ht="18" customHeight="1" x14ac:dyDescent="0.35">
      <c r="A475" s="7">
        <v>31</v>
      </c>
      <c r="B475" s="7" t="s">
        <v>662</v>
      </c>
      <c r="C475" s="7">
        <v>2020</v>
      </c>
      <c r="D475" s="7" t="s">
        <v>663</v>
      </c>
      <c r="E475" s="7" t="s">
        <v>664</v>
      </c>
      <c r="F475" s="7" t="s">
        <v>665</v>
      </c>
      <c r="G475" s="7" t="s">
        <v>161</v>
      </c>
      <c r="H475" s="7" t="s">
        <v>666</v>
      </c>
      <c r="I475" s="7">
        <v>46.612653000000002</v>
      </c>
      <c r="J475" s="7">
        <v>-71.999407000000005</v>
      </c>
      <c r="K475" s="7" t="s">
        <v>103</v>
      </c>
      <c r="L475" s="7" t="s">
        <v>163</v>
      </c>
      <c r="M475" s="7" t="s">
        <v>667</v>
      </c>
      <c r="N475" s="51" t="s">
        <v>435</v>
      </c>
      <c r="O475" s="7" t="s">
        <v>90</v>
      </c>
      <c r="P475" s="51" t="s">
        <v>435</v>
      </c>
      <c r="Q475" s="7" t="s">
        <v>90</v>
      </c>
      <c r="R475" s="7" t="s">
        <v>33</v>
      </c>
    </row>
    <row r="476" spans="1:18" s="7" customFormat="1" ht="18" customHeight="1" x14ac:dyDescent="0.35">
      <c r="A476" s="7">
        <v>31</v>
      </c>
      <c r="B476" s="7" t="s">
        <v>662</v>
      </c>
      <c r="C476" s="7">
        <v>2020</v>
      </c>
      <c r="D476" s="7" t="s">
        <v>663</v>
      </c>
      <c r="E476" s="7" t="s">
        <v>664</v>
      </c>
      <c r="F476" s="7" t="s">
        <v>665</v>
      </c>
      <c r="G476" s="7" t="s">
        <v>161</v>
      </c>
      <c r="H476" s="7" t="s">
        <v>666</v>
      </c>
      <c r="I476" s="7">
        <v>46.690337</v>
      </c>
      <c r="J476" s="7">
        <v>-71.628718000000006</v>
      </c>
      <c r="K476" s="7" t="s">
        <v>103</v>
      </c>
      <c r="L476" s="7" t="s">
        <v>163</v>
      </c>
      <c r="M476" s="7" t="s">
        <v>667</v>
      </c>
      <c r="N476" s="51" t="s">
        <v>435</v>
      </c>
      <c r="O476" s="7" t="s">
        <v>90</v>
      </c>
      <c r="P476" s="51" t="s">
        <v>435</v>
      </c>
      <c r="Q476" s="7" t="s">
        <v>90</v>
      </c>
      <c r="R476" s="7" t="s">
        <v>33</v>
      </c>
    </row>
    <row r="477" spans="1:18" s="7" customFormat="1" ht="18" customHeight="1" x14ac:dyDescent="0.35">
      <c r="A477" s="7">
        <v>31</v>
      </c>
      <c r="B477" s="7" t="s">
        <v>662</v>
      </c>
      <c r="C477" s="7">
        <v>2020</v>
      </c>
      <c r="D477" s="7" t="s">
        <v>663</v>
      </c>
      <c r="E477" s="7" t="s">
        <v>664</v>
      </c>
      <c r="F477" s="7" t="s">
        <v>665</v>
      </c>
      <c r="G477" s="7" t="s">
        <v>161</v>
      </c>
      <c r="H477" s="7" t="s">
        <v>666</v>
      </c>
      <c r="I477" s="7">
        <v>46.769491000000002</v>
      </c>
      <c r="J477" s="7">
        <v>-71.232623000000004</v>
      </c>
      <c r="K477" s="7" t="s">
        <v>103</v>
      </c>
      <c r="L477" s="7" t="s">
        <v>163</v>
      </c>
      <c r="M477" s="7" t="s">
        <v>667</v>
      </c>
      <c r="N477" s="51" t="s">
        <v>435</v>
      </c>
      <c r="O477" s="7" t="s">
        <v>90</v>
      </c>
      <c r="P477" s="51" t="s">
        <v>435</v>
      </c>
      <c r="Q477" s="7" t="s">
        <v>90</v>
      </c>
      <c r="R477" s="7" t="s">
        <v>33</v>
      </c>
    </row>
    <row r="478" spans="1:18" s="7" customFormat="1" ht="18" customHeight="1" x14ac:dyDescent="0.35">
      <c r="A478" s="7">
        <v>31</v>
      </c>
      <c r="B478" s="7" t="s">
        <v>662</v>
      </c>
      <c r="C478" s="7">
        <v>2020</v>
      </c>
      <c r="D478" s="7" t="s">
        <v>663</v>
      </c>
      <c r="E478" s="7" t="s">
        <v>664</v>
      </c>
      <c r="F478" s="7" t="s">
        <v>665</v>
      </c>
      <c r="G478" s="7" t="s">
        <v>161</v>
      </c>
      <c r="H478" s="7" t="s">
        <v>666</v>
      </c>
      <c r="I478" s="7">
        <v>46.854056999999997</v>
      </c>
      <c r="J478" s="7">
        <v>-71.172573999999997</v>
      </c>
      <c r="K478" s="7" t="s">
        <v>103</v>
      </c>
      <c r="L478" s="7" t="s">
        <v>163</v>
      </c>
      <c r="M478" s="7" t="s">
        <v>667</v>
      </c>
      <c r="N478" s="51" t="s">
        <v>435</v>
      </c>
      <c r="O478" s="7" t="s">
        <v>90</v>
      </c>
      <c r="P478" s="51" t="s">
        <v>435</v>
      </c>
      <c r="Q478" s="7" t="s">
        <v>90</v>
      </c>
      <c r="R478" s="7" t="s">
        <v>33</v>
      </c>
    </row>
    <row r="479" spans="1:18" s="7" customFormat="1" ht="18" customHeight="1" x14ac:dyDescent="0.35">
      <c r="A479" s="7">
        <v>32</v>
      </c>
      <c r="B479" s="7" t="s">
        <v>670</v>
      </c>
      <c r="C479" s="7">
        <v>2020</v>
      </c>
      <c r="D479" s="7" t="s">
        <v>619</v>
      </c>
      <c r="E479" s="7" t="s">
        <v>671</v>
      </c>
      <c r="F479" s="7" t="s">
        <v>672</v>
      </c>
      <c r="G479" s="7" t="s">
        <v>86</v>
      </c>
      <c r="H479" s="7" t="s">
        <v>673</v>
      </c>
      <c r="I479" s="7">
        <v>41.9</v>
      </c>
      <c r="J479" s="10" t="s">
        <v>674</v>
      </c>
      <c r="K479" s="7" t="s">
        <v>41</v>
      </c>
      <c r="L479" s="7" t="s">
        <v>28</v>
      </c>
      <c r="M479" s="7" t="s">
        <v>675</v>
      </c>
      <c r="N479" s="7">
        <v>0.67749999999999999</v>
      </c>
      <c r="O479" s="7" t="s">
        <v>44</v>
      </c>
      <c r="P479" s="7">
        <f t="shared" ref="P479:P510" si="3">N479*1000</f>
        <v>677.5</v>
      </c>
      <c r="Q479" s="7" t="s">
        <v>31</v>
      </c>
      <c r="R479" s="7" t="s">
        <v>677</v>
      </c>
    </row>
    <row r="480" spans="1:18" s="7" customFormat="1" ht="18" customHeight="1" x14ac:dyDescent="0.35">
      <c r="A480" s="7">
        <v>32</v>
      </c>
      <c r="B480" s="7" t="s">
        <v>670</v>
      </c>
      <c r="C480" s="7">
        <v>2020</v>
      </c>
      <c r="D480" s="7" t="s">
        <v>619</v>
      </c>
      <c r="E480" s="7" t="s">
        <v>671</v>
      </c>
      <c r="F480" s="7" t="s">
        <v>672</v>
      </c>
      <c r="G480" s="7" t="s">
        <v>86</v>
      </c>
      <c r="H480" s="7" t="s">
        <v>678</v>
      </c>
      <c r="I480" s="7">
        <v>41.75</v>
      </c>
      <c r="J480" s="10" t="s">
        <v>679</v>
      </c>
      <c r="K480" s="7" t="s">
        <v>41</v>
      </c>
      <c r="L480" s="7" t="s">
        <v>28</v>
      </c>
      <c r="M480" s="7" t="s">
        <v>675</v>
      </c>
      <c r="N480" s="7">
        <v>0.67749999999999999</v>
      </c>
      <c r="O480" s="7" t="s">
        <v>44</v>
      </c>
      <c r="P480" s="7">
        <f t="shared" si="3"/>
        <v>677.5</v>
      </c>
      <c r="Q480" s="7" t="s">
        <v>31</v>
      </c>
      <c r="R480" s="7" t="s">
        <v>677</v>
      </c>
    </row>
    <row r="481" spans="1:23" s="7" customFormat="1" ht="18" customHeight="1" x14ac:dyDescent="0.35">
      <c r="A481" s="7">
        <v>32</v>
      </c>
      <c r="B481" s="7" t="s">
        <v>670</v>
      </c>
      <c r="C481" s="7">
        <v>2020</v>
      </c>
      <c r="D481" s="7" t="s">
        <v>619</v>
      </c>
      <c r="E481" s="7" t="s">
        <v>671</v>
      </c>
      <c r="F481" s="7" t="s">
        <v>672</v>
      </c>
      <c r="G481" s="7" t="s">
        <v>86</v>
      </c>
      <c r="H481" s="7" t="s">
        <v>680</v>
      </c>
      <c r="I481" s="7">
        <v>41.78</v>
      </c>
      <c r="J481" s="10" t="s">
        <v>681</v>
      </c>
      <c r="K481" s="7" t="s">
        <v>41</v>
      </c>
      <c r="L481" s="7" t="s">
        <v>28</v>
      </c>
      <c r="M481" s="7" t="s">
        <v>675</v>
      </c>
      <c r="N481" s="7">
        <v>0.67749999999999999</v>
      </c>
      <c r="O481" s="7" t="s">
        <v>44</v>
      </c>
      <c r="P481" s="7">
        <f t="shared" si="3"/>
        <v>677.5</v>
      </c>
      <c r="Q481" s="7" t="s">
        <v>31</v>
      </c>
      <c r="R481" s="7" t="s">
        <v>677</v>
      </c>
    </row>
    <row r="482" spans="1:23" s="7" customFormat="1" ht="18" customHeight="1" x14ac:dyDescent="0.35">
      <c r="A482" s="7">
        <v>32</v>
      </c>
      <c r="B482" s="7" t="s">
        <v>670</v>
      </c>
      <c r="C482" s="7">
        <v>2020</v>
      </c>
      <c r="D482" s="7" t="s">
        <v>619</v>
      </c>
      <c r="E482" s="7" t="s">
        <v>671</v>
      </c>
      <c r="F482" s="7" t="s">
        <v>672</v>
      </c>
      <c r="G482" s="7" t="s">
        <v>86</v>
      </c>
      <c r="H482" s="7" t="s">
        <v>682</v>
      </c>
      <c r="I482" s="7">
        <v>41.9</v>
      </c>
      <c r="J482" s="10" t="s">
        <v>683</v>
      </c>
      <c r="K482" s="7" t="s">
        <v>41</v>
      </c>
      <c r="L482" s="7" t="s">
        <v>28</v>
      </c>
      <c r="M482" s="7" t="s">
        <v>675</v>
      </c>
      <c r="N482" s="7">
        <v>0.67749999999999999</v>
      </c>
      <c r="O482" s="7" t="s">
        <v>44</v>
      </c>
      <c r="P482" s="7">
        <f t="shared" si="3"/>
        <v>677.5</v>
      </c>
      <c r="Q482" s="7" t="s">
        <v>31</v>
      </c>
      <c r="R482" s="7" t="s">
        <v>677</v>
      </c>
    </row>
    <row r="483" spans="1:23" s="7" customFormat="1" ht="18" customHeight="1" x14ac:dyDescent="0.35">
      <c r="A483" s="7">
        <v>32</v>
      </c>
      <c r="B483" s="7" t="s">
        <v>670</v>
      </c>
      <c r="C483" s="7">
        <v>2020</v>
      </c>
      <c r="D483" s="7" t="s">
        <v>619</v>
      </c>
      <c r="E483" s="7" t="s">
        <v>671</v>
      </c>
      <c r="F483" s="7" t="s">
        <v>672</v>
      </c>
      <c r="G483" s="7" t="s">
        <v>86</v>
      </c>
      <c r="H483" s="7" t="s">
        <v>684</v>
      </c>
      <c r="I483" s="7">
        <v>42.18</v>
      </c>
      <c r="J483" s="10" t="s">
        <v>685</v>
      </c>
      <c r="K483" s="7" t="s">
        <v>41</v>
      </c>
      <c r="L483" s="7" t="s">
        <v>28</v>
      </c>
      <c r="M483" s="7" t="s">
        <v>675</v>
      </c>
      <c r="N483" s="7">
        <v>0.67749999999999999</v>
      </c>
      <c r="O483" s="7" t="s">
        <v>44</v>
      </c>
      <c r="P483" s="7">
        <f t="shared" si="3"/>
        <v>677.5</v>
      </c>
      <c r="Q483" s="7" t="s">
        <v>31</v>
      </c>
      <c r="R483" s="7" t="s">
        <v>677</v>
      </c>
    </row>
    <row r="484" spans="1:23" s="7" customFormat="1" ht="18" customHeight="1" x14ac:dyDescent="0.35">
      <c r="A484" s="7">
        <v>32</v>
      </c>
      <c r="B484" s="7" t="s">
        <v>670</v>
      </c>
      <c r="C484" s="7">
        <v>2020</v>
      </c>
      <c r="D484" s="7" t="s">
        <v>619</v>
      </c>
      <c r="E484" s="7" t="s">
        <v>671</v>
      </c>
      <c r="F484" s="7" t="s">
        <v>672</v>
      </c>
      <c r="G484" s="7" t="s">
        <v>86</v>
      </c>
      <c r="H484" s="7" t="s">
        <v>686</v>
      </c>
      <c r="I484" s="7">
        <v>42.24</v>
      </c>
      <c r="J484" s="10" t="s">
        <v>687</v>
      </c>
      <c r="K484" s="7" t="s">
        <v>41</v>
      </c>
      <c r="L484" s="7" t="s">
        <v>28</v>
      </c>
      <c r="M484" s="7" t="s">
        <v>675</v>
      </c>
      <c r="N484" s="7">
        <v>0.67749999999999999</v>
      </c>
      <c r="O484" s="7" t="s">
        <v>44</v>
      </c>
      <c r="P484" s="7">
        <f t="shared" si="3"/>
        <v>677.5</v>
      </c>
      <c r="Q484" s="7" t="s">
        <v>31</v>
      </c>
      <c r="R484" s="7" t="s">
        <v>677</v>
      </c>
    </row>
    <row r="485" spans="1:23" s="7" customFormat="1" ht="18" customHeight="1" x14ac:dyDescent="0.35">
      <c r="A485" s="7">
        <v>32</v>
      </c>
      <c r="B485" s="7" t="s">
        <v>670</v>
      </c>
      <c r="C485" s="7">
        <v>2020</v>
      </c>
      <c r="D485" s="7" t="s">
        <v>619</v>
      </c>
      <c r="E485" s="7" t="s">
        <v>671</v>
      </c>
      <c r="F485" s="7" t="s">
        <v>672</v>
      </c>
      <c r="G485" s="7" t="s">
        <v>86</v>
      </c>
      <c r="H485" s="7" t="s">
        <v>688</v>
      </c>
      <c r="I485" s="7">
        <v>42.39</v>
      </c>
      <c r="J485" s="10" t="s">
        <v>689</v>
      </c>
      <c r="K485" s="7" t="s">
        <v>41</v>
      </c>
      <c r="L485" s="7" t="s">
        <v>28</v>
      </c>
      <c r="M485" s="7" t="s">
        <v>675</v>
      </c>
      <c r="N485" s="7">
        <v>0.67749999999999999</v>
      </c>
      <c r="O485" s="7" t="s">
        <v>44</v>
      </c>
      <c r="P485" s="7">
        <f t="shared" si="3"/>
        <v>677.5</v>
      </c>
      <c r="Q485" s="7" t="s">
        <v>31</v>
      </c>
      <c r="R485" s="7" t="s">
        <v>677</v>
      </c>
    </row>
    <row r="486" spans="1:23" s="7" customFormat="1" ht="18" customHeight="1" x14ac:dyDescent="0.35">
      <c r="A486" s="7">
        <v>32</v>
      </c>
      <c r="B486" s="7" t="s">
        <v>670</v>
      </c>
      <c r="C486" s="7">
        <v>2020</v>
      </c>
      <c r="D486" s="7" t="s">
        <v>619</v>
      </c>
      <c r="E486" s="7" t="s">
        <v>671</v>
      </c>
      <c r="F486" s="7" t="s">
        <v>672</v>
      </c>
      <c r="G486" s="7" t="s">
        <v>86</v>
      </c>
      <c r="H486" s="7" t="s">
        <v>690</v>
      </c>
      <c r="I486" s="7">
        <v>42.3</v>
      </c>
      <c r="J486" s="10" t="s">
        <v>691</v>
      </c>
      <c r="K486" s="7" t="s">
        <v>41</v>
      </c>
      <c r="L486" s="7" t="s">
        <v>28</v>
      </c>
      <c r="M486" s="7" t="s">
        <v>675</v>
      </c>
      <c r="N486" s="7">
        <v>0.67749999999999999</v>
      </c>
      <c r="O486" s="7" t="s">
        <v>44</v>
      </c>
      <c r="P486" s="7">
        <f t="shared" si="3"/>
        <v>677.5</v>
      </c>
      <c r="Q486" s="7" t="s">
        <v>31</v>
      </c>
      <c r="R486" s="7" t="s">
        <v>677</v>
      </c>
      <c r="S486" s="58"/>
      <c r="T486" s="58"/>
    </row>
    <row r="487" spans="1:23" s="7" customFormat="1" ht="18" customHeight="1" x14ac:dyDescent="0.35">
      <c r="A487" s="7">
        <v>32</v>
      </c>
      <c r="B487" s="7" t="s">
        <v>670</v>
      </c>
      <c r="C487" s="7">
        <v>2020</v>
      </c>
      <c r="D487" s="7" t="s">
        <v>619</v>
      </c>
      <c r="E487" s="7" t="s">
        <v>671</v>
      </c>
      <c r="F487" s="7" t="s">
        <v>672</v>
      </c>
      <c r="G487" s="7" t="s">
        <v>86</v>
      </c>
      <c r="H487" s="7" t="s">
        <v>692</v>
      </c>
      <c r="I487" s="7">
        <v>42.69</v>
      </c>
      <c r="J487" s="10" t="s">
        <v>693</v>
      </c>
      <c r="K487" s="7" t="s">
        <v>41</v>
      </c>
      <c r="L487" s="7" t="s">
        <v>28</v>
      </c>
      <c r="M487" s="7" t="s">
        <v>675</v>
      </c>
      <c r="N487" s="7">
        <v>0.67749999999999999</v>
      </c>
      <c r="O487" s="7" t="s">
        <v>44</v>
      </c>
      <c r="P487" s="7">
        <f t="shared" si="3"/>
        <v>677.5</v>
      </c>
      <c r="Q487" s="7" t="s">
        <v>31</v>
      </c>
      <c r="R487" s="7" t="s">
        <v>677</v>
      </c>
    </row>
    <row r="488" spans="1:23" s="7" customFormat="1" ht="18" customHeight="1" x14ac:dyDescent="0.35">
      <c r="A488" s="7">
        <v>32</v>
      </c>
      <c r="B488" s="7" t="s">
        <v>670</v>
      </c>
      <c r="C488" s="7">
        <v>2020</v>
      </c>
      <c r="D488" s="7" t="s">
        <v>619</v>
      </c>
      <c r="E488" s="7" t="s">
        <v>671</v>
      </c>
      <c r="F488" s="7" t="s">
        <v>672</v>
      </c>
      <c r="G488" s="7" t="s">
        <v>86</v>
      </c>
      <c r="H488" s="7" t="s">
        <v>694</v>
      </c>
      <c r="I488" s="7">
        <v>42.85</v>
      </c>
      <c r="J488" s="10" t="s">
        <v>695</v>
      </c>
      <c r="K488" s="7" t="s">
        <v>41</v>
      </c>
      <c r="L488" s="7" t="s">
        <v>28</v>
      </c>
      <c r="M488" s="7" t="s">
        <v>675</v>
      </c>
      <c r="N488" s="7">
        <v>0.67749999999999999</v>
      </c>
      <c r="O488" s="7" t="s">
        <v>44</v>
      </c>
      <c r="P488" s="7">
        <f t="shared" si="3"/>
        <v>677.5</v>
      </c>
      <c r="Q488" s="7" t="s">
        <v>31</v>
      </c>
      <c r="R488" s="7" t="s">
        <v>677</v>
      </c>
      <c r="S488" s="58"/>
      <c r="T488" s="58"/>
    </row>
    <row r="489" spans="1:23" s="7" customFormat="1" ht="18" customHeight="1" x14ac:dyDescent="0.35">
      <c r="A489" s="7">
        <v>32</v>
      </c>
      <c r="B489" s="7" t="s">
        <v>670</v>
      </c>
      <c r="C489" s="7">
        <v>2020</v>
      </c>
      <c r="D489" s="7" t="s">
        <v>619</v>
      </c>
      <c r="E489" s="7" t="s">
        <v>671</v>
      </c>
      <c r="F489" s="7" t="s">
        <v>672</v>
      </c>
      <c r="G489" s="7" t="s">
        <v>86</v>
      </c>
      <c r="H489" s="7" t="s">
        <v>696</v>
      </c>
      <c r="I489" s="7">
        <v>41.88</v>
      </c>
      <c r="J489" s="10" t="s">
        <v>697</v>
      </c>
      <c r="K489" s="7" t="s">
        <v>41</v>
      </c>
      <c r="L489" s="7" t="s">
        <v>28</v>
      </c>
      <c r="M489" s="7" t="s">
        <v>675</v>
      </c>
      <c r="N489" s="7">
        <v>0.67749999999999999</v>
      </c>
      <c r="O489" s="7" t="s">
        <v>44</v>
      </c>
      <c r="P489" s="7">
        <f t="shared" si="3"/>
        <v>677.5</v>
      </c>
      <c r="Q489" s="7" t="s">
        <v>31</v>
      </c>
      <c r="R489" s="7" t="s">
        <v>677</v>
      </c>
    </row>
    <row r="490" spans="1:23" s="7" customFormat="1" ht="18" customHeight="1" x14ac:dyDescent="0.35">
      <c r="A490" s="7">
        <v>32</v>
      </c>
      <c r="B490" s="7" t="s">
        <v>670</v>
      </c>
      <c r="C490" s="7">
        <v>2020</v>
      </c>
      <c r="D490" s="7" t="s">
        <v>619</v>
      </c>
      <c r="E490" s="7" t="s">
        <v>671</v>
      </c>
      <c r="F490" s="7" t="s">
        <v>672</v>
      </c>
      <c r="G490" s="7" t="s">
        <v>86</v>
      </c>
      <c r="H490" s="7" t="s">
        <v>698</v>
      </c>
      <c r="I490" s="7">
        <v>42.1</v>
      </c>
      <c r="J490" s="10" t="s">
        <v>699</v>
      </c>
      <c r="K490" s="7" t="s">
        <v>41</v>
      </c>
      <c r="L490" s="7" t="s">
        <v>28</v>
      </c>
      <c r="M490" s="7" t="s">
        <v>675</v>
      </c>
      <c r="N490" s="7">
        <v>0.67749999999999999</v>
      </c>
      <c r="O490" s="7" t="s">
        <v>44</v>
      </c>
      <c r="P490" s="7">
        <f t="shared" si="3"/>
        <v>677.5</v>
      </c>
      <c r="Q490" s="7" t="s">
        <v>31</v>
      </c>
      <c r="R490" s="7" t="s">
        <v>677</v>
      </c>
      <c r="S490" s="58"/>
      <c r="T490" s="58"/>
    </row>
    <row r="491" spans="1:23" s="7" customFormat="1" ht="18" customHeight="1" x14ac:dyDescent="0.35">
      <c r="A491" s="7">
        <v>32</v>
      </c>
      <c r="B491" s="7" t="s">
        <v>670</v>
      </c>
      <c r="C491" s="7">
        <v>2020</v>
      </c>
      <c r="D491" s="7" t="s">
        <v>619</v>
      </c>
      <c r="E491" s="7" t="s">
        <v>671</v>
      </c>
      <c r="F491" s="7" t="s">
        <v>672</v>
      </c>
      <c r="G491" s="7" t="s">
        <v>86</v>
      </c>
      <c r="H491" s="7" t="s">
        <v>700</v>
      </c>
      <c r="I491" s="7">
        <v>42.49</v>
      </c>
      <c r="J491" s="10" t="s">
        <v>701</v>
      </c>
      <c r="K491" s="7" t="s">
        <v>41</v>
      </c>
      <c r="L491" s="7" t="s">
        <v>28</v>
      </c>
      <c r="M491" s="7" t="s">
        <v>675</v>
      </c>
      <c r="N491" s="7">
        <v>0.67749999999999999</v>
      </c>
      <c r="O491" s="7" t="s">
        <v>44</v>
      </c>
      <c r="P491" s="7">
        <f t="shared" si="3"/>
        <v>677.5</v>
      </c>
      <c r="Q491" s="7" t="s">
        <v>31</v>
      </c>
      <c r="R491" s="7" t="s">
        <v>677</v>
      </c>
      <c r="S491" s="58"/>
      <c r="T491" s="58"/>
    </row>
    <row r="492" spans="1:23" s="7" customFormat="1" ht="18" customHeight="1" x14ac:dyDescent="0.35">
      <c r="A492" s="7">
        <v>32</v>
      </c>
      <c r="B492" s="7" t="s">
        <v>670</v>
      </c>
      <c r="C492" s="7">
        <v>2020</v>
      </c>
      <c r="D492" s="7" t="s">
        <v>619</v>
      </c>
      <c r="E492" s="7" t="s">
        <v>671</v>
      </c>
      <c r="F492" s="7" t="s">
        <v>672</v>
      </c>
      <c r="G492" s="7" t="s">
        <v>86</v>
      </c>
      <c r="H492" s="7" t="s">
        <v>702</v>
      </c>
      <c r="I492" s="7">
        <v>41.95</v>
      </c>
      <c r="J492" s="10" t="s">
        <v>703</v>
      </c>
      <c r="K492" s="7" t="s">
        <v>41</v>
      </c>
      <c r="L492" s="7" t="s">
        <v>28</v>
      </c>
      <c r="M492" s="7" t="s">
        <v>675</v>
      </c>
      <c r="N492" s="7">
        <v>0.67749999999999999</v>
      </c>
      <c r="O492" s="7" t="s">
        <v>44</v>
      </c>
      <c r="P492" s="7">
        <f t="shared" si="3"/>
        <v>677.5</v>
      </c>
      <c r="Q492" s="7" t="s">
        <v>31</v>
      </c>
      <c r="R492" s="7" t="s">
        <v>677</v>
      </c>
      <c r="S492" s="58"/>
      <c r="T492" s="58"/>
    </row>
    <row r="493" spans="1:23" s="7" customFormat="1" ht="18" customHeight="1" x14ac:dyDescent="0.35">
      <c r="A493" s="7">
        <v>32</v>
      </c>
      <c r="B493" s="7" t="s">
        <v>670</v>
      </c>
      <c r="C493" s="7">
        <v>2020</v>
      </c>
      <c r="D493" s="7" t="s">
        <v>619</v>
      </c>
      <c r="E493" s="7" t="s">
        <v>671</v>
      </c>
      <c r="F493" s="7" t="s">
        <v>672</v>
      </c>
      <c r="G493" s="7" t="s">
        <v>86</v>
      </c>
      <c r="H493" s="7" t="s">
        <v>704</v>
      </c>
      <c r="I493" s="7">
        <v>41.6</v>
      </c>
      <c r="J493" s="10" t="s">
        <v>705</v>
      </c>
      <c r="K493" s="7" t="s">
        <v>41</v>
      </c>
      <c r="L493" s="7" t="s">
        <v>28</v>
      </c>
      <c r="M493" s="7" t="s">
        <v>675</v>
      </c>
      <c r="N493" s="7">
        <v>0.67749999999999999</v>
      </c>
      <c r="O493" s="7" t="s">
        <v>44</v>
      </c>
      <c r="P493" s="7">
        <f t="shared" si="3"/>
        <v>677.5</v>
      </c>
      <c r="Q493" s="7" t="s">
        <v>31</v>
      </c>
      <c r="R493" s="7" t="s">
        <v>677</v>
      </c>
      <c r="U493" s="11"/>
      <c r="V493" s="11"/>
      <c r="W493" s="11"/>
    </row>
    <row r="494" spans="1:23" s="7" customFormat="1" ht="18" customHeight="1" x14ac:dyDescent="0.35">
      <c r="A494" s="7">
        <v>32</v>
      </c>
      <c r="B494" s="7" t="s">
        <v>670</v>
      </c>
      <c r="C494" s="7">
        <v>2020</v>
      </c>
      <c r="D494" s="7" t="s">
        <v>619</v>
      </c>
      <c r="E494" s="7" t="s">
        <v>671</v>
      </c>
      <c r="F494" s="7" t="s">
        <v>672</v>
      </c>
      <c r="G494" s="7" t="s">
        <v>86</v>
      </c>
      <c r="H494" s="7" t="s">
        <v>706</v>
      </c>
      <c r="I494" s="7">
        <v>42.49</v>
      </c>
      <c r="J494" s="10" t="s">
        <v>707</v>
      </c>
      <c r="K494" s="7" t="s">
        <v>41</v>
      </c>
      <c r="L494" s="7" t="s">
        <v>28</v>
      </c>
      <c r="M494" s="7" t="s">
        <v>675</v>
      </c>
      <c r="N494" s="7">
        <v>0.67749999999999999</v>
      </c>
      <c r="O494" s="7" t="s">
        <v>44</v>
      </c>
      <c r="P494" s="7">
        <f t="shared" si="3"/>
        <v>677.5</v>
      </c>
      <c r="Q494" s="7" t="s">
        <v>31</v>
      </c>
      <c r="R494" s="7" t="s">
        <v>677</v>
      </c>
    </row>
    <row r="495" spans="1:23" s="7" customFormat="1" ht="18" customHeight="1" x14ac:dyDescent="0.35">
      <c r="A495" s="7">
        <v>32</v>
      </c>
      <c r="B495" s="7" t="s">
        <v>670</v>
      </c>
      <c r="C495" s="7">
        <v>2020</v>
      </c>
      <c r="D495" s="7" t="s">
        <v>619</v>
      </c>
      <c r="E495" s="7" t="s">
        <v>671</v>
      </c>
      <c r="F495" s="7" t="s">
        <v>672</v>
      </c>
      <c r="G495" s="7" t="s">
        <v>86</v>
      </c>
      <c r="H495" s="7" t="s">
        <v>708</v>
      </c>
      <c r="I495" s="7">
        <v>43.34</v>
      </c>
      <c r="J495" s="10" t="s">
        <v>709</v>
      </c>
      <c r="K495" s="7" t="s">
        <v>41</v>
      </c>
      <c r="L495" s="7" t="s">
        <v>28</v>
      </c>
      <c r="M495" s="7" t="s">
        <v>675</v>
      </c>
      <c r="N495" s="7">
        <v>0.67749999999999999</v>
      </c>
      <c r="O495" s="7" t="s">
        <v>44</v>
      </c>
      <c r="P495" s="7">
        <f t="shared" si="3"/>
        <v>677.5</v>
      </c>
      <c r="Q495" s="7" t="s">
        <v>31</v>
      </c>
      <c r="R495" s="7" t="s">
        <v>677</v>
      </c>
    </row>
    <row r="496" spans="1:23" s="7" customFormat="1" ht="18" customHeight="1" x14ac:dyDescent="0.35">
      <c r="A496" s="7">
        <v>32</v>
      </c>
      <c r="B496" s="7" t="s">
        <v>670</v>
      </c>
      <c r="C496" s="7">
        <v>2020</v>
      </c>
      <c r="D496" s="7" t="s">
        <v>619</v>
      </c>
      <c r="E496" s="7" t="s">
        <v>671</v>
      </c>
      <c r="F496" s="7" t="s">
        <v>672</v>
      </c>
      <c r="G496" s="7" t="s">
        <v>86</v>
      </c>
      <c r="H496" s="7" t="s">
        <v>710</v>
      </c>
      <c r="I496" s="7">
        <v>43.33</v>
      </c>
      <c r="J496" s="10" t="s">
        <v>711</v>
      </c>
      <c r="K496" s="7" t="s">
        <v>41</v>
      </c>
      <c r="L496" s="7" t="s">
        <v>28</v>
      </c>
      <c r="M496" s="7" t="s">
        <v>675</v>
      </c>
      <c r="N496" s="7">
        <v>0.67749999999999999</v>
      </c>
      <c r="O496" s="7" t="s">
        <v>44</v>
      </c>
      <c r="P496" s="7">
        <f t="shared" si="3"/>
        <v>677.5</v>
      </c>
      <c r="Q496" s="7" t="s">
        <v>31</v>
      </c>
      <c r="R496" s="7" t="s">
        <v>677</v>
      </c>
    </row>
    <row r="497" spans="1:18" s="7" customFormat="1" x14ac:dyDescent="0.35">
      <c r="A497" s="7">
        <v>32</v>
      </c>
      <c r="B497" s="7" t="s">
        <v>670</v>
      </c>
      <c r="C497" s="7">
        <v>2020</v>
      </c>
      <c r="D497" s="7" t="s">
        <v>619</v>
      </c>
      <c r="E497" s="7" t="s">
        <v>671</v>
      </c>
      <c r="F497" s="7" t="s">
        <v>672</v>
      </c>
      <c r="G497" s="7" t="s">
        <v>86</v>
      </c>
      <c r="H497" s="7" t="s">
        <v>712</v>
      </c>
      <c r="I497" s="7">
        <v>43.21</v>
      </c>
      <c r="J497" s="10" t="s">
        <v>713</v>
      </c>
      <c r="K497" s="7" t="s">
        <v>41</v>
      </c>
      <c r="L497" s="7" t="s">
        <v>28</v>
      </c>
      <c r="M497" s="7" t="s">
        <v>675</v>
      </c>
      <c r="N497" s="7">
        <v>0.67749999999999999</v>
      </c>
      <c r="O497" s="7" t="s">
        <v>44</v>
      </c>
      <c r="P497" s="7">
        <f t="shared" si="3"/>
        <v>677.5</v>
      </c>
      <c r="Q497" s="7" t="s">
        <v>31</v>
      </c>
      <c r="R497" s="7" t="s">
        <v>677</v>
      </c>
    </row>
    <row r="498" spans="1:18" s="7" customFormat="1" x14ac:dyDescent="0.35">
      <c r="A498" s="7">
        <v>32</v>
      </c>
      <c r="B498" s="7" t="s">
        <v>670</v>
      </c>
      <c r="C498" s="7">
        <v>2020</v>
      </c>
      <c r="D498" s="7" t="s">
        <v>619</v>
      </c>
      <c r="E498" s="7" t="s">
        <v>671</v>
      </c>
      <c r="F498" s="7" t="s">
        <v>672</v>
      </c>
      <c r="G498" s="7" t="s">
        <v>86</v>
      </c>
      <c r="H498" s="7" t="s">
        <v>714</v>
      </c>
      <c r="I498" s="7">
        <v>43.25</v>
      </c>
      <c r="J498" s="10" t="s">
        <v>715</v>
      </c>
      <c r="K498" s="7" t="s">
        <v>41</v>
      </c>
      <c r="L498" s="7" t="s">
        <v>28</v>
      </c>
      <c r="M498" s="7" t="s">
        <v>675</v>
      </c>
      <c r="N498" s="7">
        <v>0.67749999999999999</v>
      </c>
      <c r="O498" s="7" t="s">
        <v>44</v>
      </c>
      <c r="P498" s="7">
        <f t="shared" si="3"/>
        <v>677.5</v>
      </c>
      <c r="Q498" s="7" t="s">
        <v>31</v>
      </c>
      <c r="R498" s="7" t="s">
        <v>677</v>
      </c>
    </row>
    <row r="499" spans="1:18" s="7" customFormat="1" x14ac:dyDescent="0.35">
      <c r="A499" s="7">
        <v>32</v>
      </c>
      <c r="B499" s="7" t="s">
        <v>670</v>
      </c>
      <c r="C499" s="7">
        <v>2020</v>
      </c>
      <c r="D499" s="7" t="s">
        <v>619</v>
      </c>
      <c r="E499" s="7" t="s">
        <v>671</v>
      </c>
      <c r="F499" s="7" t="s">
        <v>672</v>
      </c>
      <c r="G499" s="7" t="s">
        <v>86</v>
      </c>
      <c r="H499" s="7" t="s">
        <v>716</v>
      </c>
      <c r="I499" s="7">
        <v>43.3</v>
      </c>
      <c r="J499" s="10" t="s">
        <v>715</v>
      </c>
      <c r="K499" s="7" t="s">
        <v>41</v>
      </c>
      <c r="L499" s="7" t="s">
        <v>28</v>
      </c>
      <c r="M499" s="7" t="s">
        <v>675</v>
      </c>
      <c r="N499" s="7">
        <v>0.67749999999999999</v>
      </c>
      <c r="O499" s="7" t="s">
        <v>44</v>
      </c>
      <c r="P499" s="7">
        <f t="shared" si="3"/>
        <v>677.5</v>
      </c>
      <c r="Q499" s="7" t="s">
        <v>31</v>
      </c>
      <c r="R499" s="7" t="s">
        <v>677</v>
      </c>
    </row>
    <row r="500" spans="1:18" s="7" customFormat="1" x14ac:dyDescent="0.35">
      <c r="A500" s="7">
        <v>32</v>
      </c>
      <c r="B500" s="7" t="s">
        <v>670</v>
      </c>
      <c r="C500" s="7">
        <v>2020</v>
      </c>
      <c r="D500" s="7" t="s">
        <v>619</v>
      </c>
      <c r="E500" s="7" t="s">
        <v>671</v>
      </c>
      <c r="F500" s="7" t="s">
        <v>672</v>
      </c>
      <c r="G500" s="7" t="s">
        <v>86</v>
      </c>
      <c r="H500" s="7" t="s">
        <v>717</v>
      </c>
      <c r="I500" s="7">
        <v>42.63</v>
      </c>
      <c r="J500" s="10" t="s">
        <v>718</v>
      </c>
      <c r="K500" s="7" t="s">
        <v>41</v>
      </c>
      <c r="L500" s="7" t="s">
        <v>28</v>
      </c>
      <c r="M500" s="7" t="s">
        <v>675</v>
      </c>
      <c r="N500" s="7">
        <v>0.67749999999999999</v>
      </c>
      <c r="O500" s="7" t="s">
        <v>44</v>
      </c>
      <c r="P500" s="7">
        <f t="shared" si="3"/>
        <v>677.5</v>
      </c>
      <c r="Q500" s="7" t="s">
        <v>31</v>
      </c>
      <c r="R500" s="7" t="s">
        <v>677</v>
      </c>
    </row>
    <row r="501" spans="1:18" s="7" customFormat="1" x14ac:dyDescent="0.35">
      <c r="A501" s="7">
        <v>32</v>
      </c>
      <c r="B501" s="7" t="s">
        <v>670</v>
      </c>
      <c r="C501" s="7">
        <v>2020</v>
      </c>
      <c r="D501" s="7" t="s">
        <v>619</v>
      </c>
      <c r="E501" s="7" t="s">
        <v>671</v>
      </c>
      <c r="F501" s="7" t="s">
        <v>672</v>
      </c>
      <c r="G501" s="7" t="s">
        <v>86</v>
      </c>
      <c r="H501" s="7" t="s">
        <v>719</v>
      </c>
      <c r="I501" s="7">
        <v>43.57</v>
      </c>
      <c r="J501" s="10" t="s">
        <v>720</v>
      </c>
      <c r="K501" s="7" t="s">
        <v>41</v>
      </c>
      <c r="L501" s="7" t="s">
        <v>28</v>
      </c>
      <c r="M501" s="7" t="s">
        <v>675</v>
      </c>
      <c r="N501" s="7">
        <v>0.67749999999999999</v>
      </c>
      <c r="O501" s="7" t="s">
        <v>44</v>
      </c>
      <c r="P501" s="7">
        <f t="shared" si="3"/>
        <v>677.5</v>
      </c>
      <c r="Q501" s="7" t="s">
        <v>31</v>
      </c>
      <c r="R501" s="7" t="s">
        <v>677</v>
      </c>
    </row>
    <row r="502" spans="1:18" s="7" customFormat="1" x14ac:dyDescent="0.35">
      <c r="A502" s="7">
        <v>32</v>
      </c>
      <c r="B502" s="7" t="s">
        <v>670</v>
      </c>
      <c r="C502" s="7">
        <v>2020</v>
      </c>
      <c r="D502" s="7" t="s">
        <v>619</v>
      </c>
      <c r="E502" s="7" t="s">
        <v>671</v>
      </c>
      <c r="F502" s="7" t="s">
        <v>672</v>
      </c>
      <c r="G502" s="7" t="s">
        <v>86</v>
      </c>
      <c r="H502" s="7" t="s">
        <v>721</v>
      </c>
      <c r="I502" s="7">
        <v>43.73</v>
      </c>
      <c r="J502" s="10" t="s">
        <v>722</v>
      </c>
      <c r="K502" s="7" t="s">
        <v>41</v>
      </c>
      <c r="L502" s="7" t="s">
        <v>28</v>
      </c>
      <c r="M502" s="7" t="s">
        <v>675</v>
      </c>
      <c r="N502" s="7">
        <v>0.67749999999999999</v>
      </c>
      <c r="O502" s="7" t="s">
        <v>44</v>
      </c>
      <c r="P502" s="7">
        <f t="shared" si="3"/>
        <v>677.5</v>
      </c>
      <c r="Q502" s="7" t="s">
        <v>31</v>
      </c>
      <c r="R502" s="7" t="s">
        <v>677</v>
      </c>
    </row>
    <row r="503" spans="1:18" s="7" customFormat="1" x14ac:dyDescent="0.35">
      <c r="A503" s="7">
        <v>32</v>
      </c>
      <c r="B503" s="7" t="s">
        <v>670</v>
      </c>
      <c r="C503" s="7">
        <v>2020</v>
      </c>
      <c r="D503" s="7" t="s">
        <v>619</v>
      </c>
      <c r="E503" s="7" t="s">
        <v>671</v>
      </c>
      <c r="F503" s="7" t="s">
        <v>672</v>
      </c>
      <c r="G503" s="7" t="s">
        <v>86</v>
      </c>
      <c r="H503" s="7" t="s">
        <v>723</v>
      </c>
      <c r="I503" s="7">
        <v>43.79</v>
      </c>
      <c r="J503" s="10" t="s">
        <v>724</v>
      </c>
      <c r="K503" s="7" t="s">
        <v>41</v>
      </c>
      <c r="L503" s="7" t="s">
        <v>28</v>
      </c>
      <c r="M503" s="7" t="s">
        <v>675</v>
      </c>
      <c r="N503" s="7">
        <v>0.67749999999999999</v>
      </c>
      <c r="O503" s="7" t="s">
        <v>44</v>
      </c>
      <c r="P503" s="7">
        <f t="shared" si="3"/>
        <v>677.5</v>
      </c>
      <c r="Q503" s="7" t="s">
        <v>31</v>
      </c>
      <c r="R503" s="7" t="s">
        <v>677</v>
      </c>
    </row>
    <row r="504" spans="1:18" s="7" customFormat="1" x14ac:dyDescent="0.35">
      <c r="A504" s="7">
        <v>32</v>
      </c>
      <c r="B504" s="7" t="s">
        <v>670</v>
      </c>
      <c r="C504" s="7">
        <v>2020</v>
      </c>
      <c r="D504" s="7" t="s">
        <v>619</v>
      </c>
      <c r="E504" s="7" t="s">
        <v>671</v>
      </c>
      <c r="F504" s="7" t="s">
        <v>672</v>
      </c>
      <c r="G504" s="7" t="s">
        <v>86</v>
      </c>
      <c r="H504" s="7" t="s">
        <v>725</v>
      </c>
      <c r="I504" s="7">
        <v>42.51</v>
      </c>
      <c r="J504" s="10" t="s">
        <v>726</v>
      </c>
      <c r="K504" s="7" t="s">
        <v>41</v>
      </c>
      <c r="L504" s="7" t="s">
        <v>28</v>
      </c>
      <c r="M504" s="7" t="s">
        <v>675</v>
      </c>
      <c r="N504" s="7">
        <v>0.67749999999999999</v>
      </c>
      <c r="O504" s="7" t="s">
        <v>44</v>
      </c>
      <c r="P504" s="7">
        <f t="shared" si="3"/>
        <v>677.5</v>
      </c>
      <c r="Q504" s="7" t="s">
        <v>31</v>
      </c>
      <c r="R504" s="7" t="s">
        <v>677</v>
      </c>
    </row>
    <row r="505" spans="1:18" s="7" customFormat="1" x14ac:dyDescent="0.35">
      <c r="A505" s="7">
        <v>32</v>
      </c>
      <c r="B505" s="7" t="s">
        <v>670</v>
      </c>
      <c r="C505" s="7">
        <v>2020</v>
      </c>
      <c r="D505" s="7" t="s">
        <v>619</v>
      </c>
      <c r="E505" s="7" t="s">
        <v>671</v>
      </c>
      <c r="F505" s="7" t="s">
        <v>672</v>
      </c>
      <c r="G505" s="7" t="s">
        <v>86</v>
      </c>
      <c r="H505" s="7" t="s">
        <v>727</v>
      </c>
      <c r="I505" s="7">
        <v>45.56</v>
      </c>
      <c r="J505" s="10" t="s">
        <v>728</v>
      </c>
      <c r="K505" s="7" t="s">
        <v>41</v>
      </c>
      <c r="L505" s="7" t="s">
        <v>28</v>
      </c>
      <c r="M505" s="7" t="s">
        <v>675</v>
      </c>
      <c r="N505" s="7">
        <v>0.67749999999999999</v>
      </c>
      <c r="O505" s="7" t="s">
        <v>44</v>
      </c>
      <c r="P505" s="7">
        <f t="shared" si="3"/>
        <v>677.5</v>
      </c>
      <c r="Q505" s="7" t="s">
        <v>31</v>
      </c>
      <c r="R505" s="7" t="s">
        <v>677</v>
      </c>
    </row>
    <row r="506" spans="1:18" s="7" customFormat="1" x14ac:dyDescent="0.35">
      <c r="A506" s="7">
        <v>32</v>
      </c>
      <c r="B506" s="7" t="s">
        <v>670</v>
      </c>
      <c r="C506" s="7">
        <v>2020</v>
      </c>
      <c r="D506" s="7" t="s">
        <v>619</v>
      </c>
      <c r="E506" s="7" t="s">
        <v>671</v>
      </c>
      <c r="F506" s="7" t="s">
        <v>672</v>
      </c>
      <c r="G506" s="7" t="s">
        <v>86</v>
      </c>
      <c r="H506" s="7" t="s">
        <v>729</v>
      </c>
      <c r="I506" s="7">
        <v>45.26</v>
      </c>
      <c r="J506" s="10" t="s">
        <v>730</v>
      </c>
      <c r="K506" s="7" t="s">
        <v>41</v>
      </c>
      <c r="L506" s="7" t="s">
        <v>28</v>
      </c>
      <c r="M506" s="7" t="s">
        <v>675</v>
      </c>
      <c r="N506" s="7">
        <v>0.67749999999999999</v>
      </c>
      <c r="O506" s="7" t="s">
        <v>44</v>
      </c>
      <c r="P506" s="7">
        <f t="shared" si="3"/>
        <v>677.5</v>
      </c>
      <c r="Q506" s="7" t="s">
        <v>31</v>
      </c>
      <c r="R506" s="7" t="s">
        <v>677</v>
      </c>
    </row>
    <row r="507" spans="1:18" s="7" customFormat="1" x14ac:dyDescent="0.35">
      <c r="A507" s="7">
        <v>32</v>
      </c>
      <c r="B507" s="7" t="s">
        <v>670</v>
      </c>
      <c r="C507" s="7">
        <v>2020</v>
      </c>
      <c r="D507" s="7" t="s">
        <v>619</v>
      </c>
      <c r="E507" s="7" t="s">
        <v>671</v>
      </c>
      <c r="F507" s="7" t="s">
        <v>672</v>
      </c>
      <c r="G507" s="7" t="s">
        <v>86</v>
      </c>
      <c r="H507" s="7" t="s">
        <v>731</v>
      </c>
      <c r="I507" s="7">
        <v>44.8</v>
      </c>
      <c r="J507" s="10" t="s">
        <v>732</v>
      </c>
      <c r="K507" s="7" t="s">
        <v>41</v>
      </c>
      <c r="L507" s="7" t="s">
        <v>28</v>
      </c>
      <c r="M507" s="7" t="s">
        <v>675</v>
      </c>
      <c r="N507" s="7">
        <v>0.67749999999999999</v>
      </c>
      <c r="O507" s="7" t="s">
        <v>44</v>
      </c>
      <c r="P507" s="7">
        <f t="shared" si="3"/>
        <v>677.5</v>
      </c>
      <c r="Q507" s="7" t="s">
        <v>31</v>
      </c>
      <c r="R507" s="7" t="s">
        <v>677</v>
      </c>
    </row>
    <row r="508" spans="1:18" s="7" customFormat="1" x14ac:dyDescent="0.35">
      <c r="A508" s="7">
        <v>32</v>
      </c>
      <c r="B508" s="7" t="s">
        <v>670</v>
      </c>
      <c r="C508" s="7">
        <v>2020</v>
      </c>
      <c r="D508" s="7" t="s">
        <v>619</v>
      </c>
      <c r="E508" s="7" t="s">
        <v>671</v>
      </c>
      <c r="F508" s="7" t="s">
        <v>672</v>
      </c>
      <c r="G508" s="7" t="s">
        <v>86</v>
      </c>
      <c r="H508" s="7" t="s">
        <v>733</v>
      </c>
      <c r="I508" s="7">
        <v>44.37</v>
      </c>
      <c r="J508" s="10" t="s">
        <v>734</v>
      </c>
      <c r="K508" s="7" t="s">
        <v>41</v>
      </c>
      <c r="L508" s="7" t="s">
        <v>28</v>
      </c>
      <c r="M508" s="7" t="s">
        <v>675</v>
      </c>
      <c r="N508" s="7">
        <v>0.67749999999999999</v>
      </c>
      <c r="O508" s="7" t="s">
        <v>44</v>
      </c>
      <c r="P508" s="7">
        <f t="shared" si="3"/>
        <v>677.5</v>
      </c>
      <c r="Q508" s="7" t="s">
        <v>31</v>
      </c>
      <c r="R508" s="7" t="s">
        <v>677</v>
      </c>
    </row>
    <row r="509" spans="1:18" s="7" customFormat="1" x14ac:dyDescent="0.35">
      <c r="A509" s="7">
        <v>32</v>
      </c>
      <c r="B509" s="7" t="s">
        <v>670</v>
      </c>
      <c r="C509" s="7">
        <v>2020</v>
      </c>
      <c r="D509" s="7" t="s">
        <v>619</v>
      </c>
      <c r="E509" s="7" t="s">
        <v>671</v>
      </c>
      <c r="F509" s="7" t="s">
        <v>672</v>
      </c>
      <c r="G509" s="7" t="s">
        <v>86</v>
      </c>
      <c r="H509" s="7" t="s">
        <v>735</v>
      </c>
      <c r="I509" s="7">
        <v>44.04</v>
      </c>
      <c r="J509" s="10" t="s">
        <v>736</v>
      </c>
      <c r="K509" s="7" t="s">
        <v>41</v>
      </c>
      <c r="L509" s="7" t="s">
        <v>28</v>
      </c>
      <c r="M509" s="7" t="s">
        <v>675</v>
      </c>
      <c r="N509" s="7">
        <v>0.67749999999999999</v>
      </c>
      <c r="O509" s="7" t="s">
        <v>44</v>
      </c>
      <c r="P509" s="7">
        <f t="shared" si="3"/>
        <v>677.5</v>
      </c>
      <c r="Q509" s="7" t="s">
        <v>31</v>
      </c>
      <c r="R509" s="7" t="s">
        <v>677</v>
      </c>
    </row>
    <row r="510" spans="1:18" s="7" customFormat="1" x14ac:dyDescent="0.35">
      <c r="A510" s="7">
        <v>32</v>
      </c>
      <c r="B510" s="7" t="s">
        <v>670</v>
      </c>
      <c r="C510" s="7">
        <v>2020</v>
      </c>
      <c r="D510" s="7" t="s">
        <v>619</v>
      </c>
      <c r="E510" s="7" t="s">
        <v>671</v>
      </c>
      <c r="F510" s="7" t="s">
        <v>672</v>
      </c>
      <c r="G510" s="7" t="s">
        <v>86</v>
      </c>
      <c r="H510" s="7" t="s">
        <v>737</v>
      </c>
      <c r="I510" s="7">
        <v>43.78</v>
      </c>
      <c r="J510" s="10" t="s">
        <v>738</v>
      </c>
      <c r="K510" s="7" t="s">
        <v>41</v>
      </c>
      <c r="L510" s="7" t="s">
        <v>28</v>
      </c>
      <c r="M510" s="7" t="s">
        <v>675</v>
      </c>
      <c r="N510" s="7">
        <v>0.67749999999999999</v>
      </c>
      <c r="O510" s="7" t="s">
        <v>44</v>
      </c>
      <c r="P510" s="7">
        <f t="shared" si="3"/>
        <v>677.5</v>
      </c>
      <c r="Q510" s="7" t="s">
        <v>31</v>
      </c>
      <c r="R510" s="7" t="s">
        <v>677</v>
      </c>
    </row>
    <row r="511" spans="1:18" s="7" customFormat="1" x14ac:dyDescent="0.35">
      <c r="A511" s="7">
        <v>32</v>
      </c>
      <c r="B511" s="7" t="s">
        <v>670</v>
      </c>
      <c r="C511" s="7">
        <v>2020</v>
      </c>
      <c r="D511" s="7" t="s">
        <v>619</v>
      </c>
      <c r="E511" s="7" t="s">
        <v>671</v>
      </c>
      <c r="F511" s="7" t="s">
        <v>672</v>
      </c>
      <c r="G511" s="7" t="s">
        <v>86</v>
      </c>
      <c r="H511" s="7" t="s">
        <v>739</v>
      </c>
      <c r="I511" s="7">
        <v>43.48</v>
      </c>
      <c r="J511" s="10" t="s">
        <v>740</v>
      </c>
      <c r="K511" s="7" t="s">
        <v>41</v>
      </c>
      <c r="L511" s="7" t="s">
        <v>28</v>
      </c>
      <c r="M511" s="7" t="s">
        <v>675</v>
      </c>
      <c r="N511" s="7">
        <v>0.67749999999999999</v>
      </c>
      <c r="O511" s="7" t="s">
        <v>44</v>
      </c>
      <c r="P511" s="7">
        <f t="shared" ref="P511:P533" si="4">N511*1000</f>
        <v>677.5</v>
      </c>
      <c r="Q511" s="7" t="s">
        <v>31</v>
      </c>
      <c r="R511" s="7" t="s">
        <v>677</v>
      </c>
    </row>
    <row r="512" spans="1:18" s="7" customFormat="1" x14ac:dyDescent="0.35">
      <c r="A512" s="7">
        <v>32</v>
      </c>
      <c r="B512" s="7" t="s">
        <v>670</v>
      </c>
      <c r="C512" s="7">
        <v>2020</v>
      </c>
      <c r="D512" s="7" t="s">
        <v>619</v>
      </c>
      <c r="E512" s="7" t="s">
        <v>671</v>
      </c>
      <c r="F512" s="7" t="s">
        <v>672</v>
      </c>
      <c r="G512" s="7" t="s">
        <v>86</v>
      </c>
      <c r="H512" s="7" t="s">
        <v>741</v>
      </c>
      <c r="I512" s="7">
        <v>43.65</v>
      </c>
      <c r="J512" s="10" t="s">
        <v>742</v>
      </c>
      <c r="K512" s="7" t="s">
        <v>41</v>
      </c>
      <c r="L512" s="7" t="s">
        <v>28</v>
      </c>
      <c r="M512" s="7" t="s">
        <v>675</v>
      </c>
      <c r="N512" s="7">
        <v>0.67749999999999999</v>
      </c>
      <c r="O512" s="7" t="s">
        <v>44</v>
      </c>
      <c r="P512" s="7">
        <f t="shared" si="4"/>
        <v>677.5</v>
      </c>
      <c r="Q512" s="7" t="s">
        <v>31</v>
      </c>
      <c r="R512" s="7" t="s">
        <v>677</v>
      </c>
    </row>
    <row r="513" spans="1:18" s="7" customFormat="1" x14ac:dyDescent="0.35">
      <c r="A513" s="7">
        <v>32</v>
      </c>
      <c r="B513" s="7" t="s">
        <v>670</v>
      </c>
      <c r="C513" s="7">
        <v>2020</v>
      </c>
      <c r="D513" s="7" t="s">
        <v>619</v>
      </c>
      <c r="E513" s="7" t="s">
        <v>671</v>
      </c>
      <c r="F513" s="7" t="s">
        <v>672</v>
      </c>
      <c r="G513" s="7" t="s">
        <v>86</v>
      </c>
      <c r="H513" s="7" t="s">
        <v>743</v>
      </c>
      <c r="I513" s="7">
        <v>43.5</v>
      </c>
      <c r="J513" s="10" t="s">
        <v>744</v>
      </c>
      <c r="K513" s="7" t="s">
        <v>41</v>
      </c>
      <c r="L513" s="7" t="s">
        <v>28</v>
      </c>
      <c r="M513" s="7" t="s">
        <v>675</v>
      </c>
      <c r="N513" s="7">
        <v>0.67749999999999999</v>
      </c>
      <c r="O513" s="7" t="s">
        <v>44</v>
      </c>
      <c r="P513" s="7">
        <f t="shared" si="4"/>
        <v>677.5</v>
      </c>
      <c r="Q513" s="7" t="s">
        <v>31</v>
      </c>
      <c r="R513" s="7" t="s">
        <v>677</v>
      </c>
    </row>
    <row r="514" spans="1:18" s="7" customFormat="1" x14ac:dyDescent="0.35">
      <c r="A514" s="7">
        <v>32</v>
      </c>
      <c r="B514" s="7" t="s">
        <v>670</v>
      </c>
      <c r="C514" s="7">
        <v>2020</v>
      </c>
      <c r="D514" s="7" t="s">
        <v>619</v>
      </c>
      <c r="E514" s="7" t="s">
        <v>671</v>
      </c>
      <c r="F514" s="7" t="s">
        <v>672</v>
      </c>
      <c r="G514" s="7" t="s">
        <v>86</v>
      </c>
      <c r="H514" s="7" t="s">
        <v>745</v>
      </c>
      <c r="I514" s="7">
        <v>43.62</v>
      </c>
      <c r="J514" s="10" t="s">
        <v>746</v>
      </c>
      <c r="K514" s="7" t="s">
        <v>41</v>
      </c>
      <c r="L514" s="7" t="s">
        <v>28</v>
      </c>
      <c r="M514" s="7" t="s">
        <v>675</v>
      </c>
      <c r="N514" s="7">
        <v>0.67749999999999999</v>
      </c>
      <c r="O514" s="7" t="s">
        <v>44</v>
      </c>
      <c r="P514" s="7">
        <f t="shared" si="4"/>
        <v>677.5</v>
      </c>
      <c r="Q514" s="7" t="s">
        <v>31</v>
      </c>
      <c r="R514" s="7" t="s">
        <v>677</v>
      </c>
    </row>
    <row r="515" spans="1:18" s="7" customFormat="1" x14ac:dyDescent="0.35">
      <c r="A515" s="7">
        <v>32</v>
      </c>
      <c r="B515" s="7" t="s">
        <v>670</v>
      </c>
      <c r="C515" s="7">
        <v>2020</v>
      </c>
      <c r="D515" s="7" t="s">
        <v>619</v>
      </c>
      <c r="E515" s="7" t="s">
        <v>671</v>
      </c>
      <c r="F515" s="7" t="s">
        <v>672</v>
      </c>
      <c r="G515" s="7" t="s">
        <v>86</v>
      </c>
      <c r="H515" s="7" t="s">
        <v>747</v>
      </c>
      <c r="I515" s="7">
        <v>42.21</v>
      </c>
      <c r="J515" s="10" t="s">
        <v>726</v>
      </c>
      <c r="K515" s="7" t="s">
        <v>41</v>
      </c>
      <c r="L515" s="7" t="s">
        <v>28</v>
      </c>
      <c r="M515" s="7" t="s">
        <v>675</v>
      </c>
      <c r="N515" s="7">
        <v>0.67749999999999999</v>
      </c>
      <c r="O515" s="7" t="s">
        <v>44</v>
      </c>
      <c r="P515" s="7">
        <f t="shared" si="4"/>
        <v>677.5</v>
      </c>
      <c r="Q515" s="7" t="s">
        <v>31</v>
      </c>
      <c r="R515" s="7" t="s">
        <v>677</v>
      </c>
    </row>
    <row r="516" spans="1:18" s="7" customFormat="1" x14ac:dyDescent="0.35">
      <c r="A516" s="7">
        <v>32</v>
      </c>
      <c r="B516" s="7" t="s">
        <v>670</v>
      </c>
      <c r="C516" s="7">
        <v>2020</v>
      </c>
      <c r="D516" s="7" t="s">
        <v>619</v>
      </c>
      <c r="E516" s="7" t="s">
        <v>671</v>
      </c>
      <c r="F516" s="7" t="s">
        <v>672</v>
      </c>
      <c r="G516" s="7" t="s">
        <v>86</v>
      </c>
      <c r="H516" s="7" t="s">
        <v>748</v>
      </c>
      <c r="I516" s="7">
        <v>42.18</v>
      </c>
      <c r="J516" s="10" t="s">
        <v>749</v>
      </c>
      <c r="K516" s="7" t="s">
        <v>41</v>
      </c>
      <c r="L516" s="7" t="s">
        <v>28</v>
      </c>
      <c r="M516" s="7" t="s">
        <v>675</v>
      </c>
      <c r="N516" s="7">
        <v>0.67749999999999999</v>
      </c>
      <c r="O516" s="7" t="s">
        <v>44</v>
      </c>
      <c r="P516" s="7">
        <f t="shared" si="4"/>
        <v>677.5</v>
      </c>
      <c r="Q516" s="7" t="s">
        <v>31</v>
      </c>
      <c r="R516" s="7" t="s">
        <v>677</v>
      </c>
    </row>
    <row r="517" spans="1:18" s="7" customFormat="1" x14ac:dyDescent="0.35">
      <c r="A517" s="7">
        <v>32</v>
      </c>
      <c r="B517" s="7" t="s">
        <v>670</v>
      </c>
      <c r="C517" s="7">
        <v>2020</v>
      </c>
      <c r="D517" s="7" t="s">
        <v>619</v>
      </c>
      <c r="E517" s="7" t="s">
        <v>671</v>
      </c>
      <c r="F517" s="7" t="s">
        <v>672</v>
      </c>
      <c r="G517" s="7" t="s">
        <v>86</v>
      </c>
      <c r="H517" s="7" t="s">
        <v>750</v>
      </c>
      <c r="I517" s="7">
        <v>41.68</v>
      </c>
      <c r="J517" s="10" t="s">
        <v>751</v>
      </c>
      <c r="K517" s="7" t="s">
        <v>41</v>
      </c>
      <c r="L517" s="7" t="s">
        <v>28</v>
      </c>
      <c r="M517" s="7" t="s">
        <v>675</v>
      </c>
      <c r="N517" s="7">
        <v>0.67749999999999999</v>
      </c>
      <c r="O517" s="7" t="s">
        <v>44</v>
      </c>
      <c r="P517" s="7">
        <f t="shared" si="4"/>
        <v>677.5</v>
      </c>
      <c r="Q517" s="7" t="s">
        <v>31</v>
      </c>
      <c r="R517" s="7" t="s">
        <v>677</v>
      </c>
    </row>
    <row r="518" spans="1:18" s="7" customFormat="1" x14ac:dyDescent="0.35">
      <c r="A518" s="7">
        <v>32</v>
      </c>
      <c r="B518" s="7" t="s">
        <v>670</v>
      </c>
      <c r="C518" s="7">
        <v>2020</v>
      </c>
      <c r="D518" s="7" t="s">
        <v>619</v>
      </c>
      <c r="E518" s="7" t="s">
        <v>671</v>
      </c>
      <c r="F518" s="7" t="s">
        <v>672</v>
      </c>
      <c r="G518" s="7" t="s">
        <v>86</v>
      </c>
      <c r="H518" s="7" t="s">
        <v>752</v>
      </c>
      <c r="I518" s="7">
        <v>41.71</v>
      </c>
      <c r="J518" s="10" t="s">
        <v>753</v>
      </c>
      <c r="K518" s="7" t="s">
        <v>41</v>
      </c>
      <c r="L518" s="7" t="s">
        <v>28</v>
      </c>
      <c r="M518" s="7" t="s">
        <v>675</v>
      </c>
      <c r="N518" s="7">
        <v>0.67749999999999999</v>
      </c>
      <c r="O518" s="7" t="s">
        <v>44</v>
      </c>
      <c r="P518" s="7">
        <f t="shared" si="4"/>
        <v>677.5</v>
      </c>
      <c r="Q518" s="7" t="s">
        <v>31</v>
      </c>
      <c r="R518" s="7" t="s">
        <v>677</v>
      </c>
    </row>
    <row r="519" spans="1:18" s="7" customFormat="1" x14ac:dyDescent="0.35">
      <c r="A519" s="7">
        <v>32</v>
      </c>
      <c r="B519" s="7" t="s">
        <v>670</v>
      </c>
      <c r="C519" s="7">
        <v>2020</v>
      </c>
      <c r="D519" s="7" t="s">
        <v>619</v>
      </c>
      <c r="E519" s="7" t="s">
        <v>671</v>
      </c>
      <c r="F519" s="7" t="s">
        <v>672</v>
      </c>
      <c r="G519" s="7" t="s">
        <v>86</v>
      </c>
      <c r="H519" s="7" t="s">
        <v>754</v>
      </c>
      <c r="I519" s="7">
        <v>41.81</v>
      </c>
      <c r="J519" s="10" t="s">
        <v>755</v>
      </c>
      <c r="K519" s="7" t="s">
        <v>41</v>
      </c>
      <c r="L519" s="7" t="s">
        <v>28</v>
      </c>
      <c r="M519" s="7" t="s">
        <v>675</v>
      </c>
      <c r="N519" s="7">
        <v>0.67749999999999999</v>
      </c>
      <c r="O519" s="7" t="s">
        <v>44</v>
      </c>
      <c r="P519" s="7">
        <f t="shared" si="4"/>
        <v>677.5</v>
      </c>
      <c r="Q519" s="7" t="s">
        <v>31</v>
      </c>
      <c r="R519" s="7" t="s">
        <v>677</v>
      </c>
    </row>
    <row r="520" spans="1:18" s="7" customFormat="1" x14ac:dyDescent="0.35">
      <c r="A520" s="7">
        <v>32</v>
      </c>
      <c r="B520" s="7" t="s">
        <v>670</v>
      </c>
      <c r="C520" s="7">
        <v>2020</v>
      </c>
      <c r="D520" s="7" t="s">
        <v>619</v>
      </c>
      <c r="E520" s="7" t="s">
        <v>671</v>
      </c>
      <c r="F520" s="7" t="s">
        <v>672</v>
      </c>
      <c r="G520" s="7" t="s">
        <v>86</v>
      </c>
      <c r="H520" s="7" t="s">
        <v>756</v>
      </c>
      <c r="I520" s="7">
        <v>42.31</v>
      </c>
      <c r="J520" s="10" t="s">
        <v>757</v>
      </c>
      <c r="K520" s="7" t="s">
        <v>41</v>
      </c>
      <c r="L520" s="7" t="s">
        <v>28</v>
      </c>
      <c r="M520" s="7" t="s">
        <v>675</v>
      </c>
      <c r="N520" s="7">
        <v>0.67749999999999999</v>
      </c>
      <c r="O520" s="7" t="s">
        <v>44</v>
      </c>
      <c r="P520" s="7">
        <f t="shared" si="4"/>
        <v>677.5</v>
      </c>
      <c r="Q520" s="7" t="s">
        <v>31</v>
      </c>
      <c r="R520" s="7" t="s">
        <v>677</v>
      </c>
    </row>
    <row r="521" spans="1:18" s="7" customFormat="1" x14ac:dyDescent="0.35">
      <c r="A521" s="7">
        <v>32</v>
      </c>
      <c r="B521" s="7" t="s">
        <v>670</v>
      </c>
      <c r="C521" s="7">
        <v>2020</v>
      </c>
      <c r="D521" s="7" t="s">
        <v>619</v>
      </c>
      <c r="E521" s="7" t="s">
        <v>671</v>
      </c>
      <c r="F521" s="7" t="s">
        <v>672</v>
      </c>
      <c r="G521" s="7" t="s">
        <v>86</v>
      </c>
      <c r="H521" s="7" t="s">
        <v>758</v>
      </c>
      <c r="I521" s="7">
        <v>45.27</v>
      </c>
      <c r="J521" s="10" t="s">
        <v>730</v>
      </c>
      <c r="K521" s="7" t="s">
        <v>41</v>
      </c>
      <c r="L521" s="7" t="s">
        <v>28</v>
      </c>
      <c r="M521" s="7" t="s">
        <v>675</v>
      </c>
      <c r="N521" s="7">
        <v>0.67749999999999999</v>
      </c>
      <c r="O521" s="7" t="s">
        <v>44</v>
      </c>
      <c r="P521" s="7">
        <f t="shared" si="4"/>
        <v>677.5</v>
      </c>
      <c r="Q521" s="7" t="s">
        <v>31</v>
      </c>
      <c r="R521" s="7" t="s">
        <v>677</v>
      </c>
    </row>
    <row r="522" spans="1:18" s="7" customFormat="1" x14ac:dyDescent="0.35">
      <c r="A522" s="7">
        <v>32</v>
      </c>
      <c r="B522" s="7" t="s">
        <v>670</v>
      </c>
      <c r="C522" s="7">
        <v>2020</v>
      </c>
      <c r="D522" s="7" t="s">
        <v>619</v>
      </c>
      <c r="E522" s="7" t="s">
        <v>671</v>
      </c>
      <c r="F522" s="7" t="s">
        <v>672</v>
      </c>
      <c r="G522" s="7" t="s">
        <v>86</v>
      </c>
      <c r="H522" s="7" t="s">
        <v>759</v>
      </c>
      <c r="I522" s="7">
        <v>44.36</v>
      </c>
      <c r="J522" s="10" t="s">
        <v>760</v>
      </c>
      <c r="K522" s="7" t="s">
        <v>41</v>
      </c>
      <c r="L522" s="7" t="s">
        <v>28</v>
      </c>
      <c r="M522" s="7" t="s">
        <v>675</v>
      </c>
      <c r="N522" s="7">
        <v>0.67749999999999999</v>
      </c>
      <c r="O522" s="7" t="s">
        <v>44</v>
      </c>
      <c r="P522" s="7">
        <f t="shared" si="4"/>
        <v>677.5</v>
      </c>
      <c r="Q522" s="7" t="s">
        <v>31</v>
      </c>
      <c r="R522" s="7" t="s">
        <v>677</v>
      </c>
    </row>
    <row r="523" spans="1:18" s="7" customFormat="1" x14ac:dyDescent="0.35">
      <c r="A523" s="7">
        <v>32</v>
      </c>
      <c r="B523" s="7" t="s">
        <v>670</v>
      </c>
      <c r="C523" s="7">
        <v>2020</v>
      </c>
      <c r="D523" s="7" t="s">
        <v>619</v>
      </c>
      <c r="E523" s="7" t="s">
        <v>671</v>
      </c>
      <c r="F523" s="7" t="s">
        <v>672</v>
      </c>
      <c r="G523" s="7" t="s">
        <v>86</v>
      </c>
      <c r="H523" s="7" t="s">
        <v>761</v>
      </c>
      <c r="I523" s="7">
        <v>43.61</v>
      </c>
      <c r="J523" s="10" t="s">
        <v>762</v>
      </c>
      <c r="K523" s="7" t="s">
        <v>41</v>
      </c>
      <c r="L523" s="7" t="s">
        <v>28</v>
      </c>
      <c r="M523" s="7" t="s">
        <v>675</v>
      </c>
      <c r="N523" s="7">
        <v>0.67749999999999999</v>
      </c>
      <c r="O523" s="7" t="s">
        <v>44</v>
      </c>
      <c r="P523" s="7">
        <f t="shared" si="4"/>
        <v>677.5</v>
      </c>
      <c r="Q523" s="7" t="s">
        <v>31</v>
      </c>
      <c r="R523" s="7" t="s">
        <v>677</v>
      </c>
    </row>
    <row r="524" spans="1:18" s="7" customFormat="1" x14ac:dyDescent="0.35">
      <c r="A524" s="7">
        <v>32</v>
      </c>
      <c r="B524" s="7" t="s">
        <v>670</v>
      </c>
      <c r="C524" s="7">
        <v>2020</v>
      </c>
      <c r="D524" s="7" t="s">
        <v>619</v>
      </c>
      <c r="E524" s="7" t="s">
        <v>671</v>
      </c>
      <c r="F524" s="7" t="s">
        <v>672</v>
      </c>
      <c r="G524" s="7" t="s">
        <v>86</v>
      </c>
      <c r="H524" s="7" t="s">
        <v>763</v>
      </c>
      <c r="I524" s="7">
        <v>43.41</v>
      </c>
      <c r="J524" s="10" t="s">
        <v>764</v>
      </c>
      <c r="K524" s="7" t="s">
        <v>41</v>
      </c>
      <c r="L524" s="7" t="s">
        <v>28</v>
      </c>
      <c r="M524" s="7" t="s">
        <v>675</v>
      </c>
      <c r="N524" s="7">
        <v>0.67749999999999999</v>
      </c>
      <c r="O524" s="7" t="s">
        <v>44</v>
      </c>
      <c r="P524" s="7">
        <f t="shared" si="4"/>
        <v>677.5</v>
      </c>
      <c r="Q524" s="7" t="s">
        <v>31</v>
      </c>
      <c r="R524" s="7" t="s">
        <v>677</v>
      </c>
    </row>
    <row r="525" spans="1:18" s="7" customFormat="1" x14ac:dyDescent="0.35">
      <c r="A525" s="7">
        <v>32</v>
      </c>
      <c r="B525" s="7" t="s">
        <v>670</v>
      </c>
      <c r="C525" s="7">
        <v>2020</v>
      </c>
      <c r="D525" s="7" t="s">
        <v>619</v>
      </c>
      <c r="E525" s="7" t="s">
        <v>671</v>
      </c>
      <c r="F525" s="7" t="s">
        <v>672</v>
      </c>
      <c r="G525" s="7" t="s">
        <v>86</v>
      </c>
      <c r="H525" s="7" t="s">
        <v>765</v>
      </c>
      <c r="I525" s="7">
        <v>41.55</v>
      </c>
      <c r="J525" s="10" t="s">
        <v>766</v>
      </c>
      <c r="K525" s="7" t="s">
        <v>41</v>
      </c>
      <c r="L525" s="7" t="s">
        <v>28</v>
      </c>
      <c r="M525" s="7" t="s">
        <v>675</v>
      </c>
      <c r="N525" s="7">
        <v>0.67749999999999999</v>
      </c>
      <c r="O525" s="7" t="s">
        <v>44</v>
      </c>
      <c r="P525" s="7">
        <f t="shared" si="4"/>
        <v>677.5</v>
      </c>
      <c r="Q525" s="7" t="s">
        <v>31</v>
      </c>
      <c r="R525" s="7" t="s">
        <v>677</v>
      </c>
    </row>
    <row r="526" spans="1:18" s="7" customFormat="1" x14ac:dyDescent="0.35">
      <c r="A526" s="7">
        <v>32</v>
      </c>
      <c r="B526" s="7" t="s">
        <v>670</v>
      </c>
      <c r="C526" s="7">
        <v>2020</v>
      </c>
      <c r="D526" s="7" t="s">
        <v>619</v>
      </c>
      <c r="E526" s="7" t="s">
        <v>671</v>
      </c>
      <c r="F526" s="7" t="s">
        <v>672</v>
      </c>
      <c r="G526" s="7" t="s">
        <v>86</v>
      </c>
      <c r="H526" s="7" t="s">
        <v>767</v>
      </c>
      <c r="I526" s="7">
        <v>42.54</v>
      </c>
      <c r="J526" s="10" t="s">
        <v>768</v>
      </c>
      <c r="K526" s="7" t="s">
        <v>41</v>
      </c>
      <c r="L526" s="7" t="s">
        <v>28</v>
      </c>
      <c r="M526" s="7" t="s">
        <v>675</v>
      </c>
      <c r="N526" s="7">
        <v>0.67749999999999999</v>
      </c>
      <c r="O526" s="7" t="s">
        <v>44</v>
      </c>
      <c r="P526" s="7">
        <f t="shared" si="4"/>
        <v>677.5</v>
      </c>
      <c r="Q526" s="7" t="s">
        <v>31</v>
      </c>
      <c r="R526" s="7" t="s">
        <v>677</v>
      </c>
    </row>
    <row r="527" spans="1:18" s="7" customFormat="1" x14ac:dyDescent="0.35">
      <c r="A527" s="7">
        <v>32</v>
      </c>
      <c r="B527" s="7" t="s">
        <v>670</v>
      </c>
      <c r="C527" s="7">
        <v>2020</v>
      </c>
      <c r="D527" s="7" t="s">
        <v>619</v>
      </c>
      <c r="E527" s="7" t="s">
        <v>671</v>
      </c>
      <c r="F527" s="7" t="s">
        <v>672</v>
      </c>
      <c r="G527" s="7" t="s">
        <v>86</v>
      </c>
      <c r="H527" s="7" t="s">
        <v>769</v>
      </c>
      <c r="I527" s="7">
        <v>42.66</v>
      </c>
      <c r="J527" s="10" t="s">
        <v>770</v>
      </c>
      <c r="K527" s="7" t="s">
        <v>41</v>
      </c>
      <c r="L527" s="7" t="s">
        <v>28</v>
      </c>
      <c r="M527" s="7" t="s">
        <v>675</v>
      </c>
      <c r="N527" s="7">
        <v>0.67749999999999999</v>
      </c>
      <c r="O527" s="7" t="s">
        <v>44</v>
      </c>
      <c r="P527" s="7">
        <f t="shared" si="4"/>
        <v>677.5</v>
      </c>
      <c r="Q527" s="7" t="s">
        <v>31</v>
      </c>
      <c r="R527" s="7" t="s">
        <v>677</v>
      </c>
    </row>
    <row r="528" spans="1:18" s="7" customFormat="1" x14ac:dyDescent="0.35">
      <c r="A528" s="7">
        <v>32</v>
      </c>
      <c r="B528" s="7" t="s">
        <v>670</v>
      </c>
      <c r="C528" s="7">
        <v>2020</v>
      </c>
      <c r="D528" s="7" t="s">
        <v>619</v>
      </c>
      <c r="E528" s="7" t="s">
        <v>671</v>
      </c>
      <c r="F528" s="7" t="s">
        <v>672</v>
      </c>
      <c r="G528" s="7" t="s">
        <v>86</v>
      </c>
      <c r="H528" s="7" t="s">
        <v>771</v>
      </c>
      <c r="I528" s="7">
        <v>42.09</v>
      </c>
      <c r="J528" s="10" t="s">
        <v>772</v>
      </c>
      <c r="K528" s="7" t="s">
        <v>41</v>
      </c>
      <c r="L528" s="7" t="s">
        <v>28</v>
      </c>
      <c r="M528" s="7" t="s">
        <v>675</v>
      </c>
      <c r="N528" s="7">
        <v>0.67749999999999999</v>
      </c>
      <c r="O528" s="7" t="s">
        <v>44</v>
      </c>
      <c r="P528" s="7">
        <f t="shared" si="4"/>
        <v>677.5</v>
      </c>
      <c r="Q528" s="7" t="s">
        <v>31</v>
      </c>
      <c r="R528" s="7" t="s">
        <v>677</v>
      </c>
    </row>
    <row r="529" spans="1:18" s="7" customFormat="1" x14ac:dyDescent="0.35">
      <c r="A529" s="7">
        <v>32</v>
      </c>
      <c r="B529" s="7" t="s">
        <v>670</v>
      </c>
      <c r="C529" s="7">
        <v>2020</v>
      </c>
      <c r="D529" s="7" t="s">
        <v>619</v>
      </c>
      <c r="E529" s="7" t="s">
        <v>671</v>
      </c>
      <c r="F529" s="7" t="s">
        <v>672</v>
      </c>
      <c r="G529" s="7" t="s">
        <v>86</v>
      </c>
      <c r="H529" s="7" t="s">
        <v>773</v>
      </c>
      <c r="I529" s="7">
        <v>42.91</v>
      </c>
      <c r="J529" s="10" t="s">
        <v>774</v>
      </c>
      <c r="K529" s="7" t="s">
        <v>41</v>
      </c>
      <c r="L529" s="7" t="s">
        <v>28</v>
      </c>
      <c r="M529" s="7" t="s">
        <v>675</v>
      </c>
      <c r="N529" s="7">
        <v>0.67749999999999999</v>
      </c>
      <c r="O529" s="7" t="s">
        <v>44</v>
      </c>
      <c r="P529" s="7">
        <f t="shared" si="4"/>
        <v>677.5</v>
      </c>
      <c r="Q529" s="7" t="s">
        <v>31</v>
      </c>
      <c r="R529" s="7" t="s">
        <v>677</v>
      </c>
    </row>
    <row r="530" spans="1:18" s="7" customFormat="1" x14ac:dyDescent="0.35">
      <c r="A530" s="7">
        <v>32</v>
      </c>
      <c r="B530" s="7" t="s">
        <v>670</v>
      </c>
      <c r="C530" s="7">
        <v>2020</v>
      </c>
      <c r="D530" s="7" t="s">
        <v>619</v>
      </c>
      <c r="E530" s="7" t="s">
        <v>671</v>
      </c>
      <c r="F530" s="7" t="s">
        <v>672</v>
      </c>
      <c r="G530" s="7" t="s">
        <v>86</v>
      </c>
      <c r="H530" s="7" t="s">
        <v>775</v>
      </c>
      <c r="I530" s="7">
        <v>42.11</v>
      </c>
      <c r="J530" s="10" t="s">
        <v>776</v>
      </c>
      <c r="K530" s="7" t="s">
        <v>41</v>
      </c>
      <c r="L530" s="7" t="s">
        <v>28</v>
      </c>
      <c r="M530" s="7" t="s">
        <v>675</v>
      </c>
      <c r="N530" s="7">
        <v>0.67749999999999999</v>
      </c>
      <c r="O530" s="7" t="s">
        <v>44</v>
      </c>
      <c r="P530" s="7">
        <f t="shared" si="4"/>
        <v>677.5</v>
      </c>
      <c r="Q530" s="7" t="s">
        <v>31</v>
      </c>
      <c r="R530" s="7" t="s">
        <v>677</v>
      </c>
    </row>
    <row r="531" spans="1:18" s="7" customFormat="1" x14ac:dyDescent="0.35">
      <c r="A531" s="7">
        <v>32</v>
      </c>
      <c r="B531" s="7" t="s">
        <v>670</v>
      </c>
      <c r="C531" s="7">
        <v>2020</v>
      </c>
      <c r="D531" s="7" t="s">
        <v>619</v>
      </c>
      <c r="E531" s="7" t="s">
        <v>671</v>
      </c>
      <c r="F531" s="7" t="s">
        <v>672</v>
      </c>
      <c r="G531" s="7" t="s">
        <v>86</v>
      </c>
      <c r="H531" s="7" t="s">
        <v>777</v>
      </c>
      <c r="I531" s="7">
        <v>42.26</v>
      </c>
      <c r="J531" s="10" t="s">
        <v>778</v>
      </c>
      <c r="K531" s="7" t="s">
        <v>41</v>
      </c>
      <c r="L531" s="7" t="s">
        <v>28</v>
      </c>
      <c r="M531" s="7" t="s">
        <v>675</v>
      </c>
      <c r="N531" s="7">
        <v>0.67749999999999999</v>
      </c>
      <c r="O531" s="7" t="s">
        <v>44</v>
      </c>
      <c r="P531" s="7">
        <f t="shared" si="4"/>
        <v>677.5</v>
      </c>
      <c r="Q531" s="7" t="s">
        <v>31</v>
      </c>
      <c r="R531" s="7" t="s">
        <v>677</v>
      </c>
    </row>
    <row r="532" spans="1:18" s="7" customFormat="1" x14ac:dyDescent="0.35">
      <c r="A532" s="7">
        <v>32</v>
      </c>
      <c r="B532" s="7" t="s">
        <v>670</v>
      </c>
      <c r="C532" s="7">
        <v>2020</v>
      </c>
      <c r="D532" s="7" t="s">
        <v>619</v>
      </c>
      <c r="E532" s="7" t="s">
        <v>671</v>
      </c>
      <c r="F532" s="7" t="s">
        <v>672</v>
      </c>
      <c r="G532" s="7" t="s">
        <v>86</v>
      </c>
      <c r="H532" s="7" t="s">
        <v>779</v>
      </c>
      <c r="I532" s="7">
        <v>42.42</v>
      </c>
      <c r="J532" s="10" t="s">
        <v>780</v>
      </c>
      <c r="K532" s="7" t="s">
        <v>41</v>
      </c>
      <c r="L532" s="7" t="s">
        <v>28</v>
      </c>
      <c r="M532" s="7" t="s">
        <v>675</v>
      </c>
      <c r="N532" s="7">
        <v>0.67749999999999999</v>
      </c>
      <c r="O532" s="7" t="s">
        <v>44</v>
      </c>
      <c r="P532" s="7">
        <f t="shared" si="4"/>
        <v>677.5</v>
      </c>
      <c r="Q532" s="7" t="s">
        <v>31</v>
      </c>
      <c r="R532" s="7" t="s">
        <v>677</v>
      </c>
    </row>
    <row r="533" spans="1:18" s="7" customFormat="1" x14ac:dyDescent="0.35">
      <c r="A533" s="7">
        <v>32</v>
      </c>
      <c r="B533" s="7" t="s">
        <v>670</v>
      </c>
      <c r="C533" s="7">
        <v>2020</v>
      </c>
      <c r="D533" s="7" t="s">
        <v>619</v>
      </c>
      <c r="E533" s="7" t="s">
        <v>671</v>
      </c>
      <c r="F533" s="7" t="s">
        <v>672</v>
      </c>
      <c r="G533" s="7" t="s">
        <v>86</v>
      </c>
      <c r="H533" s="7" t="s">
        <v>781</v>
      </c>
      <c r="I533" s="7">
        <v>41.95</v>
      </c>
      <c r="J533" s="10" t="s">
        <v>782</v>
      </c>
      <c r="K533" s="7" t="s">
        <v>41</v>
      </c>
      <c r="L533" s="7" t="s">
        <v>28</v>
      </c>
      <c r="M533" s="7" t="s">
        <v>675</v>
      </c>
      <c r="N533" s="7">
        <v>0.67749999999999999</v>
      </c>
      <c r="O533" s="7" t="s">
        <v>44</v>
      </c>
      <c r="P533" s="7">
        <f t="shared" si="4"/>
        <v>677.5</v>
      </c>
      <c r="Q533" s="7" t="s">
        <v>31</v>
      </c>
      <c r="R533" s="7" t="s">
        <v>677</v>
      </c>
    </row>
    <row r="534" spans="1:18" s="7" customFormat="1" x14ac:dyDescent="0.35">
      <c r="A534" s="7">
        <v>33</v>
      </c>
      <c r="B534" s="7" t="s">
        <v>783</v>
      </c>
      <c r="C534" s="7">
        <v>2019</v>
      </c>
      <c r="D534" s="7" t="s">
        <v>663</v>
      </c>
      <c r="E534" s="7" t="s">
        <v>784</v>
      </c>
      <c r="F534" s="7" t="s">
        <v>785</v>
      </c>
      <c r="G534" s="7" t="s">
        <v>54</v>
      </c>
      <c r="H534" s="7" t="s">
        <v>786</v>
      </c>
      <c r="I534" s="7">
        <v>49.398269999999997</v>
      </c>
      <c r="J534" s="10">
        <v>-124.57964</v>
      </c>
      <c r="K534" s="7" t="s">
        <v>41</v>
      </c>
      <c r="L534" s="7" t="s">
        <v>163</v>
      </c>
      <c r="M534" s="7" t="s">
        <v>787</v>
      </c>
      <c r="N534" s="7" t="s">
        <v>105</v>
      </c>
      <c r="O534" s="7" t="s">
        <v>31</v>
      </c>
      <c r="P534" s="7" t="s">
        <v>105</v>
      </c>
      <c r="Q534" s="7" t="s">
        <v>31</v>
      </c>
      <c r="R534" s="7" t="s">
        <v>790</v>
      </c>
    </row>
    <row r="535" spans="1:18" s="7" customFormat="1" x14ac:dyDescent="0.35">
      <c r="A535" s="7">
        <v>33</v>
      </c>
      <c r="B535" s="7" t="s">
        <v>783</v>
      </c>
      <c r="C535" s="7">
        <v>2019</v>
      </c>
      <c r="D535" s="7" t="s">
        <v>663</v>
      </c>
      <c r="E535" s="7" t="s">
        <v>784</v>
      </c>
      <c r="F535" s="7" t="s">
        <v>785</v>
      </c>
      <c r="G535" s="7" t="s">
        <v>54</v>
      </c>
      <c r="H535" s="7" t="s">
        <v>791</v>
      </c>
      <c r="I535" s="7">
        <v>48.752653000000002</v>
      </c>
      <c r="J535" s="10">
        <v>-123.61667799999999</v>
      </c>
      <c r="K535" s="7" t="s">
        <v>41</v>
      </c>
      <c r="L535" s="7" t="s">
        <v>163</v>
      </c>
      <c r="M535" s="7" t="s">
        <v>787</v>
      </c>
      <c r="N535" s="7" t="s">
        <v>105</v>
      </c>
      <c r="O535" s="7" t="s">
        <v>31</v>
      </c>
      <c r="P535" s="7" t="s">
        <v>105</v>
      </c>
      <c r="Q535" s="7" t="s">
        <v>31</v>
      </c>
      <c r="R535" s="7" t="s">
        <v>792</v>
      </c>
    </row>
    <row r="536" spans="1:18" s="7" customFormat="1" x14ac:dyDescent="0.35">
      <c r="A536" s="7">
        <v>33</v>
      </c>
      <c r="B536" s="7" t="s">
        <v>783</v>
      </c>
      <c r="C536" s="7">
        <v>2019</v>
      </c>
      <c r="D536" s="7" t="s">
        <v>663</v>
      </c>
      <c r="E536" s="7" t="s">
        <v>784</v>
      </c>
      <c r="F536" s="7" t="s">
        <v>785</v>
      </c>
      <c r="G536" s="7" t="s">
        <v>54</v>
      </c>
      <c r="H536" s="7" t="s">
        <v>793</v>
      </c>
      <c r="I536" s="7">
        <v>49.457154000000003</v>
      </c>
      <c r="J536" s="10">
        <v>-124.68663599999999</v>
      </c>
      <c r="K536" s="7" t="s">
        <v>41</v>
      </c>
      <c r="L536" s="7" t="s">
        <v>163</v>
      </c>
      <c r="M536" s="7" t="s">
        <v>787</v>
      </c>
      <c r="N536" s="7" t="s">
        <v>105</v>
      </c>
      <c r="O536" s="7" t="s">
        <v>31</v>
      </c>
      <c r="P536" s="7" t="s">
        <v>105</v>
      </c>
      <c r="Q536" s="7" t="s">
        <v>31</v>
      </c>
      <c r="R536" s="7" t="s">
        <v>794</v>
      </c>
    </row>
    <row r="537" spans="1:18" s="7" customFormat="1" x14ac:dyDescent="0.35">
      <c r="A537" s="7">
        <v>33</v>
      </c>
      <c r="B537" s="7" t="s">
        <v>783</v>
      </c>
      <c r="C537" s="7">
        <v>2019</v>
      </c>
      <c r="D537" s="7" t="s">
        <v>663</v>
      </c>
      <c r="E537" s="7" t="s">
        <v>784</v>
      </c>
      <c r="F537" s="7" t="s">
        <v>785</v>
      </c>
      <c r="G537" s="7" t="s">
        <v>54</v>
      </c>
      <c r="H537" s="7" t="s">
        <v>795</v>
      </c>
      <c r="I537" s="7">
        <v>49.201028999999998</v>
      </c>
      <c r="J537" s="10">
        <v>-123.904743</v>
      </c>
      <c r="K537" s="7" t="s">
        <v>41</v>
      </c>
      <c r="L537" s="7" t="s">
        <v>163</v>
      </c>
      <c r="M537" s="7" t="s">
        <v>787</v>
      </c>
      <c r="N537" s="7" t="s">
        <v>105</v>
      </c>
      <c r="O537" s="7" t="s">
        <v>31</v>
      </c>
      <c r="P537" s="7" t="s">
        <v>105</v>
      </c>
      <c r="Q537" s="7" t="s">
        <v>31</v>
      </c>
      <c r="R537" s="7" t="s">
        <v>796</v>
      </c>
    </row>
    <row r="538" spans="1:18" s="7" customFormat="1" x14ac:dyDescent="0.35">
      <c r="A538" s="7">
        <v>33</v>
      </c>
      <c r="B538" s="7" t="s">
        <v>783</v>
      </c>
      <c r="C538" s="7">
        <v>2019</v>
      </c>
      <c r="D538" s="7" t="s">
        <v>663</v>
      </c>
      <c r="E538" s="7" t="s">
        <v>784</v>
      </c>
      <c r="F538" s="7" t="s">
        <v>785</v>
      </c>
      <c r="G538" s="7" t="s">
        <v>54</v>
      </c>
      <c r="H538" s="7" t="s">
        <v>786</v>
      </c>
      <c r="I538" s="7">
        <v>49.398269999999997</v>
      </c>
      <c r="J538" s="10">
        <v>-124.57964</v>
      </c>
      <c r="K538" s="7" t="s">
        <v>103</v>
      </c>
      <c r="L538" s="7" t="s">
        <v>163</v>
      </c>
      <c r="M538" s="7" t="s">
        <v>797</v>
      </c>
      <c r="N538" s="7" t="s">
        <v>798</v>
      </c>
      <c r="O538" s="7" t="s">
        <v>31</v>
      </c>
      <c r="P538" s="7" t="s">
        <v>798</v>
      </c>
      <c r="R538" s="7" t="s">
        <v>792</v>
      </c>
    </row>
    <row r="539" spans="1:18" s="7" customFormat="1" x14ac:dyDescent="0.35">
      <c r="A539" s="7">
        <v>33</v>
      </c>
      <c r="B539" s="7" t="s">
        <v>783</v>
      </c>
      <c r="C539" s="7">
        <v>2019</v>
      </c>
      <c r="D539" s="7" t="s">
        <v>663</v>
      </c>
      <c r="E539" s="7" t="s">
        <v>784</v>
      </c>
      <c r="F539" s="7" t="s">
        <v>785</v>
      </c>
      <c r="G539" s="7" t="s">
        <v>54</v>
      </c>
      <c r="H539" s="7" t="s">
        <v>791</v>
      </c>
      <c r="I539" s="7">
        <v>48.752653000000002</v>
      </c>
      <c r="J539" s="10">
        <v>-123.61667799999999</v>
      </c>
      <c r="K539" s="7" t="s">
        <v>103</v>
      </c>
      <c r="L539" s="7" t="s">
        <v>163</v>
      </c>
      <c r="M539" s="7" t="s">
        <v>797</v>
      </c>
      <c r="N539" s="7" t="s">
        <v>798</v>
      </c>
      <c r="O539" s="7" t="s">
        <v>31</v>
      </c>
      <c r="P539" s="7" t="s">
        <v>798</v>
      </c>
      <c r="R539" s="7" t="s">
        <v>792</v>
      </c>
    </row>
    <row r="540" spans="1:18" s="7" customFormat="1" x14ac:dyDescent="0.35">
      <c r="A540" s="7">
        <v>33</v>
      </c>
      <c r="B540" s="7" t="s">
        <v>783</v>
      </c>
      <c r="C540" s="7">
        <v>2019</v>
      </c>
      <c r="D540" s="7" t="s">
        <v>663</v>
      </c>
      <c r="E540" s="7" t="s">
        <v>784</v>
      </c>
      <c r="F540" s="7" t="s">
        <v>785</v>
      </c>
      <c r="G540" s="7" t="s">
        <v>54</v>
      </c>
      <c r="H540" s="7" t="s">
        <v>793</v>
      </c>
      <c r="I540" s="7">
        <v>49.457154000000003</v>
      </c>
      <c r="J540" s="10">
        <v>-124.68663599999999</v>
      </c>
      <c r="K540" s="7" t="s">
        <v>103</v>
      </c>
      <c r="L540" s="7" t="s">
        <v>163</v>
      </c>
      <c r="M540" s="7" t="s">
        <v>797</v>
      </c>
      <c r="N540" s="7" t="s">
        <v>798</v>
      </c>
      <c r="O540" s="7" t="s">
        <v>31</v>
      </c>
      <c r="P540" s="7" t="s">
        <v>798</v>
      </c>
      <c r="R540" s="7" t="s">
        <v>792</v>
      </c>
    </row>
    <row r="541" spans="1:18" s="7" customFormat="1" x14ac:dyDescent="0.35">
      <c r="A541" s="7">
        <v>33</v>
      </c>
      <c r="B541" s="7" t="s">
        <v>783</v>
      </c>
      <c r="C541" s="7">
        <v>2019</v>
      </c>
      <c r="D541" s="7" t="s">
        <v>663</v>
      </c>
      <c r="E541" s="7" t="s">
        <v>784</v>
      </c>
      <c r="F541" s="7" t="s">
        <v>785</v>
      </c>
      <c r="G541" s="7" t="s">
        <v>54</v>
      </c>
      <c r="H541" s="7" t="s">
        <v>795</v>
      </c>
      <c r="I541" s="7">
        <v>49.201028999999998</v>
      </c>
      <c r="J541" s="10">
        <v>-123.904743</v>
      </c>
      <c r="K541" s="7" t="s">
        <v>103</v>
      </c>
      <c r="L541" s="7" t="s">
        <v>163</v>
      </c>
      <c r="M541" s="7" t="s">
        <v>797</v>
      </c>
      <c r="N541" s="7" t="s">
        <v>798</v>
      </c>
      <c r="O541" s="7" t="s">
        <v>31</v>
      </c>
      <c r="P541" s="7" t="s">
        <v>798</v>
      </c>
      <c r="R541" s="7" t="s">
        <v>792</v>
      </c>
    </row>
    <row r="542" spans="1:18" s="7" customFormat="1" x14ac:dyDescent="0.35">
      <c r="A542" s="7">
        <v>34</v>
      </c>
      <c r="B542" s="7" t="s">
        <v>800</v>
      </c>
      <c r="C542" s="7">
        <v>2018</v>
      </c>
      <c r="D542" s="7" t="s">
        <v>801</v>
      </c>
      <c r="E542" s="7" t="s">
        <v>802</v>
      </c>
      <c r="F542" s="7" t="s">
        <v>803</v>
      </c>
      <c r="G542" s="7" t="s">
        <v>804</v>
      </c>
      <c r="H542" s="7" t="s">
        <v>805</v>
      </c>
      <c r="I542" s="7">
        <v>49.723742000000001</v>
      </c>
      <c r="J542" s="7">
        <v>-54.189283000000003</v>
      </c>
      <c r="K542" s="7" t="s">
        <v>138</v>
      </c>
      <c r="L542" s="7" t="s">
        <v>42</v>
      </c>
      <c r="M542" s="9" t="s">
        <v>806</v>
      </c>
      <c r="N542" s="53" t="s">
        <v>271</v>
      </c>
      <c r="O542" s="9" t="s">
        <v>44</v>
      </c>
      <c r="P542" s="53" t="s">
        <v>141</v>
      </c>
      <c r="Q542" s="7" t="s">
        <v>31</v>
      </c>
    </row>
    <row r="543" spans="1:18" s="7" customFormat="1" x14ac:dyDescent="0.35">
      <c r="A543" s="7">
        <v>35</v>
      </c>
      <c r="B543" s="4" t="s">
        <v>808</v>
      </c>
      <c r="C543" s="4">
        <v>2018</v>
      </c>
      <c r="D543" s="4" t="s">
        <v>619</v>
      </c>
      <c r="E543" s="8" t="s">
        <v>809</v>
      </c>
      <c r="F543" s="3" t="s">
        <v>810</v>
      </c>
      <c r="G543" s="3" t="s">
        <v>86</v>
      </c>
      <c r="H543" s="3" t="s">
        <v>811</v>
      </c>
      <c r="I543" s="7">
        <v>42.132434862980098</v>
      </c>
      <c r="J543" s="7">
        <v>-81.184011141334196</v>
      </c>
      <c r="K543" s="7" t="s">
        <v>103</v>
      </c>
      <c r="L543" s="7" t="s">
        <v>28</v>
      </c>
      <c r="M543" s="7" t="s">
        <v>812</v>
      </c>
      <c r="N543" s="7" t="s">
        <v>265</v>
      </c>
      <c r="O543" s="7" t="s">
        <v>31</v>
      </c>
      <c r="P543" s="7" t="s">
        <v>265</v>
      </c>
      <c r="Q543" s="7" t="s">
        <v>31</v>
      </c>
      <c r="R543" s="7" t="s">
        <v>815</v>
      </c>
    </row>
    <row r="544" spans="1:18" s="7" customFormat="1" x14ac:dyDescent="0.35">
      <c r="A544" s="7">
        <v>35</v>
      </c>
      <c r="B544" s="4" t="s">
        <v>808</v>
      </c>
      <c r="C544" s="4">
        <v>2018</v>
      </c>
      <c r="D544" s="4" t="s">
        <v>619</v>
      </c>
      <c r="E544" s="8" t="s">
        <v>809</v>
      </c>
      <c r="F544" s="3" t="s">
        <v>810</v>
      </c>
      <c r="G544" s="3" t="s">
        <v>86</v>
      </c>
      <c r="H544" s="3" t="s">
        <v>816</v>
      </c>
      <c r="I544" s="7">
        <v>42.109605529430603</v>
      </c>
      <c r="J544" s="7">
        <v>-83.109996265428194</v>
      </c>
      <c r="K544" s="7" t="s">
        <v>103</v>
      </c>
      <c r="L544" s="7" t="s">
        <v>28</v>
      </c>
      <c r="M544" s="7" t="s">
        <v>812</v>
      </c>
      <c r="N544" s="7" t="s">
        <v>265</v>
      </c>
      <c r="O544" s="7" t="s">
        <v>31</v>
      </c>
      <c r="P544" s="7" t="s">
        <v>265</v>
      </c>
      <c r="Q544" s="7" t="s">
        <v>31</v>
      </c>
      <c r="R544" s="7" t="s">
        <v>818</v>
      </c>
    </row>
    <row r="545" spans="1:27" s="7" customFormat="1" x14ac:dyDescent="0.35">
      <c r="A545" s="7">
        <v>35</v>
      </c>
      <c r="B545" s="4" t="s">
        <v>808</v>
      </c>
      <c r="C545" s="4">
        <v>2018</v>
      </c>
      <c r="D545" s="4" t="s">
        <v>619</v>
      </c>
      <c r="E545" s="8" t="s">
        <v>809</v>
      </c>
      <c r="F545" s="3" t="s">
        <v>810</v>
      </c>
      <c r="G545" s="3" t="s">
        <v>86</v>
      </c>
      <c r="H545" s="3" t="s">
        <v>819</v>
      </c>
      <c r="I545" s="7">
        <v>42.023969047022803</v>
      </c>
      <c r="J545" s="7">
        <v>-82.623851236850797</v>
      </c>
      <c r="K545" s="7" t="s">
        <v>103</v>
      </c>
      <c r="L545" s="7" t="s">
        <v>28</v>
      </c>
      <c r="M545" s="7" t="s">
        <v>812</v>
      </c>
      <c r="N545" s="7" t="s">
        <v>265</v>
      </c>
      <c r="O545" s="7" t="s">
        <v>31</v>
      </c>
      <c r="P545" s="7" t="s">
        <v>265</v>
      </c>
      <c r="Q545" s="7" t="s">
        <v>31</v>
      </c>
      <c r="R545" s="7" t="s">
        <v>2216</v>
      </c>
    </row>
    <row r="546" spans="1:27" s="7" customFormat="1" x14ac:dyDescent="0.35">
      <c r="A546" s="7">
        <v>35</v>
      </c>
      <c r="B546" s="4" t="s">
        <v>808</v>
      </c>
      <c r="C546" s="4">
        <v>2018</v>
      </c>
      <c r="D546" s="4" t="s">
        <v>619</v>
      </c>
      <c r="E546" s="8" t="s">
        <v>809</v>
      </c>
      <c r="F546" s="3" t="s">
        <v>810</v>
      </c>
      <c r="G546" s="3" t="s">
        <v>86</v>
      </c>
      <c r="H546" s="3" t="s">
        <v>821</v>
      </c>
      <c r="I546" s="7">
        <v>42.040289665126103</v>
      </c>
      <c r="J546" s="7">
        <v>-82.9973863894716</v>
      </c>
      <c r="K546" s="7" t="s">
        <v>103</v>
      </c>
      <c r="L546" s="7" t="s">
        <v>28</v>
      </c>
      <c r="M546" s="7" t="s">
        <v>812</v>
      </c>
      <c r="N546" s="7" t="s">
        <v>265</v>
      </c>
      <c r="O546" s="7" t="s">
        <v>31</v>
      </c>
      <c r="P546" s="7" t="s">
        <v>265</v>
      </c>
      <c r="Q546" s="7" t="s">
        <v>31</v>
      </c>
      <c r="S546" s="7" t="s">
        <v>823</v>
      </c>
      <c r="T546" s="7">
        <f>0.1+0.5/2</f>
        <v>0.35</v>
      </c>
      <c r="U546" s="7" t="s">
        <v>824</v>
      </c>
      <c r="V546" s="7">
        <f>0.16+1.7/2</f>
        <v>1.01</v>
      </c>
      <c r="W546" s="7" t="s">
        <v>825</v>
      </c>
      <c r="X546" s="7">
        <f>SUM(T546+V546)</f>
        <v>1.3599999999999999</v>
      </c>
    </row>
    <row r="547" spans="1:27" s="7" customFormat="1" x14ac:dyDescent="0.35">
      <c r="A547" s="7">
        <v>35</v>
      </c>
      <c r="B547" s="4" t="s">
        <v>808</v>
      </c>
      <c r="C547" s="4">
        <v>2018</v>
      </c>
      <c r="D547" s="4" t="s">
        <v>619</v>
      </c>
      <c r="E547" s="8" t="s">
        <v>809</v>
      </c>
      <c r="F547" s="3" t="s">
        <v>810</v>
      </c>
      <c r="G547" s="3" t="s">
        <v>86</v>
      </c>
      <c r="H547" s="3" t="s">
        <v>826</v>
      </c>
      <c r="I547" s="7">
        <v>42.203265315282401</v>
      </c>
      <c r="J547" s="7">
        <v>-82.228343428193398</v>
      </c>
      <c r="K547" s="7" t="s">
        <v>103</v>
      </c>
      <c r="L547" s="7" t="s">
        <v>28</v>
      </c>
      <c r="M547" s="7" t="s">
        <v>812</v>
      </c>
      <c r="N547" s="7" t="s">
        <v>265</v>
      </c>
      <c r="O547" s="7" t="s">
        <v>31</v>
      </c>
      <c r="P547" s="7" t="s">
        <v>265</v>
      </c>
      <c r="Q547" s="7" t="s">
        <v>31</v>
      </c>
      <c r="R547" s="7" t="s">
        <v>2217</v>
      </c>
    </row>
    <row r="548" spans="1:27" s="7" customFormat="1" x14ac:dyDescent="0.35">
      <c r="A548" s="7">
        <v>35</v>
      </c>
      <c r="B548" s="4" t="s">
        <v>808</v>
      </c>
      <c r="C548" s="4">
        <v>2018</v>
      </c>
      <c r="D548" s="4" t="s">
        <v>619</v>
      </c>
      <c r="E548" s="8" t="s">
        <v>809</v>
      </c>
      <c r="F548" s="3" t="s">
        <v>810</v>
      </c>
      <c r="G548" s="3" t="s">
        <v>86</v>
      </c>
      <c r="H548" s="3" t="s">
        <v>828</v>
      </c>
      <c r="I548" s="7">
        <v>42.406395192101897</v>
      </c>
      <c r="J548" s="7">
        <v>-81.810862963499503</v>
      </c>
      <c r="K548" s="7" t="s">
        <v>103</v>
      </c>
      <c r="L548" s="7" t="s">
        <v>28</v>
      </c>
      <c r="M548" s="7" t="s">
        <v>812</v>
      </c>
      <c r="N548" s="7" t="s">
        <v>265</v>
      </c>
      <c r="O548" s="7" t="s">
        <v>31</v>
      </c>
      <c r="P548" s="7" t="s">
        <v>265</v>
      </c>
      <c r="Q548" s="7" t="s">
        <v>31</v>
      </c>
      <c r="S548" s="7" t="s">
        <v>823</v>
      </c>
      <c r="T548" s="7">
        <f>0.07+4/2</f>
        <v>2.0699999999999998</v>
      </c>
      <c r="U548" s="7" t="s">
        <v>824</v>
      </c>
      <c r="V548" s="7">
        <f>0.28+3.8/2</f>
        <v>2.1799999999999997</v>
      </c>
      <c r="W548" s="7" t="s">
        <v>830</v>
      </c>
      <c r="X548" s="7">
        <v>0.4</v>
      </c>
      <c r="Z548" s="7" t="s">
        <v>825</v>
      </c>
      <c r="AA548" s="7">
        <f>SUM(T548+V548+X548)</f>
        <v>4.6500000000000004</v>
      </c>
    </row>
    <row r="549" spans="1:27" s="7" customFormat="1" x14ac:dyDescent="0.35">
      <c r="A549" s="7">
        <v>35</v>
      </c>
      <c r="B549" s="4" t="s">
        <v>808</v>
      </c>
      <c r="C549" s="4">
        <v>2018</v>
      </c>
      <c r="D549" s="4" t="s">
        <v>619</v>
      </c>
      <c r="E549" s="8" t="s">
        <v>809</v>
      </c>
      <c r="F549" s="3" t="s">
        <v>810</v>
      </c>
      <c r="G549" s="3" t="s">
        <v>86</v>
      </c>
      <c r="H549" s="3" t="s">
        <v>831</v>
      </c>
      <c r="I549" s="7">
        <v>42.671503289529802</v>
      </c>
      <c r="J549" s="7">
        <v>-81.114604425342193</v>
      </c>
      <c r="K549" s="7" t="s">
        <v>103</v>
      </c>
      <c r="L549" s="7" t="s">
        <v>28</v>
      </c>
      <c r="M549" s="7" t="s">
        <v>812</v>
      </c>
      <c r="N549" s="7" t="s">
        <v>265</v>
      </c>
      <c r="O549" s="7" t="s">
        <v>31</v>
      </c>
      <c r="P549" s="7" t="s">
        <v>265</v>
      </c>
      <c r="Q549" s="7" t="s">
        <v>31</v>
      </c>
    </row>
    <row r="550" spans="1:27" s="7" customFormat="1" x14ac:dyDescent="0.35">
      <c r="A550" s="7">
        <v>35</v>
      </c>
      <c r="B550" s="4" t="s">
        <v>808</v>
      </c>
      <c r="C550" s="4">
        <v>2018</v>
      </c>
      <c r="D550" s="4" t="s">
        <v>619</v>
      </c>
      <c r="E550" s="8" t="s">
        <v>809</v>
      </c>
      <c r="F550" s="3" t="s">
        <v>810</v>
      </c>
      <c r="G550" s="3" t="s">
        <v>86</v>
      </c>
      <c r="H550" s="3" t="s">
        <v>833</v>
      </c>
      <c r="I550" s="7">
        <v>42.746177258998898</v>
      </c>
      <c r="J550" s="7">
        <v>-80.302989434080501</v>
      </c>
      <c r="K550" s="7" t="s">
        <v>103</v>
      </c>
      <c r="L550" s="7" t="s">
        <v>28</v>
      </c>
      <c r="M550" s="7" t="s">
        <v>812</v>
      </c>
      <c r="N550" s="7" t="s">
        <v>265</v>
      </c>
      <c r="O550" s="7" t="s">
        <v>31</v>
      </c>
      <c r="P550" s="7" t="s">
        <v>265</v>
      </c>
      <c r="Q550" s="7" t="s">
        <v>31</v>
      </c>
      <c r="R550" s="7" t="s">
        <v>2218</v>
      </c>
    </row>
    <row r="551" spans="1:27" s="7" customFormat="1" x14ac:dyDescent="0.35">
      <c r="A551" s="7">
        <v>35</v>
      </c>
      <c r="B551" s="4" t="s">
        <v>808</v>
      </c>
      <c r="C551" s="4">
        <v>2018</v>
      </c>
      <c r="D551" s="4" t="s">
        <v>619</v>
      </c>
      <c r="E551" s="8" t="s">
        <v>809</v>
      </c>
      <c r="F551" s="3" t="s">
        <v>810</v>
      </c>
      <c r="G551" s="3" t="s">
        <v>86</v>
      </c>
      <c r="H551" s="3" t="s">
        <v>835</v>
      </c>
      <c r="I551" s="7">
        <v>42.814717369944802</v>
      </c>
      <c r="J551" s="7">
        <v>-80.000865413578296</v>
      </c>
      <c r="K551" s="7" t="s">
        <v>103</v>
      </c>
      <c r="L551" s="7" t="s">
        <v>28</v>
      </c>
      <c r="M551" s="7" t="s">
        <v>812</v>
      </c>
      <c r="N551" s="7" t="s">
        <v>265</v>
      </c>
      <c r="O551" s="7" t="s">
        <v>31</v>
      </c>
      <c r="P551" s="7" t="s">
        <v>265</v>
      </c>
      <c r="Q551" s="7" t="s">
        <v>31</v>
      </c>
      <c r="S551" s="7" t="s">
        <v>823</v>
      </c>
      <c r="T551" s="7">
        <f>0.15+2.5/2</f>
        <v>1.4</v>
      </c>
      <c r="U551" s="7" t="s">
        <v>824</v>
      </c>
      <c r="V551" s="7">
        <f>0.48+3/2</f>
        <v>1.98</v>
      </c>
      <c r="W551" s="7" t="s">
        <v>830</v>
      </c>
      <c r="X551" s="7">
        <f>0.32+0.48/2</f>
        <v>0.56000000000000005</v>
      </c>
      <c r="Z551" s="7" t="s">
        <v>825</v>
      </c>
      <c r="AA551" s="7">
        <f>SUM(T551+V551+X551)</f>
        <v>3.94</v>
      </c>
    </row>
    <row r="552" spans="1:27" s="7" customFormat="1" x14ac:dyDescent="0.35">
      <c r="A552" s="7">
        <v>35</v>
      </c>
      <c r="B552" s="4" t="s">
        <v>808</v>
      </c>
      <c r="C552" s="4">
        <v>2018</v>
      </c>
      <c r="D552" s="4" t="s">
        <v>619</v>
      </c>
      <c r="E552" s="8" t="s">
        <v>809</v>
      </c>
      <c r="F552" s="3" t="s">
        <v>810</v>
      </c>
      <c r="G552" s="3" t="s">
        <v>86</v>
      </c>
      <c r="H552" s="3" t="s">
        <v>837</v>
      </c>
      <c r="I552" s="7">
        <v>42.8750318771758</v>
      </c>
      <c r="J552" s="7">
        <v>-79.408889398700296</v>
      </c>
      <c r="K552" s="7" t="s">
        <v>103</v>
      </c>
      <c r="L552" s="7" t="s">
        <v>28</v>
      </c>
      <c r="M552" s="7" t="s">
        <v>812</v>
      </c>
      <c r="N552" s="7" t="s">
        <v>265</v>
      </c>
      <c r="O552" s="7" t="s">
        <v>31</v>
      </c>
      <c r="P552" s="7" t="s">
        <v>265</v>
      </c>
      <c r="Q552" s="7" t="s">
        <v>31</v>
      </c>
    </row>
    <row r="553" spans="1:27" s="7" customFormat="1" x14ac:dyDescent="0.35">
      <c r="A553" s="7">
        <v>35</v>
      </c>
      <c r="B553" s="4" t="s">
        <v>808</v>
      </c>
      <c r="C553" s="4">
        <v>2018</v>
      </c>
      <c r="D553" s="4" t="s">
        <v>619</v>
      </c>
      <c r="E553" s="8" t="s">
        <v>809</v>
      </c>
      <c r="F553" s="3" t="s">
        <v>810</v>
      </c>
      <c r="G553" s="3" t="s">
        <v>86</v>
      </c>
      <c r="H553" s="3" t="s">
        <v>839</v>
      </c>
      <c r="I553" s="7">
        <v>42.882076287195503</v>
      </c>
      <c r="J553" s="7">
        <v>-78.921371089343793</v>
      </c>
      <c r="K553" s="7" t="s">
        <v>103</v>
      </c>
      <c r="L553" s="7" t="s">
        <v>28</v>
      </c>
      <c r="M553" s="7" t="s">
        <v>812</v>
      </c>
      <c r="N553" s="7" t="s">
        <v>265</v>
      </c>
      <c r="O553" s="7" t="s">
        <v>31</v>
      </c>
      <c r="P553" s="7" t="s">
        <v>265</v>
      </c>
      <c r="Q553" s="7" t="s">
        <v>31</v>
      </c>
      <c r="R553" s="7" t="s">
        <v>841</v>
      </c>
    </row>
    <row r="554" spans="1:27" s="7" customFormat="1" x14ac:dyDescent="0.35">
      <c r="A554" s="7">
        <v>35</v>
      </c>
      <c r="B554" s="4" t="s">
        <v>808</v>
      </c>
      <c r="C554" s="4">
        <v>2018</v>
      </c>
      <c r="D554" s="4" t="s">
        <v>619</v>
      </c>
      <c r="E554" s="8" t="s">
        <v>809</v>
      </c>
      <c r="F554" s="3" t="s">
        <v>810</v>
      </c>
      <c r="G554" s="3" t="s">
        <v>86</v>
      </c>
      <c r="H554" s="3" t="s">
        <v>842</v>
      </c>
      <c r="I554" s="7">
        <v>42.878582957014601</v>
      </c>
      <c r="J554" s="7">
        <v>-79.450495402121902</v>
      </c>
      <c r="K554" s="7" t="s">
        <v>103</v>
      </c>
      <c r="L554" s="7" t="s">
        <v>28</v>
      </c>
      <c r="M554" s="7" t="s">
        <v>812</v>
      </c>
      <c r="N554" s="7" t="s">
        <v>265</v>
      </c>
      <c r="O554" s="7" t="s">
        <v>31</v>
      </c>
      <c r="P554" s="7" t="s">
        <v>265</v>
      </c>
      <c r="Q554" s="7" t="s">
        <v>31</v>
      </c>
      <c r="R554" s="7" t="s">
        <v>844</v>
      </c>
    </row>
    <row r="555" spans="1:27" s="7" customFormat="1" x14ac:dyDescent="0.35">
      <c r="A555" s="7">
        <v>35</v>
      </c>
      <c r="B555" s="4" t="s">
        <v>808</v>
      </c>
      <c r="C555" s="4">
        <v>2018</v>
      </c>
      <c r="D555" s="4" t="s">
        <v>619</v>
      </c>
      <c r="E555" s="8" t="s">
        <v>809</v>
      </c>
      <c r="F555" s="3" t="s">
        <v>810</v>
      </c>
      <c r="G555" s="3" t="s">
        <v>86</v>
      </c>
      <c r="H555" s="3" t="s">
        <v>845</v>
      </c>
      <c r="I555" s="7">
        <v>41.915156800583098</v>
      </c>
      <c r="J555" s="7">
        <v>-82.998049407956003</v>
      </c>
      <c r="K555" s="7" t="s">
        <v>103</v>
      </c>
      <c r="L555" s="7" t="s">
        <v>28</v>
      </c>
      <c r="M555" s="7" t="s">
        <v>812</v>
      </c>
      <c r="N555" s="7" t="s">
        <v>265</v>
      </c>
      <c r="O555" s="7" t="s">
        <v>31</v>
      </c>
      <c r="P555" s="7" t="s">
        <v>265</v>
      </c>
      <c r="Q555" s="7" t="s">
        <v>31</v>
      </c>
    </row>
    <row r="556" spans="1:27" s="7" customFormat="1" x14ac:dyDescent="0.35">
      <c r="A556" s="7">
        <v>35</v>
      </c>
      <c r="B556" s="4" t="s">
        <v>808</v>
      </c>
      <c r="C556" s="4">
        <v>2018</v>
      </c>
      <c r="D556" s="4" t="s">
        <v>619</v>
      </c>
      <c r="E556" s="8" t="s">
        <v>809</v>
      </c>
      <c r="F556" s="3" t="s">
        <v>810</v>
      </c>
      <c r="G556" s="3" t="s">
        <v>86</v>
      </c>
      <c r="H556" s="3" t="s">
        <v>847</v>
      </c>
      <c r="I556" s="7">
        <v>42.015807166521597</v>
      </c>
      <c r="J556" s="7">
        <v>-82.799632485142993</v>
      </c>
      <c r="K556" s="7" t="s">
        <v>103</v>
      </c>
      <c r="L556" s="7" t="s">
        <v>28</v>
      </c>
      <c r="M556" s="7" t="s">
        <v>812</v>
      </c>
      <c r="N556" s="7" t="s">
        <v>265</v>
      </c>
      <c r="O556" s="7" t="s">
        <v>31</v>
      </c>
      <c r="P556" s="7" t="s">
        <v>265</v>
      </c>
      <c r="Q556" s="7" t="s">
        <v>31</v>
      </c>
    </row>
    <row r="557" spans="1:27" s="7" customFormat="1" x14ac:dyDescent="0.35">
      <c r="A557" s="7">
        <v>35</v>
      </c>
      <c r="B557" s="4" t="s">
        <v>808</v>
      </c>
      <c r="C557" s="4">
        <v>2018</v>
      </c>
      <c r="D557" s="4" t="s">
        <v>619</v>
      </c>
      <c r="E557" s="8" t="s">
        <v>809</v>
      </c>
      <c r="F557" s="3" t="s">
        <v>810</v>
      </c>
      <c r="G557" s="3" t="s">
        <v>86</v>
      </c>
      <c r="H557" s="3" t="s">
        <v>849</v>
      </c>
      <c r="I557" s="7">
        <v>42.370141245316603</v>
      </c>
      <c r="J557" s="7">
        <v>-81.825130011271796</v>
      </c>
      <c r="K557" s="7" t="s">
        <v>103</v>
      </c>
      <c r="L557" s="7" t="s">
        <v>28</v>
      </c>
      <c r="M557" s="7" t="s">
        <v>812</v>
      </c>
      <c r="N557" s="7" t="s">
        <v>265</v>
      </c>
      <c r="O557" s="7" t="s">
        <v>31</v>
      </c>
      <c r="P557" s="7" t="s">
        <v>265</v>
      </c>
      <c r="Q557" s="7" t="s">
        <v>31</v>
      </c>
    </row>
    <row r="558" spans="1:27" s="7" customFormat="1" x14ac:dyDescent="0.35">
      <c r="A558" s="7">
        <v>35</v>
      </c>
      <c r="B558" s="4" t="s">
        <v>808</v>
      </c>
      <c r="C558" s="4">
        <v>2018</v>
      </c>
      <c r="D558" s="4" t="s">
        <v>619</v>
      </c>
      <c r="E558" s="8" t="s">
        <v>809</v>
      </c>
      <c r="F558" s="3" t="s">
        <v>810</v>
      </c>
      <c r="G558" s="3" t="s">
        <v>86</v>
      </c>
      <c r="H558" s="3" t="s">
        <v>851</v>
      </c>
      <c r="I558" s="7">
        <v>42.857189063566402</v>
      </c>
      <c r="J558" s="7">
        <v>-79.576532350667193</v>
      </c>
      <c r="K558" s="7" t="s">
        <v>103</v>
      </c>
      <c r="L558" s="7" t="s">
        <v>28</v>
      </c>
      <c r="M558" s="7" t="s">
        <v>812</v>
      </c>
      <c r="N558" s="7" t="s">
        <v>265</v>
      </c>
      <c r="O558" s="7" t="s">
        <v>31</v>
      </c>
      <c r="P558" s="7" t="s">
        <v>265</v>
      </c>
      <c r="Q558" s="7" t="s">
        <v>31</v>
      </c>
    </row>
    <row r="559" spans="1:27" s="7" customFormat="1" x14ac:dyDescent="0.35">
      <c r="A559" s="7">
        <v>35</v>
      </c>
      <c r="B559" s="4" t="s">
        <v>808</v>
      </c>
      <c r="C559" s="4">
        <v>2018</v>
      </c>
      <c r="D559" s="4" t="s">
        <v>619</v>
      </c>
      <c r="E559" s="8" t="s">
        <v>809</v>
      </c>
      <c r="F559" s="3" t="s">
        <v>810</v>
      </c>
      <c r="G559" s="3" t="s">
        <v>86</v>
      </c>
      <c r="H559" s="3" t="s">
        <v>853</v>
      </c>
      <c r="I559" s="7">
        <v>42.875899756210302</v>
      </c>
      <c r="J559" s="7">
        <v>-79.248775570823199</v>
      </c>
      <c r="K559" s="7" t="s">
        <v>103</v>
      </c>
      <c r="L559" s="7" t="s">
        <v>28</v>
      </c>
      <c r="M559" s="7" t="s">
        <v>812</v>
      </c>
      <c r="N559" s="7" t="s">
        <v>265</v>
      </c>
      <c r="O559" s="7" t="s">
        <v>31</v>
      </c>
      <c r="P559" s="7" t="s">
        <v>265</v>
      </c>
      <c r="Q559" s="7" t="s">
        <v>31</v>
      </c>
    </row>
    <row r="560" spans="1:27" s="7" customFormat="1" x14ac:dyDescent="0.35">
      <c r="A560" s="7">
        <v>35</v>
      </c>
      <c r="B560" s="4" t="s">
        <v>808</v>
      </c>
      <c r="C560" s="4">
        <v>2018</v>
      </c>
      <c r="D560" s="4" t="s">
        <v>619</v>
      </c>
      <c r="E560" s="8" t="s">
        <v>809</v>
      </c>
      <c r="F560" s="3" t="s">
        <v>810</v>
      </c>
      <c r="G560" s="3" t="s">
        <v>86</v>
      </c>
      <c r="H560" s="3" t="s">
        <v>855</v>
      </c>
      <c r="I560" s="7">
        <v>42.882992964762003</v>
      </c>
      <c r="J560" s="7">
        <v>-78.9416732452557</v>
      </c>
      <c r="K560" s="7" t="s">
        <v>103</v>
      </c>
      <c r="L560" s="7" t="s">
        <v>28</v>
      </c>
      <c r="M560" s="7" t="s">
        <v>812</v>
      </c>
      <c r="N560" s="7" t="s">
        <v>265</v>
      </c>
      <c r="O560" s="7" t="s">
        <v>31</v>
      </c>
      <c r="P560" s="7" t="s">
        <v>265</v>
      </c>
      <c r="Q560" s="7" t="s">
        <v>31</v>
      </c>
    </row>
    <row r="561" spans="1:17" s="7" customFormat="1" x14ac:dyDescent="0.35">
      <c r="A561" s="7">
        <v>35</v>
      </c>
      <c r="B561" s="4" t="s">
        <v>808</v>
      </c>
      <c r="C561" s="4">
        <v>2018</v>
      </c>
      <c r="D561" s="4" t="s">
        <v>619</v>
      </c>
      <c r="E561" s="8" t="s">
        <v>809</v>
      </c>
      <c r="F561" s="3" t="s">
        <v>810</v>
      </c>
      <c r="G561" s="3" t="s">
        <v>86</v>
      </c>
      <c r="H561" s="3" t="s">
        <v>857</v>
      </c>
      <c r="I561" s="7">
        <v>42.8604410166025</v>
      </c>
      <c r="J561" s="7">
        <v>-79.057373755880505</v>
      </c>
      <c r="K561" s="7" t="s">
        <v>103</v>
      </c>
      <c r="L561" s="7" t="s">
        <v>28</v>
      </c>
      <c r="M561" s="7" t="s">
        <v>812</v>
      </c>
      <c r="N561" s="7" t="s">
        <v>265</v>
      </c>
      <c r="O561" s="7" t="s">
        <v>31</v>
      </c>
      <c r="P561" s="7" t="s">
        <v>265</v>
      </c>
      <c r="Q561" s="7" t="s">
        <v>31</v>
      </c>
    </row>
    <row r="562" spans="1:17" s="7" customFormat="1" x14ac:dyDescent="0.35">
      <c r="A562" s="7">
        <v>35</v>
      </c>
      <c r="B562" s="4" t="s">
        <v>808</v>
      </c>
      <c r="C562" s="4">
        <v>2018</v>
      </c>
      <c r="D562" s="4" t="s">
        <v>619</v>
      </c>
      <c r="E562" s="8" t="s">
        <v>809</v>
      </c>
      <c r="F562" s="3" t="s">
        <v>810</v>
      </c>
      <c r="G562" s="3" t="s">
        <v>86</v>
      </c>
      <c r="H562" s="3" t="s">
        <v>859</v>
      </c>
      <c r="I562" s="7">
        <v>42.866476868620097</v>
      </c>
      <c r="J562" s="7">
        <v>-79.385672197692998</v>
      </c>
      <c r="K562" s="7" t="s">
        <v>103</v>
      </c>
      <c r="L562" s="7" t="s">
        <v>28</v>
      </c>
      <c r="M562" s="7" t="s">
        <v>812</v>
      </c>
      <c r="N562" s="7" t="s">
        <v>265</v>
      </c>
      <c r="O562" s="7" t="s">
        <v>31</v>
      </c>
      <c r="P562" s="7" t="s">
        <v>265</v>
      </c>
      <c r="Q562" s="7" t="s">
        <v>31</v>
      </c>
    </row>
    <row r="563" spans="1:17" s="7" customFormat="1" x14ac:dyDescent="0.35">
      <c r="A563" s="7">
        <v>35</v>
      </c>
      <c r="B563" s="4" t="s">
        <v>808</v>
      </c>
      <c r="C563" s="4">
        <v>2018</v>
      </c>
      <c r="D563" s="4" t="s">
        <v>619</v>
      </c>
      <c r="E563" s="8" t="s">
        <v>809</v>
      </c>
      <c r="F563" s="3" t="s">
        <v>810</v>
      </c>
      <c r="G563" s="3" t="s">
        <v>86</v>
      </c>
      <c r="H563" s="3" t="s">
        <v>861</v>
      </c>
      <c r="I563" s="7">
        <v>42.3201271587143</v>
      </c>
      <c r="J563" s="7">
        <v>-81.841331287177098</v>
      </c>
      <c r="K563" s="7" t="s">
        <v>103</v>
      </c>
      <c r="L563" s="7" t="s">
        <v>28</v>
      </c>
      <c r="M563" s="7" t="s">
        <v>812</v>
      </c>
      <c r="N563" s="7" t="s">
        <v>265</v>
      </c>
      <c r="O563" s="7" t="s">
        <v>31</v>
      </c>
      <c r="P563" s="7" t="s">
        <v>265</v>
      </c>
      <c r="Q563" s="7" t="s">
        <v>31</v>
      </c>
    </row>
    <row r="564" spans="1:17" s="7" customFormat="1" x14ac:dyDescent="0.35">
      <c r="A564" s="7">
        <v>35</v>
      </c>
      <c r="B564" s="4" t="s">
        <v>808</v>
      </c>
      <c r="C564" s="4">
        <v>2018</v>
      </c>
      <c r="D564" s="4" t="s">
        <v>619</v>
      </c>
      <c r="E564" s="8" t="s">
        <v>809</v>
      </c>
      <c r="F564" s="3" t="s">
        <v>810</v>
      </c>
      <c r="G564" s="3" t="s">
        <v>86</v>
      </c>
      <c r="H564" s="3" t="s">
        <v>863</v>
      </c>
      <c r="I564" s="7">
        <v>42.029481166475797</v>
      </c>
      <c r="J564" s="7">
        <v>-82.605654531404895</v>
      </c>
      <c r="K564" s="7" t="s">
        <v>103</v>
      </c>
      <c r="L564" s="7" t="s">
        <v>28</v>
      </c>
      <c r="M564" s="7" t="s">
        <v>812</v>
      </c>
      <c r="N564" s="7" t="s">
        <v>265</v>
      </c>
      <c r="O564" s="7" t="s">
        <v>31</v>
      </c>
      <c r="P564" s="7" t="s">
        <v>265</v>
      </c>
      <c r="Q564" s="7" t="s">
        <v>31</v>
      </c>
    </row>
    <row r="565" spans="1:17" s="7" customFormat="1" x14ac:dyDescent="0.35">
      <c r="A565" s="7">
        <v>35</v>
      </c>
      <c r="B565" s="4" t="s">
        <v>808</v>
      </c>
      <c r="C565" s="4">
        <v>2018</v>
      </c>
      <c r="D565" s="4" t="s">
        <v>619</v>
      </c>
      <c r="E565" s="8" t="s">
        <v>809</v>
      </c>
      <c r="F565" s="3" t="s">
        <v>810</v>
      </c>
      <c r="G565" s="3" t="s">
        <v>86</v>
      </c>
      <c r="H565" s="3" t="s">
        <v>865</v>
      </c>
      <c r="I565" s="7">
        <v>42.038544847562399</v>
      </c>
      <c r="J565" s="7">
        <v>-83.072742507009096</v>
      </c>
      <c r="K565" s="7" t="s">
        <v>103</v>
      </c>
      <c r="L565" s="7" t="s">
        <v>28</v>
      </c>
      <c r="M565" s="7" t="s">
        <v>812</v>
      </c>
      <c r="N565" s="7" t="s">
        <v>265</v>
      </c>
      <c r="O565" s="7" t="s">
        <v>31</v>
      </c>
      <c r="P565" s="7" t="s">
        <v>265</v>
      </c>
      <c r="Q565" s="7" t="s">
        <v>31</v>
      </c>
    </row>
    <row r="566" spans="1:17" s="7" customFormat="1" x14ac:dyDescent="0.35">
      <c r="A566" s="7">
        <v>36</v>
      </c>
      <c r="B566" s="7" t="s">
        <v>867</v>
      </c>
      <c r="C566" s="7">
        <v>2016</v>
      </c>
      <c r="D566" s="7" t="s">
        <v>420</v>
      </c>
      <c r="E566" s="7" t="s">
        <v>868</v>
      </c>
      <c r="F566" s="7" t="s">
        <v>869</v>
      </c>
      <c r="G566" s="7" t="s">
        <v>86</v>
      </c>
      <c r="H566" s="7" t="s">
        <v>870</v>
      </c>
      <c r="I566" s="7">
        <v>43.311999999999998</v>
      </c>
      <c r="J566" s="7" t="s">
        <v>871</v>
      </c>
      <c r="K566" s="7" t="s">
        <v>103</v>
      </c>
      <c r="L566" s="7" t="s">
        <v>28</v>
      </c>
      <c r="M566" s="7" t="s">
        <v>872</v>
      </c>
      <c r="N566" s="7" t="s">
        <v>873</v>
      </c>
      <c r="O566" s="7" t="s">
        <v>44</v>
      </c>
      <c r="P566" s="7" t="s">
        <v>874</v>
      </c>
      <c r="Q566" s="7" t="s">
        <v>31</v>
      </c>
    </row>
    <row r="567" spans="1:17" s="7" customFormat="1" x14ac:dyDescent="0.35">
      <c r="A567" s="7">
        <v>36</v>
      </c>
      <c r="B567" s="7" t="s">
        <v>867</v>
      </c>
      <c r="C567" s="7">
        <v>2016</v>
      </c>
      <c r="D567" s="7" t="s">
        <v>420</v>
      </c>
      <c r="E567" s="7" t="s">
        <v>868</v>
      </c>
      <c r="F567" s="7" t="s">
        <v>869</v>
      </c>
      <c r="G567" s="7" t="s">
        <v>86</v>
      </c>
      <c r="H567" s="7" t="s">
        <v>877</v>
      </c>
      <c r="I567" s="7" t="s">
        <v>878</v>
      </c>
      <c r="J567" s="7" t="s">
        <v>879</v>
      </c>
      <c r="K567" s="7" t="s">
        <v>103</v>
      </c>
      <c r="L567" s="7" t="s">
        <v>28</v>
      </c>
      <c r="M567" s="7" t="s">
        <v>880</v>
      </c>
      <c r="N567" s="7" t="s">
        <v>873</v>
      </c>
      <c r="O567" s="7" t="s">
        <v>44</v>
      </c>
      <c r="P567" s="7" t="s">
        <v>874</v>
      </c>
      <c r="Q567" s="7" t="s">
        <v>31</v>
      </c>
    </row>
    <row r="568" spans="1:17" s="7" customFormat="1" x14ac:dyDescent="0.35">
      <c r="A568" s="7">
        <v>36</v>
      </c>
      <c r="B568" s="7" t="s">
        <v>867</v>
      </c>
      <c r="C568" s="7">
        <v>2016</v>
      </c>
      <c r="D568" s="7" t="s">
        <v>420</v>
      </c>
      <c r="E568" s="7" t="s">
        <v>868</v>
      </c>
      <c r="F568" s="7" t="s">
        <v>869</v>
      </c>
      <c r="G568" s="7" t="s">
        <v>86</v>
      </c>
      <c r="H568" s="7" t="s">
        <v>881</v>
      </c>
      <c r="I568" s="7">
        <v>43.584000000000003</v>
      </c>
      <c r="J568" s="7" t="s">
        <v>882</v>
      </c>
      <c r="K568" s="7" t="s">
        <v>103</v>
      </c>
      <c r="L568" s="7" t="s">
        <v>28</v>
      </c>
      <c r="M568" s="7" t="s">
        <v>880</v>
      </c>
      <c r="N568" s="7" t="s">
        <v>873</v>
      </c>
      <c r="O568" s="7" t="s">
        <v>44</v>
      </c>
      <c r="P568" s="7" t="s">
        <v>874</v>
      </c>
      <c r="Q568" s="7" t="s">
        <v>31</v>
      </c>
    </row>
    <row r="569" spans="1:17" s="7" customFormat="1" x14ac:dyDescent="0.35">
      <c r="A569" s="7">
        <v>36</v>
      </c>
      <c r="B569" s="7" t="s">
        <v>867</v>
      </c>
      <c r="C569" s="7">
        <v>2016</v>
      </c>
      <c r="D569" s="7" t="s">
        <v>420</v>
      </c>
      <c r="E569" s="7" t="s">
        <v>868</v>
      </c>
      <c r="F569" s="7" t="s">
        <v>869</v>
      </c>
      <c r="G569" s="7" t="s">
        <v>86</v>
      </c>
      <c r="H569" s="7" t="s">
        <v>883</v>
      </c>
      <c r="I569" s="7">
        <v>43.637</v>
      </c>
      <c r="J569" s="7" t="s">
        <v>884</v>
      </c>
      <c r="K569" s="7" t="s">
        <v>103</v>
      </c>
      <c r="L569" s="7" t="s">
        <v>28</v>
      </c>
      <c r="M569" s="7" t="s">
        <v>880</v>
      </c>
      <c r="N569" s="7" t="s">
        <v>873</v>
      </c>
      <c r="O569" s="7" t="s">
        <v>44</v>
      </c>
      <c r="P569" s="7" t="s">
        <v>874</v>
      </c>
      <c r="Q569" s="7" t="s">
        <v>31</v>
      </c>
    </row>
    <row r="570" spans="1:17" s="7" customFormat="1" x14ac:dyDescent="0.35">
      <c r="A570" s="7">
        <v>36</v>
      </c>
      <c r="B570" s="7" t="s">
        <v>867</v>
      </c>
      <c r="C570" s="7">
        <v>2016</v>
      </c>
      <c r="D570" s="7" t="s">
        <v>420</v>
      </c>
      <c r="E570" s="7" t="s">
        <v>868</v>
      </c>
      <c r="F570" s="7" t="s">
        <v>869</v>
      </c>
      <c r="G570" s="7" t="s">
        <v>86</v>
      </c>
      <c r="H570" s="7" t="s">
        <v>885</v>
      </c>
      <c r="I570" s="7">
        <v>43.665999999999997</v>
      </c>
      <c r="J570" s="7" t="s">
        <v>886</v>
      </c>
      <c r="K570" s="7" t="s">
        <v>103</v>
      </c>
      <c r="L570" s="7" t="s">
        <v>28</v>
      </c>
      <c r="M570" s="7" t="s">
        <v>880</v>
      </c>
      <c r="N570" s="7" t="s">
        <v>873</v>
      </c>
      <c r="O570" s="7" t="s">
        <v>44</v>
      </c>
      <c r="P570" s="7" t="s">
        <v>874</v>
      </c>
      <c r="Q570" s="7" t="s">
        <v>31</v>
      </c>
    </row>
    <row r="571" spans="1:17" s="7" customFormat="1" x14ac:dyDescent="0.35">
      <c r="A571" s="7">
        <v>36</v>
      </c>
      <c r="B571" s="7" t="s">
        <v>867</v>
      </c>
      <c r="C571" s="7">
        <v>2016</v>
      </c>
      <c r="D571" s="7" t="s">
        <v>420</v>
      </c>
      <c r="E571" s="7" t="s">
        <v>868</v>
      </c>
      <c r="F571" s="7" t="s">
        <v>869</v>
      </c>
      <c r="G571" s="7" t="s">
        <v>86</v>
      </c>
      <c r="H571" s="7" t="s">
        <v>887</v>
      </c>
      <c r="I571" s="7">
        <v>43.32</v>
      </c>
      <c r="J571" s="7" t="s">
        <v>888</v>
      </c>
      <c r="K571" s="7" t="s">
        <v>103</v>
      </c>
      <c r="L571" s="7" t="s">
        <v>28</v>
      </c>
      <c r="M571" s="7" t="s">
        <v>880</v>
      </c>
      <c r="N571" s="7" t="s">
        <v>873</v>
      </c>
      <c r="O571" s="7" t="s">
        <v>44</v>
      </c>
      <c r="P571" s="7" t="s">
        <v>874</v>
      </c>
      <c r="Q571" s="7" t="s">
        <v>31</v>
      </c>
    </row>
    <row r="572" spans="1:17" s="7" customFormat="1" x14ac:dyDescent="0.35">
      <c r="A572" s="7">
        <v>36</v>
      </c>
      <c r="B572" s="7" t="s">
        <v>867</v>
      </c>
      <c r="C572" s="7">
        <v>2016</v>
      </c>
      <c r="D572" s="7" t="s">
        <v>420</v>
      </c>
      <c r="E572" s="7" t="s">
        <v>868</v>
      </c>
      <c r="F572" s="7" t="s">
        <v>869</v>
      </c>
      <c r="G572" s="7" t="s">
        <v>86</v>
      </c>
      <c r="H572" s="7" t="s">
        <v>890</v>
      </c>
      <c r="I572" s="7" t="s">
        <v>891</v>
      </c>
      <c r="J572" s="7" t="s">
        <v>892</v>
      </c>
      <c r="K572" s="7" t="s">
        <v>103</v>
      </c>
      <c r="L572" s="7" t="s">
        <v>28</v>
      </c>
      <c r="M572" s="7" t="s">
        <v>880</v>
      </c>
      <c r="N572" s="7" t="s">
        <v>873</v>
      </c>
      <c r="O572" s="7" t="s">
        <v>44</v>
      </c>
      <c r="P572" s="7" t="s">
        <v>874</v>
      </c>
      <c r="Q572" s="7" t="s">
        <v>31</v>
      </c>
    </row>
    <row r="573" spans="1:17" s="7" customFormat="1" x14ac:dyDescent="0.35">
      <c r="A573" s="7">
        <v>36</v>
      </c>
      <c r="B573" s="7" t="s">
        <v>867</v>
      </c>
      <c r="C573" s="7">
        <v>2016</v>
      </c>
      <c r="D573" s="7" t="s">
        <v>420</v>
      </c>
      <c r="E573" s="7" t="s">
        <v>868</v>
      </c>
      <c r="F573" s="7" t="s">
        <v>869</v>
      </c>
      <c r="G573" s="7" t="s">
        <v>86</v>
      </c>
      <c r="H573" s="7" t="s">
        <v>893</v>
      </c>
      <c r="I573" s="7">
        <v>43.268000000000001</v>
      </c>
      <c r="J573" s="7" t="s">
        <v>894</v>
      </c>
      <c r="K573" s="7" t="s">
        <v>103</v>
      </c>
      <c r="L573" s="7" t="s">
        <v>28</v>
      </c>
      <c r="M573" s="7" t="s">
        <v>880</v>
      </c>
      <c r="N573" s="7" t="s">
        <v>873</v>
      </c>
      <c r="O573" s="7" t="s">
        <v>44</v>
      </c>
      <c r="P573" s="7" t="s">
        <v>874</v>
      </c>
      <c r="Q573" s="7" t="s">
        <v>31</v>
      </c>
    </row>
    <row r="574" spans="1:17" s="7" customFormat="1" x14ac:dyDescent="0.35">
      <c r="A574" s="7">
        <v>36</v>
      </c>
      <c r="B574" s="7" t="s">
        <v>867</v>
      </c>
      <c r="C574" s="7">
        <v>2016</v>
      </c>
      <c r="D574" s="7" t="s">
        <v>420</v>
      </c>
      <c r="E574" s="7" t="s">
        <v>868</v>
      </c>
      <c r="F574" s="7" t="s">
        <v>869</v>
      </c>
      <c r="G574" s="7" t="s">
        <v>86</v>
      </c>
      <c r="H574" s="7" t="s">
        <v>895</v>
      </c>
      <c r="I574" s="7">
        <v>43.426000000000002</v>
      </c>
      <c r="J574" s="7" t="s">
        <v>896</v>
      </c>
      <c r="K574" s="7" t="s">
        <v>103</v>
      </c>
      <c r="L574" s="7" t="s">
        <v>28</v>
      </c>
      <c r="M574" s="7" t="s">
        <v>880</v>
      </c>
      <c r="N574" s="7" t="s">
        <v>873</v>
      </c>
      <c r="O574" s="7" t="s">
        <v>44</v>
      </c>
      <c r="P574" s="7" t="s">
        <v>874</v>
      </c>
      <c r="Q574" s="7" t="s">
        <v>31</v>
      </c>
    </row>
    <row r="575" spans="1:17" s="7" customFormat="1" x14ac:dyDescent="0.35">
      <c r="A575" s="7">
        <v>36</v>
      </c>
      <c r="B575" s="7" t="s">
        <v>867</v>
      </c>
      <c r="C575" s="7">
        <v>2016</v>
      </c>
      <c r="D575" s="7" t="s">
        <v>420</v>
      </c>
      <c r="E575" s="7" t="s">
        <v>868</v>
      </c>
      <c r="F575" s="7" t="s">
        <v>869</v>
      </c>
      <c r="G575" s="7" t="s">
        <v>86</v>
      </c>
      <c r="H575" s="7" t="s">
        <v>897</v>
      </c>
      <c r="I575" s="7">
        <v>43.622999999999998</v>
      </c>
      <c r="J575" s="7" t="s">
        <v>898</v>
      </c>
      <c r="K575" s="7" t="s">
        <v>103</v>
      </c>
      <c r="L575" s="7" t="s">
        <v>28</v>
      </c>
      <c r="M575" s="7" t="s">
        <v>880</v>
      </c>
      <c r="N575" s="7" t="s">
        <v>873</v>
      </c>
      <c r="O575" s="7" t="s">
        <v>44</v>
      </c>
      <c r="P575" s="7" t="s">
        <v>874</v>
      </c>
      <c r="Q575" s="7" t="s">
        <v>31</v>
      </c>
    </row>
    <row r="576" spans="1:17" s="7" customFormat="1" x14ac:dyDescent="0.35">
      <c r="A576" s="7">
        <v>36</v>
      </c>
      <c r="B576" s="7" t="s">
        <v>867</v>
      </c>
      <c r="C576" s="7">
        <v>2016</v>
      </c>
      <c r="D576" s="7" t="s">
        <v>420</v>
      </c>
      <c r="E576" s="7" t="s">
        <v>868</v>
      </c>
      <c r="F576" s="7" t="s">
        <v>869</v>
      </c>
      <c r="G576" s="7" t="s">
        <v>86</v>
      </c>
      <c r="H576" s="7" t="s">
        <v>899</v>
      </c>
      <c r="I576" s="7">
        <v>43.631999999999998</v>
      </c>
      <c r="J576" s="7" t="s">
        <v>900</v>
      </c>
      <c r="K576" s="7" t="s">
        <v>103</v>
      </c>
      <c r="L576" s="7" t="s">
        <v>28</v>
      </c>
      <c r="M576" s="7" t="s">
        <v>880</v>
      </c>
      <c r="N576" s="7" t="s">
        <v>873</v>
      </c>
      <c r="O576" s="7" t="s">
        <v>44</v>
      </c>
      <c r="P576" s="7" t="s">
        <v>874</v>
      </c>
      <c r="Q576" s="7" t="s">
        <v>31</v>
      </c>
    </row>
    <row r="577" spans="1:17" s="7" customFormat="1" x14ac:dyDescent="0.35">
      <c r="A577" s="7">
        <v>36</v>
      </c>
      <c r="B577" s="7" t="s">
        <v>867</v>
      </c>
      <c r="C577" s="7">
        <v>2017</v>
      </c>
      <c r="D577" s="7" t="s">
        <v>420</v>
      </c>
      <c r="E577" s="7" t="s">
        <v>902</v>
      </c>
      <c r="F577" s="7" t="s">
        <v>903</v>
      </c>
      <c r="G577" s="7" t="s">
        <v>86</v>
      </c>
      <c r="H577" s="7" t="s">
        <v>904</v>
      </c>
      <c r="I577" s="7">
        <v>43.793999999999997</v>
      </c>
      <c r="J577" s="7" t="s">
        <v>905</v>
      </c>
      <c r="K577" s="7" t="s">
        <v>103</v>
      </c>
      <c r="L577" s="7" t="s">
        <v>28</v>
      </c>
      <c r="M577" s="7" t="s">
        <v>880</v>
      </c>
      <c r="N577" s="7" t="s">
        <v>873</v>
      </c>
      <c r="O577" s="7" t="s">
        <v>44</v>
      </c>
      <c r="P577" s="7" t="s">
        <v>874</v>
      </c>
      <c r="Q577" s="7" t="s">
        <v>31</v>
      </c>
    </row>
    <row r="578" spans="1:17" s="7" customFormat="1" x14ac:dyDescent="0.35">
      <c r="A578" s="7">
        <v>36</v>
      </c>
      <c r="B578" s="7" t="s">
        <v>867</v>
      </c>
      <c r="C578" s="7">
        <v>2016</v>
      </c>
      <c r="D578" s="7" t="s">
        <v>420</v>
      </c>
      <c r="E578" s="7" t="s">
        <v>868</v>
      </c>
      <c r="F578" s="7" t="s">
        <v>869</v>
      </c>
      <c r="G578" s="7" t="s">
        <v>86</v>
      </c>
      <c r="H578" s="7" t="s">
        <v>906</v>
      </c>
      <c r="I578" s="7">
        <v>43.953000000000003</v>
      </c>
      <c r="J578" s="7" t="s">
        <v>907</v>
      </c>
      <c r="K578" s="7" t="s">
        <v>103</v>
      </c>
      <c r="L578" s="7" t="s">
        <v>28</v>
      </c>
      <c r="M578" s="7" t="s">
        <v>880</v>
      </c>
      <c r="N578" s="7" t="s">
        <v>873</v>
      </c>
      <c r="O578" s="7" t="s">
        <v>44</v>
      </c>
      <c r="P578" s="7" t="s">
        <v>874</v>
      </c>
      <c r="Q578" s="7" t="s">
        <v>31</v>
      </c>
    </row>
    <row r="579" spans="1:17" s="7" customFormat="1" x14ac:dyDescent="0.35">
      <c r="A579" s="7">
        <v>36</v>
      </c>
      <c r="B579" s="7" t="s">
        <v>867</v>
      </c>
      <c r="C579" s="7">
        <v>2016</v>
      </c>
      <c r="D579" s="7" t="s">
        <v>420</v>
      </c>
      <c r="E579" s="7" t="s">
        <v>868</v>
      </c>
      <c r="F579" s="7" t="s">
        <v>869</v>
      </c>
      <c r="G579" s="7" t="s">
        <v>86</v>
      </c>
      <c r="H579" s="7" t="s">
        <v>908</v>
      </c>
      <c r="I579" s="7">
        <v>44.088000000000001</v>
      </c>
      <c r="J579" s="7" t="s">
        <v>909</v>
      </c>
      <c r="K579" s="7" t="s">
        <v>103</v>
      </c>
      <c r="L579" s="7" t="s">
        <v>28</v>
      </c>
      <c r="M579" s="7" t="s">
        <v>880</v>
      </c>
      <c r="N579" s="7" t="s">
        <v>873</v>
      </c>
      <c r="O579" s="7" t="s">
        <v>44</v>
      </c>
      <c r="P579" s="7" t="s">
        <v>874</v>
      </c>
      <c r="Q579" s="7" t="s">
        <v>31</v>
      </c>
    </row>
    <row r="580" spans="1:17" s="7" customFormat="1" x14ac:dyDescent="0.35">
      <c r="A580" s="7">
        <v>36</v>
      </c>
      <c r="B580" s="7" t="s">
        <v>867</v>
      </c>
      <c r="C580" s="7">
        <v>2017</v>
      </c>
      <c r="D580" s="7" t="s">
        <v>420</v>
      </c>
      <c r="E580" s="7" t="s">
        <v>902</v>
      </c>
      <c r="F580" s="7" t="s">
        <v>903</v>
      </c>
      <c r="G580" s="7" t="s">
        <v>86</v>
      </c>
      <c r="H580" s="7" t="s">
        <v>910</v>
      </c>
      <c r="I580" s="7" t="s">
        <v>911</v>
      </c>
      <c r="J580" s="7" t="s">
        <v>912</v>
      </c>
      <c r="K580" s="7" t="s">
        <v>103</v>
      </c>
      <c r="L580" s="7" t="s">
        <v>28</v>
      </c>
      <c r="M580" s="7" t="s">
        <v>880</v>
      </c>
      <c r="N580" s="7" t="s">
        <v>873</v>
      </c>
      <c r="O580" s="7" t="s">
        <v>44</v>
      </c>
      <c r="P580" s="7" t="s">
        <v>874</v>
      </c>
      <c r="Q580" s="7" t="s">
        <v>31</v>
      </c>
    </row>
    <row r="581" spans="1:17" s="7" customFormat="1" x14ac:dyDescent="0.35">
      <c r="A581" s="7">
        <v>36</v>
      </c>
      <c r="B581" s="7" t="s">
        <v>867</v>
      </c>
      <c r="C581" s="7">
        <v>2017</v>
      </c>
      <c r="D581" s="7" t="s">
        <v>420</v>
      </c>
      <c r="E581" s="7" t="s">
        <v>902</v>
      </c>
      <c r="F581" s="7" t="s">
        <v>903</v>
      </c>
      <c r="G581" s="7" t="s">
        <v>86</v>
      </c>
      <c r="H581" s="7" t="s">
        <v>913</v>
      </c>
      <c r="I581" s="7">
        <v>44.180999999999997</v>
      </c>
      <c r="J581" s="7" t="s">
        <v>914</v>
      </c>
      <c r="K581" s="7" t="s">
        <v>103</v>
      </c>
      <c r="L581" s="7" t="s">
        <v>28</v>
      </c>
      <c r="M581" s="7" t="s">
        <v>880</v>
      </c>
      <c r="N581" s="7" t="s">
        <v>873</v>
      </c>
      <c r="O581" s="7" t="s">
        <v>44</v>
      </c>
      <c r="P581" s="7" t="s">
        <v>874</v>
      </c>
      <c r="Q581" s="7" t="s">
        <v>31</v>
      </c>
    </row>
    <row r="582" spans="1:17" s="7" customFormat="1" x14ac:dyDescent="0.35">
      <c r="A582" s="7">
        <v>36</v>
      </c>
      <c r="B582" s="7" t="s">
        <v>867</v>
      </c>
      <c r="C582" s="7">
        <v>2016</v>
      </c>
      <c r="D582" s="7" t="s">
        <v>420</v>
      </c>
      <c r="E582" s="7" t="s">
        <v>868</v>
      </c>
      <c r="F582" s="7" t="s">
        <v>869</v>
      </c>
      <c r="G582" s="7" t="s">
        <v>86</v>
      </c>
      <c r="H582" s="7" t="s">
        <v>915</v>
      </c>
      <c r="I582" s="7">
        <v>44.234000000000002</v>
      </c>
      <c r="J582" s="7" t="s">
        <v>916</v>
      </c>
      <c r="K582" s="7" t="s">
        <v>103</v>
      </c>
      <c r="L582" s="7" t="s">
        <v>28</v>
      </c>
      <c r="M582" s="7" t="s">
        <v>880</v>
      </c>
      <c r="N582" s="7" t="s">
        <v>873</v>
      </c>
      <c r="O582" s="7" t="s">
        <v>44</v>
      </c>
      <c r="P582" s="7" t="s">
        <v>874</v>
      </c>
      <c r="Q582" s="7" t="s">
        <v>31</v>
      </c>
    </row>
    <row r="583" spans="1:17" s="7" customFormat="1" x14ac:dyDescent="0.35">
      <c r="A583" s="7">
        <v>36</v>
      </c>
      <c r="B583" s="7" t="s">
        <v>867</v>
      </c>
      <c r="C583" s="7">
        <v>2016</v>
      </c>
      <c r="D583" s="7" t="s">
        <v>420</v>
      </c>
      <c r="E583" s="7" t="s">
        <v>868</v>
      </c>
      <c r="F583" s="7" t="s">
        <v>869</v>
      </c>
      <c r="G583" s="7" t="s">
        <v>86</v>
      </c>
      <c r="H583" s="7" t="s">
        <v>917</v>
      </c>
      <c r="I583" s="7">
        <v>44.698</v>
      </c>
      <c r="J583" s="7" t="s">
        <v>918</v>
      </c>
      <c r="K583" s="7" t="s">
        <v>103</v>
      </c>
      <c r="L583" s="7" t="s">
        <v>28</v>
      </c>
      <c r="M583" s="7" t="s">
        <v>880</v>
      </c>
      <c r="N583" s="7" t="s">
        <v>873</v>
      </c>
      <c r="O583" s="7" t="s">
        <v>44</v>
      </c>
      <c r="P583" s="7" t="s">
        <v>874</v>
      </c>
      <c r="Q583" s="7" t="s">
        <v>31</v>
      </c>
    </row>
    <row r="584" spans="1:17" s="7" customFormat="1" x14ac:dyDescent="0.35">
      <c r="A584" s="7">
        <v>36</v>
      </c>
      <c r="B584" s="7" t="s">
        <v>867</v>
      </c>
      <c r="C584" s="7">
        <v>2017</v>
      </c>
      <c r="D584" s="7" t="s">
        <v>420</v>
      </c>
      <c r="E584" s="7" t="s">
        <v>902</v>
      </c>
      <c r="F584" s="7" t="s">
        <v>903</v>
      </c>
      <c r="G584" s="7" t="s">
        <v>86</v>
      </c>
      <c r="H584" s="7" t="s">
        <v>919</v>
      </c>
      <c r="I584" s="7">
        <v>45.137</v>
      </c>
      <c r="J584" s="7" t="s">
        <v>920</v>
      </c>
      <c r="K584" s="7" t="s">
        <v>103</v>
      </c>
      <c r="L584" s="7" t="s">
        <v>28</v>
      </c>
      <c r="M584" s="7" t="s">
        <v>880</v>
      </c>
      <c r="N584" s="7" t="s">
        <v>873</v>
      </c>
      <c r="O584" s="7" t="s">
        <v>44</v>
      </c>
      <c r="P584" s="7" t="s">
        <v>874</v>
      </c>
      <c r="Q584" s="7" t="s">
        <v>31</v>
      </c>
    </row>
    <row r="585" spans="1:17" s="7" customFormat="1" x14ac:dyDescent="0.35">
      <c r="A585" s="7">
        <v>36</v>
      </c>
      <c r="B585" s="7" t="s">
        <v>867</v>
      </c>
      <c r="C585" s="7">
        <v>2016</v>
      </c>
      <c r="D585" s="7" t="s">
        <v>420</v>
      </c>
      <c r="E585" s="7" t="s">
        <v>868</v>
      </c>
      <c r="F585" s="7" t="s">
        <v>869</v>
      </c>
      <c r="G585" s="7" t="s">
        <v>86</v>
      </c>
      <c r="H585" s="7" t="s">
        <v>921</v>
      </c>
      <c r="I585" s="7">
        <v>43.622999999999998</v>
      </c>
      <c r="J585" s="7" t="s">
        <v>898</v>
      </c>
      <c r="K585" s="7" t="s">
        <v>103</v>
      </c>
      <c r="L585" s="7" t="s">
        <v>28</v>
      </c>
      <c r="M585" s="7" t="s">
        <v>880</v>
      </c>
      <c r="N585" s="7" t="s">
        <v>873</v>
      </c>
      <c r="O585" s="7" t="s">
        <v>44</v>
      </c>
      <c r="P585" s="7" t="s">
        <v>874</v>
      </c>
      <c r="Q585" s="7" t="s">
        <v>31</v>
      </c>
    </row>
    <row r="586" spans="1:17" s="7" customFormat="1" x14ac:dyDescent="0.35">
      <c r="A586" s="7">
        <v>36</v>
      </c>
      <c r="B586" s="7" t="s">
        <v>867</v>
      </c>
      <c r="C586" s="7">
        <v>2016</v>
      </c>
      <c r="D586" s="7" t="s">
        <v>420</v>
      </c>
      <c r="E586" s="7" t="s">
        <v>868</v>
      </c>
      <c r="F586" s="7" t="s">
        <v>869</v>
      </c>
      <c r="G586" s="7" t="s">
        <v>86</v>
      </c>
      <c r="H586" s="7" t="s">
        <v>923</v>
      </c>
      <c r="I586" s="7">
        <v>43.631999999999998</v>
      </c>
      <c r="J586" s="7" t="s">
        <v>900</v>
      </c>
      <c r="K586" s="7" t="s">
        <v>103</v>
      </c>
      <c r="L586" s="7" t="s">
        <v>28</v>
      </c>
      <c r="M586" s="7" t="s">
        <v>880</v>
      </c>
      <c r="N586" s="7" t="s">
        <v>873</v>
      </c>
      <c r="O586" s="7" t="s">
        <v>44</v>
      </c>
      <c r="P586" s="7" t="s">
        <v>874</v>
      </c>
      <c r="Q586" s="7" t="s">
        <v>31</v>
      </c>
    </row>
    <row r="587" spans="1:17" s="7" customFormat="1" x14ac:dyDescent="0.35">
      <c r="A587" s="7">
        <v>36</v>
      </c>
      <c r="B587" s="7" t="s">
        <v>867</v>
      </c>
      <c r="C587" s="7">
        <v>2016</v>
      </c>
      <c r="D587" s="7" t="s">
        <v>420</v>
      </c>
      <c r="E587" s="7" t="s">
        <v>868</v>
      </c>
      <c r="F587" s="7" t="s">
        <v>869</v>
      </c>
      <c r="G587" s="7" t="s">
        <v>86</v>
      </c>
      <c r="H587" s="7" t="s">
        <v>925</v>
      </c>
      <c r="I587" s="7">
        <v>43.642000000000003</v>
      </c>
      <c r="J587" s="7" t="s">
        <v>926</v>
      </c>
      <c r="K587" s="7" t="s">
        <v>103</v>
      </c>
      <c r="L587" s="7" t="s">
        <v>28</v>
      </c>
      <c r="M587" s="7" t="s">
        <v>880</v>
      </c>
      <c r="N587" s="7" t="s">
        <v>873</v>
      </c>
      <c r="O587" s="7" t="s">
        <v>44</v>
      </c>
      <c r="P587" s="7" t="s">
        <v>874</v>
      </c>
      <c r="Q587" s="7" t="s">
        <v>31</v>
      </c>
    </row>
    <row r="588" spans="1:17" s="7" customFormat="1" x14ac:dyDescent="0.35">
      <c r="A588" s="7">
        <v>36</v>
      </c>
      <c r="B588" s="7" t="s">
        <v>867</v>
      </c>
      <c r="C588" s="7">
        <v>2016</v>
      </c>
      <c r="D588" s="7" t="s">
        <v>420</v>
      </c>
      <c r="E588" s="7" t="s">
        <v>868</v>
      </c>
      <c r="F588" s="7" t="s">
        <v>869</v>
      </c>
      <c r="G588" s="7" t="s">
        <v>86</v>
      </c>
      <c r="H588" s="7" t="s">
        <v>927</v>
      </c>
      <c r="I588" s="7">
        <v>43.289000000000001</v>
      </c>
      <c r="J588" s="7" t="s">
        <v>928</v>
      </c>
      <c r="K588" s="7" t="s">
        <v>103</v>
      </c>
      <c r="L588" s="7" t="s">
        <v>28</v>
      </c>
      <c r="M588" s="7" t="s">
        <v>880</v>
      </c>
      <c r="N588" s="7" t="s">
        <v>873</v>
      </c>
      <c r="O588" s="7" t="s">
        <v>44</v>
      </c>
      <c r="P588" s="7" t="s">
        <v>874</v>
      </c>
      <c r="Q588" s="7" t="s">
        <v>31</v>
      </c>
    </row>
    <row r="589" spans="1:17" s="7" customFormat="1" ht="18" customHeight="1" x14ac:dyDescent="0.35">
      <c r="A589" s="7">
        <v>36</v>
      </c>
      <c r="B589" s="7" t="s">
        <v>867</v>
      </c>
      <c r="C589" s="7">
        <v>2016</v>
      </c>
      <c r="D589" s="7" t="s">
        <v>420</v>
      </c>
      <c r="E589" s="7" t="s">
        <v>868</v>
      </c>
      <c r="F589" s="7" t="s">
        <v>869</v>
      </c>
      <c r="G589" s="7" t="s">
        <v>86</v>
      </c>
      <c r="H589" s="7" t="s">
        <v>930</v>
      </c>
      <c r="I589" s="7">
        <v>43.691000000000003</v>
      </c>
      <c r="J589" s="7" t="s">
        <v>931</v>
      </c>
      <c r="K589" s="7" t="s">
        <v>103</v>
      </c>
      <c r="L589" s="7" t="s">
        <v>28</v>
      </c>
      <c r="M589" s="7" t="s">
        <v>880</v>
      </c>
      <c r="N589" s="7" t="s">
        <v>873</v>
      </c>
      <c r="O589" s="7" t="s">
        <v>44</v>
      </c>
      <c r="P589" s="7" t="s">
        <v>874</v>
      </c>
      <c r="Q589" s="7" t="s">
        <v>31</v>
      </c>
    </row>
    <row r="590" spans="1:17" s="7" customFormat="1" ht="18" customHeight="1" x14ac:dyDescent="0.35">
      <c r="A590" s="7">
        <v>36</v>
      </c>
      <c r="B590" s="7" t="s">
        <v>867</v>
      </c>
      <c r="C590" s="7">
        <v>2016</v>
      </c>
      <c r="D590" s="7" t="s">
        <v>420</v>
      </c>
      <c r="E590" s="7" t="s">
        <v>868</v>
      </c>
      <c r="F590" s="7" t="s">
        <v>869</v>
      </c>
      <c r="G590" s="7" t="s">
        <v>86</v>
      </c>
      <c r="H590" s="7" t="s">
        <v>933</v>
      </c>
      <c r="I590" s="7">
        <v>43.652000000000001</v>
      </c>
      <c r="J590" s="7" t="s">
        <v>934</v>
      </c>
      <c r="K590" s="7" t="s">
        <v>103</v>
      </c>
      <c r="L590" s="7" t="s">
        <v>28</v>
      </c>
      <c r="M590" s="7" t="s">
        <v>880</v>
      </c>
      <c r="N590" s="7" t="s">
        <v>873</v>
      </c>
      <c r="O590" s="7" t="s">
        <v>44</v>
      </c>
      <c r="P590" s="7" t="s">
        <v>874</v>
      </c>
      <c r="Q590" s="7" t="s">
        <v>31</v>
      </c>
    </row>
    <row r="591" spans="1:17" s="7" customFormat="1" ht="18" customHeight="1" x14ac:dyDescent="0.35">
      <c r="A591" s="7">
        <v>36</v>
      </c>
      <c r="B591" s="7" t="s">
        <v>867</v>
      </c>
      <c r="C591" s="7">
        <v>2016</v>
      </c>
      <c r="D591" s="7" t="s">
        <v>420</v>
      </c>
      <c r="E591" s="7" t="s">
        <v>868</v>
      </c>
      <c r="F591" s="7" t="s">
        <v>869</v>
      </c>
      <c r="G591" s="7" t="s">
        <v>86</v>
      </c>
      <c r="H591" s="7" t="s">
        <v>935</v>
      </c>
      <c r="I591" s="7">
        <v>43.587000000000003</v>
      </c>
      <c r="J591" s="7" t="s">
        <v>936</v>
      </c>
      <c r="K591" s="7" t="s">
        <v>103</v>
      </c>
      <c r="L591" s="7" t="s">
        <v>28</v>
      </c>
      <c r="M591" s="7" t="s">
        <v>880</v>
      </c>
      <c r="N591" s="7" t="s">
        <v>873</v>
      </c>
      <c r="O591" s="7" t="s">
        <v>44</v>
      </c>
      <c r="P591" s="7" t="s">
        <v>874</v>
      </c>
      <c r="Q591" s="7" t="s">
        <v>31</v>
      </c>
    </row>
    <row r="592" spans="1:17" s="7" customFormat="1" ht="18" customHeight="1" x14ac:dyDescent="0.35">
      <c r="A592" s="7">
        <v>36</v>
      </c>
      <c r="B592" s="7" t="s">
        <v>867</v>
      </c>
      <c r="C592" s="7">
        <v>2016</v>
      </c>
      <c r="D592" s="7" t="s">
        <v>420</v>
      </c>
      <c r="E592" s="7" t="s">
        <v>868</v>
      </c>
      <c r="F592" s="7" t="s">
        <v>869</v>
      </c>
      <c r="G592" s="7" t="s">
        <v>86</v>
      </c>
      <c r="H592" s="7" t="s">
        <v>937</v>
      </c>
      <c r="I592" s="7">
        <v>43.24</v>
      </c>
      <c r="J592" s="7" t="s">
        <v>938</v>
      </c>
      <c r="K592" s="7" t="s">
        <v>103</v>
      </c>
      <c r="L592" s="7" t="s">
        <v>28</v>
      </c>
      <c r="M592" s="7" t="s">
        <v>880</v>
      </c>
      <c r="N592" s="7" t="s">
        <v>873</v>
      </c>
      <c r="O592" s="7" t="s">
        <v>44</v>
      </c>
      <c r="P592" s="7" t="s">
        <v>874</v>
      </c>
      <c r="Q592" s="7" t="s">
        <v>31</v>
      </c>
    </row>
    <row r="593" spans="1:18" s="7" customFormat="1" ht="18" customHeight="1" x14ac:dyDescent="0.35">
      <c r="A593" s="7">
        <v>37</v>
      </c>
      <c r="B593" s="7" t="s">
        <v>939</v>
      </c>
      <c r="C593" s="7">
        <v>2015</v>
      </c>
      <c r="D593" s="7" t="s">
        <v>940</v>
      </c>
      <c r="E593" s="7" t="s">
        <v>941</v>
      </c>
      <c r="F593" s="7" t="s">
        <v>942</v>
      </c>
      <c r="G593" s="7" t="s">
        <v>86</v>
      </c>
      <c r="H593" s="7" t="s">
        <v>943</v>
      </c>
      <c r="I593" s="59">
        <v>43.337642000000002</v>
      </c>
      <c r="J593" s="10">
        <v>-79.046317000000002</v>
      </c>
      <c r="K593" s="7" t="s">
        <v>103</v>
      </c>
      <c r="L593" s="7" t="s">
        <v>28</v>
      </c>
      <c r="N593" s="7">
        <v>1.75</v>
      </c>
      <c r="O593" s="7" t="s">
        <v>44</v>
      </c>
      <c r="P593" s="7">
        <f>N593*1000</f>
        <v>1750</v>
      </c>
      <c r="Q593" s="7" t="s">
        <v>31</v>
      </c>
      <c r="R593" s="7" t="s">
        <v>945</v>
      </c>
    </row>
    <row r="594" spans="1:18" s="7" customFormat="1" ht="18" customHeight="1" x14ac:dyDescent="0.35">
      <c r="A594" s="7">
        <v>37</v>
      </c>
      <c r="B594" s="7" t="s">
        <v>939</v>
      </c>
      <c r="C594" s="7">
        <v>2015</v>
      </c>
      <c r="D594" s="7" t="s">
        <v>940</v>
      </c>
      <c r="E594" s="7" t="s">
        <v>941</v>
      </c>
      <c r="F594" s="7" t="s">
        <v>942</v>
      </c>
      <c r="G594" s="7" t="s">
        <v>86</v>
      </c>
      <c r="H594" s="7" t="s">
        <v>946</v>
      </c>
      <c r="I594" s="59">
        <v>43.807673999999999</v>
      </c>
      <c r="J594" s="10">
        <v>-77.895954000000003</v>
      </c>
      <c r="K594" s="7" t="s">
        <v>103</v>
      </c>
      <c r="L594" s="7" t="s">
        <v>28</v>
      </c>
      <c r="N594" s="7">
        <v>1.75</v>
      </c>
      <c r="O594" s="7" t="s">
        <v>44</v>
      </c>
      <c r="P594" s="7">
        <f>N594*1000</f>
        <v>1750</v>
      </c>
      <c r="Q594" s="7" t="s">
        <v>31</v>
      </c>
      <c r="R594" s="7" t="s">
        <v>947</v>
      </c>
    </row>
    <row r="595" spans="1:18" s="7" customFormat="1" ht="18" customHeight="1" x14ac:dyDescent="0.35">
      <c r="A595" s="7">
        <v>38</v>
      </c>
      <c r="B595" s="7" t="s">
        <v>948</v>
      </c>
      <c r="C595" s="7">
        <v>2014</v>
      </c>
      <c r="D595" s="7" t="s">
        <v>420</v>
      </c>
      <c r="E595" s="7" t="s">
        <v>949</v>
      </c>
      <c r="F595" s="7" t="s">
        <v>950</v>
      </c>
      <c r="G595" s="7" t="s">
        <v>494</v>
      </c>
      <c r="H595" s="7" t="s">
        <v>951</v>
      </c>
      <c r="I595" s="7">
        <v>44.609000000000002</v>
      </c>
      <c r="J595" s="10">
        <v>-63.493000000000002</v>
      </c>
      <c r="K595" s="7" t="s">
        <v>138</v>
      </c>
      <c r="L595" s="7" t="s">
        <v>163</v>
      </c>
      <c r="M595" s="7" t="s">
        <v>952</v>
      </c>
      <c r="N595" s="6" t="s">
        <v>953</v>
      </c>
      <c r="O595" s="7" t="s">
        <v>31</v>
      </c>
      <c r="P595" s="6" t="s">
        <v>953</v>
      </c>
      <c r="Q595" s="7" t="s">
        <v>31</v>
      </c>
      <c r="R595" s="4" t="s">
        <v>955</v>
      </c>
    </row>
    <row r="596" spans="1:18" s="7" customFormat="1" ht="18" customHeight="1" x14ac:dyDescent="0.35">
      <c r="A596" s="7">
        <v>38</v>
      </c>
      <c r="B596" s="7" t="s">
        <v>948</v>
      </c>
      <c r="C596" s="7">
        <v>2014</v>
      </c>
      <c r="D596" s="7" t="s">
        <v>420</v>
      </c>
      <c r="E596" s="7" t="s">
        <v>949</v>
      </c>
      <c r="F596" s="7" t="s">
        <v>950</v>
      </c>
      <c r="G596" s="7" t="s">
        <v>494</v>
      </c>
      <c r="H596" s="7" t="s">
        <v>956</v>
      </c>
      <c r="I596" s="7">
        <v>44.609000000000002</v>
      </c>
      <c r="J596" s="10">
        <v>-63.493000000000002</v>
      </c>
      <c r="K596" s="7" t="s">
        <v>138</v>
      </c>
      <c r="L596" s="7" t="s">
        <v>163</v>
      </c>
      <c r="M596" s="7" t="s">
        <v>952</v>
      </c>
      <c r="N596" s="6" t="s">
        <v>953</v>
      </c>
      <c r="O596" s="7" t="s">
        <v>31</v>
      </c>
      <c r="P596" s="6" t="s">
        <v>953</v>
      </c>
      <c r="Q596" s="7" t="s">
        <v>31</v>
      </c>
      <c r="R596" s="4" t="s">
        <v>955</v>
      </c>
    </row>
    <row r="597" spans="1:18" s="7" customFormat="1" ht="18" customHeight="1" x14ac:dyDescent="0.35">
      <c r="A597" s="7">
        <v>38</v>
      </c>
      <c r="B597" s="7" t="s">
        <v>948</v>
      </c>
      <c r="C597" s="7">
        <v>2014</v>
      </c>
      <c r="D597" s="7" t="s">
        <v>420</v>
      </c>
      <c r="E597" s="7" t="s">
        <v>949</v>
      </c>
      <c r="F597" s="7" t="s">
        <v>950</v>
      </c>
      <c r="G597" s="7" t="s">
        <v>494</v>
      </c>
      <c r="H597" s="7" t="s">
        <v>957</v>
      </c>
      <c r="I597" s="7">
        <v>44.609000000000002</v>
      </c>
      <c r="J597" s="7">
        <v>-63.493000000000002</v>
      </c>
      <c r="K597" s="7" t="s">
        <v>138</v>
      </c>
      <c r="L597" s="7" t="s">
        <v>163</v>
      </c>
      <c r="M597" s="7" t="s">
        <v>952</v>
      </c>
      <c r="N597" s="6" t="s">
        <v>953</v>
      </c>
      <c r="O597" s="7" t="s">
        <v>31</v>
      </c>
      <c r="P597" s="6" t="s">
        <v>953</v>
      </c>
      <c r="Q597" s="7" t="s">
        <v>31</v>
      </c>
      <c r="R597" s="4" t="s">
        <v>955</v>
      </c>
    </row>
    <row r="598" spans="1:18" s="7" customFormat="1" ht="18" customHeight="1" x14ac:dyDescent="0.35">
      <c r="A598" s="7">
        <v>38</v>
      </c>
      <c r="B598" s="7" t="s">
        <v>948</v>
      </c>
      <c r="C598" s="7">
        <v>2014</v>
      </c>
      <c r="D598" s="7" t="s">
        <v>420</v>
      </c>
      <c r="E598" s="7" t="s">
        <v>949</v>
      </c>
      <c r="F598" s="7" t="s">
        <v>950</v>
      </c>
      <c r="G598" s="7" t="s">
        <v>494</v>
      </c>
      <c r="H598" s="7" t="s">
        <v>958</v>
      </c>
      <c r="I598" s="7">
        <v>44.650126999999998</v>
      </c>
      <c r="J598" s="10">
        <v>-63.419676000000003</v>
      </c>
      <c r="K598" s="7" t="s">
        <v>138</v>
      </c>
      <c r="L598" s="7" t="s">
        <v>163</v>
      </c>
      <c r="M598" s="7" t="s">
        <v>952</v>
      </c>
      <c r="N598" s="6" t="s">
        <v>953</v>
      </c>
      <c r="O598" s="7" t="s">
        <v>31</v>
      </c>
      <c r="P598" s="6" t="s">
        <v>953</v>
      </c>
      <c r="Q598" s="7" t="s">
        <v>31</v>
      </c>
      <c r="R598" s="4" t="s">
        <v>955</v>
      </c>
    </row>
    <row r="599" spans="1:18" s="7" customFormat="1" ht="18" customHeight="1" x14ac:dyDescent="0.35">
      <c r="A599" s="7">
        <v>38</v>
      </c>
      <c r="B599" s="7" t="s">
        <v>948</v>
      </c>
      <c r="C599" s="7">
        <v>2014</v>
      </c>
      <c r="D599" s="7" t="s">
        <v>420</v>
      </c>
      <c r="E599" s="7" t="s">
        <v>949</v>
      </c>
      <c r="F599" s="7" t="s">
        <v>950</v>
      </c>
      <c r="G599" s="7" t="s">
        <v>494</v>
      </c>
      <c r="H599" s="7" t="s">
        <v>959</v>
      </c>
      <c r="I599" s="7">
        <v>44.650126999999998</v>
      </c>
      <c r="J599" s="10">
        <v>-63.419676000000003</v>
      </c>
      <c r="K599" s="7" t="s">
        <v>138</v>
      </c>
      <c r="L599" s="7" t="s">
        <v>163</v>
      </c>
      <c r="M599" s="7" t="s">
        <v>952</v>
      </c>
      <c r="N599" s="6" t="s">
        <v>953</v>
      </c>
      <c r="O599" s="7" t="s">
        <v>31</v>
      </c>
      <c r="P599" s="6" t="s">
        <v>953</v>
      </c>
      <c r="Q599" s="7" t="s">
        <v>31</v>
      </c>
      <c r="R599" s="4" t="s">
        <v>955</v>
      </c>
    </row>
    <row r="600" spans="1:18" s="7" customFormat="1" ht="18" customHeight="1" x14ac:dyDescent="0.35">
      <c r="A600" s="7">
        <v>38</v>
      </c>
      <c r="B600" s="7" t="s">
        <v>948</v>
      </c>
      <c r="C600" s="7">
        <v>2014</v>
      </c>
      <c r="D600" s="7" t="s">
        <v>420</v>
      </c>
      <c r="E600" s="7" t="s">
        <v>949</v>
      </c>
      <c r="F600" s="7" t="s">
        <v>950</v>
      </c>
      <c r="G600" s="7" t="s">
        <v>494</v>
      </c>
      <c r="H600" s="7" t="s">
        <v>960</v>
      </c>
      <c r="I600" s="7">
        <v>44.650126999999998</v>
      </c>
      <c r="J600" s="10">
        <v>-63.419676000000003</v>
      </c>
      <c r="K600" s="7" t="s">
        <v>138</v>
      </c>
      <c r="L600" s="7" t="s">
        <v>163</v>
      </c>
      <c r="M600" s="7" t="s">
        <v>952</v>
      </c>
      <c r="N600" s="6" t="s">
        <v>953</v>
      </c>
      <c r="O600" s="7" t="s">
        <v>31</v>
      </c>
      <c r="P600" s="6" t="s">
        <v>953</v>
      </c>
      <c r="Q600" s="7" t="s">
        <v>31</v>
      </c>
      <c r="R600" s="4" t="s">
        <v>955</v>
      </c>
    </row>
    <row r="601" spans="1:18" s="7" customFormat="1" ht="18" customHeight="1" x14ac:dyDescent="0.35">
      <c r="A601" s="7">
        <v>38</v>
      </c>
      <c r="B601" s="7" t="s">
        <v>948</v>
      </c>
      <c r="C601" s="7">
        <v>2014</v>
      </c>
      <c r="D601" s="7" t="s">
        <v>420</v>
      </c>
      <c r="E601" s="7" t="s">
        <v>949</v>
      </c>
      <c r="F601" s="7" t="s">
        <v>950</v>
      </c>
      <c r="G601" s="7" t="s">
        <v>494</v>
      </c>
      <c r="H601" s="7" t="s">
        <v>961</v>
      </c>
      <c r="I601" s="7">
        <v>44.647863999999998</v>
      </c>
      <c r="J601" s="10">
        <v>-63.416229000000001</v>
      </c>
      <c r="K601" s="7" t="s">
        <v>138</v>
      </c>
      <c r="L601" s="7" t="s">
        <v>163</v>
      </c>
      <c r="M601" s="7" t="s">
        <v>952</v>
      </c>
      <c r="N601" s="6" t="s">
        <v>953</v>
      </c>
      <c r="O601" s="7" t="s">
        <v>31</v>
      </c>
      <c r="P601" s="6" t="s">
        <v>953</v>
      </c>
      <c r="Q601" s="7" t="s">
        <v>31</v>
      </c>
      <c r="R601" s="4" t="s">
        <v>955</v>
      </c>
    </row>
    <row r="602" spans="1:18" s="7" customFormat="1" ht="18" customHeight="1" x14ac:dyDescent="0.35">
      <c r="A602" s="7">
        <v>38</v>
      </c>
      <c r="B602" s="7" t="s">
        <v>948</v>
      </c>
      <c r="C602" s="7">
        <v>2014</v>
      </c>
      <c r="D602" s="7" t="s">
        <v>420</v>
      </c>
      <c r="E602" s="7" t="s">
        <v>949</v>
      </c>
      <c r="F602" s="7" t="s">
        <v>950</v>
      </c>
      <c r="G602" s="7" t="s">
        <v>494</v>
      </c>
      <c r="H602" s="7" t="s">
        <v>962</v>
      </c>
      <c r="I602" s="7">
        <v>44.647863999999998</v>
      </c>
      <c r="J602" s="10">
        <v>-63.416229000000001</v>
      </c>
      <c r="K602" s="7" t="s">
        <v>138</v>
      </c>
      <c r="L602" s="7" t="s">
        <v>163</v>
      </c>
      <c r="M602" s="7" t="s">
        <v>952</v>
      </c>
      <c r="N602" s="6" t="s">
        <v>953</v>
      </c>
      <c r="O602" s="7" t="s">
        <v>31</v>
      </c>
      <c r="P602" s="6" t="s">
        <v>953</v>
      </c>
      <c r="Q602" s="7" t="s">
        <v>31</v>
      </c>
      <c r="R602" s="4" t="s">
        <v>955</v>
      </c>
    </row>
    <row r="603" spans="1:18" s="7" customFormat="1" ht="18" customHeight="1" x14ac:dyDescent="0.35">
      <c r="A603" s="7">
        <v>38</v>
      </c>
      <c r="B603" s="7" t="s">
        <v>948</v>
      </c>
      <c r="C603" s="7">
        <v>2014</v>
      </c>
      <c r="D603" s="7" t="s">
        <v>420</v>
      </c>
      <c r="E603" s="7" t="s">
        <v>949</v>
      </c>
      <c r="F603" s="7" t="s">
        <v>950</v>
      </c>
      <c r="G603" s="7" t="s">
        <v>494</v>
      </c>
      <c r="H603" s="7" t="s">
        <v>963</v>
      </c>
      <c r="I603" s="7">
        <v>44.647863999999998</v>
      </c>
      <c r="J603" s="10">
        <v>-63.416229000000001</v>
      </c>
      <c r="K603" s="7" t="s">
        <v>138</v>
      </c>
      <c r="L603" s="7" t="s">
        <v>163</v>
      </c>
      <c r="M603" s="7" t="s">
        <v>952</v>
      </c>
      <c r="N603" s="6" t="s">
        <v>953</v>
      </c>
      <c r="O603" s="7" t="s">
        <v>31</v>
      </c>
      <c r="P603" s="6" t="s">
        <v>953</v>
      </c>
      <c r="Q603" s="7" t="s">
        <v>31</v>
      </c>
      <c r="R603" s="4" t="s">
        <v>955</v>
      </c>
    </row>
    <row r="604" spans="1:18" s="7" customFormat="1" ht="18" customHeight="1" x14ac:dyDescent="0.35">
      <c r="A604" s="7">
        <v>39</v>
      </c>
      <c r="B604" s="7" t="s">
        <v>964</v>
      </c>
      <c r="C604" s="7">
        <v>2014</v>
      </c>
      <c r="D604" s="7" t="s">
        <v>801</v>
      </c>
      <c r="E604" s="7" t="s">
        <v>965</v>
      </c>
      <c r="F604" s="7" t="s">
        <v>966</v>
      </c>
      <c r="G604" s="7" t="s">
        <v>54</v>
      </c>
      <c r="H604" s="7" t="s">
        <v>967</v>
      </c>
      <c r="I604" s="7">
        <v>48.343516000000001</v>
      </c>
      <c r="J604" s="7">
        <v>-127.385931</v>
      </c>
      <c r="K604" s="7" t="s">
        <v>41</v>
      </c>
      <c r="L604" s="7" t="s">
        <v>42</v>
      </c>
      <c r="M604" s="7" t="s">
        <v>968</v>
      </c>
      <c r="N604" s="7">
        <v>558</v>
      </c>
      <c r="O604" s="7" t="s">
        <v>31</v>
      </c>
      <c r="P604" s="7">
        <f t="shared" ref="P604:P627" si="5">N604</f>
        <v>558</v>
      </c>
      <c r="Q604" s="7" t="s">
        <v>31</v>
      </c>
      <c r="R604" s="7" t="s">
        <v>970</v>
      </c>
    </row>
    <row r="605" spans="1:18" s="7" customFormat="1" ht="18" customHeight="1" x14ac:dyDescent="0.35">
      <c r="A605" s="7">
        <v>39</v>
      </c>
      <c r="B605" s="7" t="s">
        <v>964</v>
      </c>
      <c r="C605" s="7">
        <v>2014</v>
      </c>
      <c r="D605" s="7" t="s">
        <v>801</v>
      </c>
      <c r="E605" s="7" t="s">
        <v>965</v>
      </c>
      <c r="F605" s="7" t="s">
        <v>966</v>
      </c>
      <c r="G605" s="7" t="s">
        <v>54</v>
      </c>
      <c r="H605" s="7" t="s">
        <v>967</v>
      </c>
      <c r="I605" s="7">
        <v>48.376328000000001</v>
      </c>
      <c r="J605" s="7">
        <v>-126.793339</v>
      </c>
      <c r="K605" s="7" t="s">
        <v>41</v>
      </c>
      <c r="L605" s="7" t="s">
        <v>42</v>
      </c>
      <c r="M605" s="7" t="s">
        <v>968</v>
      </c>
      <c r="N605" s="7">
        <v>558</v>
      </c>
      <c r="O605" s="7" t="s">
        <v>31</v>
      </c>
      <c r="P605" s="7">
        <f t="shared" si="5"/>
        <v>558</v>
      </c>
      <c r="Q605" s="7" t="s">
        <v>31</v>
      </c>
      <c r="R605" s="7" t="s">
        <v>970</v>
      </c>
    </row>
    <row r="606" spans="1:18" s="7" customFormat="1" ht="18" customHeight="1" x14ac:dyDescent="0.35">
      <c r="A606" s="7">
        <v>39</v>
      </c>
      <c r="B606" s="7" t="s">
        <v>964</v>
      </c>
      <c r="C606" s="7">
        <v>2014</v>
      </c>
      <c r="D606" s="7" t="s">
        <v>801</v>
      </c>
      <c r="E606" s="7" t="s">
        <v>965</v>
      </c>
      <c r="F606" s="7" t="s">
        <v>966</v>
      </c>
      <c r="G606" s="7" t="s">
        <v>54</v>
      </c>
      <c r="H606" s="7" t="s">
        <v>967</v>
      </c>
      <c r="I606" s="7">
        <v>48.387261000000002</v>
      </c>
      <c r="J606" s="7">
        <v>-126.44766</v>
      </c>
      <c r="K606" s="7" t="s">
        <v>41</v>
      </c>
      <c r="L606" s="7" t="s">
        <v>42</v>
      </c>
      <c r="M606" s="7" t="s">
        <v>968</v>
      </c>
      <c r="N606" s="7">
        <v>558</v>
      </c>
      <c r="O606" s="7" t="s">
        <v>31</v>
      </c>
      <c r="P606" s="7">
        <f t="shared" si="5"/>
        <v>558</v>
      </c>
      <c r="Q606" s="7" t="s">
        <v>31</v>
      </c>
      <c r="R606" s="7" t="s">
        <v>970</v>
      </c>
    </row>
    <row r="607" spans="1:18" s="7" customFormat="1" ht="20.25" customHeight="1" x14ac:dyDescent="0.35">
      <c r="A607" s="7">
        <v>39</v>
      </c>
      <c r="B607" s="7" t="s">
        <v>964</v>
      </c>
      <c r="C607" s="7">
        <v>2014</v>
      </c>
      <c r="D607" s="7" t="s">
        <v>801</v>
      </c>
      <c r="E607" s="7" t="s">
        <v>965</v>
      </c>
      <c r="F607" s="7" t="s">
        <v>966</v>
      </c>
      <c r="G607" s="7" t="s">
        <v>54</v>
      </c>
      <c r="H607" s="7" t="s">
        <v>967</v>
      </c>
      <c r="I607" s="7">
        <v>48.069257999999998</v>
      </c>
      <c r="J607" s="7">
        <v>-125.805685</v>
      </c>
      <c r="K607" s="7" t="s">
        <v>41</v>
      </c>
      <c r="L607" s="7" t="s">
        <v>42</v>
      </c>
      <c r="M607" s="7" t="s">
        <v>968</v>
      </c>
      <c r="N607" s="7">
        <v>558</v>
      </c>
      <c r="O607" s="7" t="s">
        <v>31</v>
      </c>
      <c r="P607" s="7">
        <f t="shared" si="5"/>
        <v>558</v>
      </c>
      <c r="Q607" s="7" t="s">
        <v>31</v>
      </c>
      <c r="R607" s="7" t="s">
        <v>970</v>
      </c>
    </row>
    <row r="608" spans="1:18" s="7" customFormat="1" ht="18.75" customHeight="1" x14ac:dyDescent="0.35">
      <c r="A608" s="7">
        <v>39</v>
      </c>
      <c r="B608" s="7" t="s">
        <v>964</v>
      </c>
      <c r="C608" s="7">
        <v>2014</v>
      </c>
      <c r="D608" s="7" t="s">
        <v>801</v>
      </c>
      <c r="E608" s="7" t="s">
        <v>965</v>
      </c>
      <c r="F608" s="7" t="s">
        <v>966</v>
      </c>
      <c r="G608" s="7" t="s">
        <v>54</v>
      </c>
      <c r="H608" s="7" t="s">
        <v>967</v>
      </c>
      <c r="I608" s="7">
        <v>48.179136999999997</v>
      </c>
      <c r="J608" s="7">
        <v>-125.591694</v>
      </c>
      <c r="K608" s="7" t="s">
        <v>41</v>
      </c>
      <c r="L608" s="7" t="s">
        <v>42</v>
      </c>
      <c r="M608" s="7" t="s">
        <v>968</v>
      </c>
      <c r="N608" s="7">
        <v>558</v>
      </c>
      <c r="O608" s="7" t="s">
        <v>31</v>
      </c>
      <c r="P608" s="7">
        <f t="shared" si="5"/>
        <v>558</v>
      </c>
      <c r="Q608" s="7" t="s">
        <v>31</v>
      </c>
      <c r="R608" s="7" t="s">
        <v>970</v>
      </c>
    </row>
    <row r="609" spans="1:18" s="7" customFormat="1" ht="18.75" customHeight="1" x14ac:dyDescent="0.35">
      <c r="A609" s="7">
        <v>39</v>
      </c>
      <c r="B609" s="7" t="s">
        <v>964</v>
      </c>
      <c r="C609" s="7">
        <v>2014</v>
      </c>
      <c r="D609" s="7" t="s">
        <v>801</v>
      </c>
      <c r="E609" s="7" t="s">
        <v>965</v>
      </c>
      <c r="F609" s="7" t="s">
        <v>966</v>
      </c>
      <c r="G609" s="7" t="s">
        <v>54</v>
      </c>
      <c r="H609" s="7" t="s">
        <v>967</v>
      </c>
      <c r="I609" s="7">
        <v>48.518270000000001</v>
      </c>
      <c r="J609" s="7">
        <v>-125.22955399999999</v>
      </c>
      <c r="K609" s="7" t="s">
        <v>41</v>
      </c>
      <c r="L609" s="7" t="s">
        <v>42</v>
      </c>
      <c r="M609" s="7" t="s">
        <v>968</v>
      </c>
      <c r="N609" s="7">
        <v>558</v>
      </c>
      <c r="O609" s="7" t="s">
        <v>31</v>
      </c>
      <c r="P609" s="7">
        <f t="shared" si="5"/>
        <v>558</v>
      </c>
      <c r="Q609" s="7" t="s">
        <v>31</v>
      </c>
      <c r="R609" s="7" t="s">
        <v>970</v>
      </c>
    </row>
    <row r="610" spans="1:18" s="7" customFormat="1" ht="18" customHeight="1" x14ac:dyDescent="0.35">
      <c r="A610" s="7">
        <v>39</v>
      </c>
      <c r="B610" s="7" t="s">
        <v>964</v>
      </c>
      <c r="C610" s="7">
        <v>2014</v>
      </c>
      <c r="D610" s="7" t="s">
        <v>801</v>
      </c>
      <c r="E610" s="7" t="s">
        <v>965</v>
      </c>
      <c r="F610" s="7" t="s">
        <v>966</v>
      </c>
      <c r="G610" s="7" t="s">
        <v>54</v>
      </c>
      <c r="H610" s="7" t="s">
        <v>967</v>
      </c>
      <c r="I610" s="7">
        <v>48.865977999999998</v>
      </c>
      <c r="J610" s="7">
        <v>-125.42708500000001</v>
      </c>
      <c r="K610" s="7" t="s">
        <v>41</v>
      </c>
      <c r="L610" s="7" t="s">
        <v>42</v>
      </c>
      <c r="M610" s="7" t="s">
        <v>968</v>
      </c>
      <c r="N610" s="7">
        <v>558</v>
      </c>
      <c r="O610" s="7" t="s">
        <v>31</v>
      </c>
      <c r="P610" s="7">
        <f t="shared" si="5"/>
        <v>558</v>
      </c>
      <c r="Q610" s="7" t="s">
        <v>31</v>
      </c>
      <c r="R610" s="7" t="s">
        <v>970</v>
      </c>
    </row>
    <row r="611" spans="1:18" s="7" customFormat="1" ht="24" customHeight="1" x14ac:dyDescent="0.35">
      <c r="A611" s="7">
        <v>39</v>
      </c>
      <c r="B611" s="7" t="s">
        <v>964</v>
      </c>
      <c r="C611" s="7">
        <v>2014</v>
      </c>
      <c r="D611" s="7" t="s">
        <v>801</v>
      </c>
      <c r="E611" s="7" t="s">
        <v>965</v>
      </c>
      <c r="F611" s="7" t="s">
        <v>966</v>
      </c>
      <c r="G611" s="7" t="s">
        <v>54</v>
      </c>
      <c r="H611" s="7" t="s">
        <v>967</v>
      </c>
      <c r="I611" s="7">
        <v>48.725011000000002</v>
      </c>
      <c r="J611" s="7">
        <v>-125.789224</v>
      </c>
      <c r="K611" s="7" t="s">
        <v>41</v>
      </c>
      <c r="L611" s="7" t="s">
        <v>42</v>
      </c>
      <c r="M611" s="7" t="s">
        <v>968</v>
      </c>
      <c r="N611" s="7">
        <v>558</v>
      </c>
      <c r="O611" s="7" t="s">
        <v>31</v>
      </c>
      <c r="P611" s="7">
        <f t="shared" si="5"/>
        <v>558</v>
      </c>
      <c r="Q611" s="7" t="s">
        <v>31</v>
      </c>
      <c r="R611" s="7" t="s">
        <v>970</v>
      </c>
    </row>
    <row r="612" spans="1:18" s="7" customFormat="1" ht="24" customHeight="1" x14ac:dyDescent="0.35">
      <c r="A612" s="7">
        <v>39</v>
      </c>
      <c r="B612" s="7" t="s">
        <v>964</v>
      </c>
      <c r="C612" s="7">
        <v>2014</v>
      </c>
      <c r="D612" s="7" t="s">
        <v>801</v>
      </c>
      <c r="E612" s="7" t="s">
        <v>965</v>
      </c>
      <c r="F612" s="7" t="s">
        <v>966</v>
      </c>
      <c r="G612" s="7" t="s">
        <v>54</v>
      </c>
      <c r="H612" s="7" t="s">
        <v>967</v>
      </c>
      <c r="I612" s="7">
        <v>48.692424000000003</v>
      </c>
      <c r="J612" s="7">
        <v>-126.10198099999999</v>
      </c>
      <c r="K612" s="7" t="s">
        <v>41</v>
      </c>
      <c r="L612" s="7" t="s">
        <v>42</v>
      </c>
      <c r="M612" s="7" t="s">
        <v>968</v>
      </c>
      <c r="N612" s="7">
        <v>558</v>
      </c>
      <c r="O612" s="7" t="s">
        <v>31</v>
      </c>
      <c r="P612" s="7">
        <f t="shared" si="5"/>
        <v>558</v>
      </c>
      <c r="Q612" s="7" t="s">
        <v>31</v>
      </c>
      <c r="R612" s="7" t="s">
        <v>970</v>
      </c>
    </row>
    <row r="613" spans="1:18" s="7" customFormat="1" ht="24" customHeight="1" x14ac:dyDescent="0.35">
      <c r="A613" s="7">
        <v>39</v>
      </c>
      <c r="B613" s="7" t="s">
        <v>964</v>
      </c>
      <c r="C613" s="7">
        <v>2014</v>
      </c>
      <c r="D613" s="7" t="s">
        <v>801</v>
      </c>
      <c r="E613" s="7" t="s">
        <v>965</v>
      </c>
      <c r="F613" s="7" t="s">
        <v>966</v>
      </c>
      <c r="G613" s="7" t="s">
        <v>54</v>
      </c>
      <c r="H613" s="7" t="s">
        <v>967</v>
      </c>
      <c r="I613" s="7">
        <v>49.479391</v>
      </c>
      <c r="J613" s="7">
        <v>-126.711034</v>
      </c>
      <c r="K613" s="7" t="s">
        <v>41</v>
      </c>
      <c r="L613" s="7" t="s">
        <v>42</v>
      </c>
      <c r="M613" s="7" t="s">
        <v>968</v>
      </c>
      <c r="N613" s="7">
        <v>558</v>
      </c>
      <c r="O613" s="7" t="s">
        <v>31</v>
      </c>
      <c r="P613" s="7">
        <f t="shared" si="5"/>
        <v>558</v>
      </c>
      <c r="Q613" s="7" t="s">
        <v>31</v>
      </c>
      <c r="R613" s="7" t="s">
        <v>970</v>
      </c>
    </row>
    <row r="614" spans="1:18" s="7" customFormat="1" ht="24" customHeight="1" x14ac:dyDescent="0.35">
      <c r="A614" s="7">
        <v>39</v>
      </c>
      <c r="B614" s="7" t="s">
        <v>964</v>
      </c>
      <c r="C614" s="7">
        <v>2014</v>
      </c>
      <c r="D614" s="7" t="s">
        <v>801</v>
      </c>
      <c r="E614" s="7" t="s">
        <v>965</v>
      </c>
      <c r="F614" s="7" t="s">
        <v>966</v>
      </c>
      <c r="G614" s="7" t="s">
        <v>54</v>
      </c>
      <c r="H614" s="7" t="s">
        <v>967</v>
      </c>
      <c r="I614" s="7">
        <v>49.915923999999997</v>
      </c>
      <c r="J614" s="7">
        <v>-128.159593</v>
      </c>
      <c r="K614" s="7" t="s">
        <v>41</v>
      </c>
      <c r="L614" s="7" t="s">
        <v>42</v>
      </c>
      <c r="M614" s="7" t="s">
        <v>968</v>
      </c>
      <c r="N614" s="7">
        <v>558</v>
      </c>
      <c r="O614" s="7" t="s">
        <v>31</v>
      </c>
      <c r="P614" s="7">
        <f t="shared" si="5"/>
        <v>558</v>
      </c>
      <c r="Q614" s="7" t="s">
        <v>31</v>
      </c>
      <c r="R614" s="7" t="s">
        <v>970</v>
      </c>
    </row>
    <row r="615" spans="1:18" s="7" customFormat="1" ht="24" customHeight="1" x14ac:dyDescent="0.35">
      <c r="A615" s="7">
        <v>39</v>
      </c>
      <c r="B615" s="7" t="s">
        <v>964</v>
      </c>
      <c r="C615" s="7">
        <v>2014</v>
      </c>
      <c r="D615" s="7" t="s">
        <v>801</v>
      </c>
      <c r="E615" s="7" t="s">
        <v>965</v>
      </c>
      <c r="F615" s="7" t="s">
        <v>966</v>
      </c>
      <c r="G615" s="7" t="s">
        <v>54</v>
      </c>
      <c r="H615" s="7" t="s">
        <v>967</v>
      </c>
      <c r="I615" s="7">
        <v>50.641742000000001</v>
      </c>
      <c r="J615" s="7">
        <v>-128.83448999999999</v>
      </c>
      <c r="K615" s="7" t="s">
        <v>41</v>
      </c>
      <c r="L615" s="7" t="s">
        <v>42</v>
      </c>
      <c r="M615" s="7" t="s">
        <v>968</v>
      </c>
      <c r="N615" s="7">
        <v>558</v>
      </c>
      <c r="O615" s="7" t="s">
        <v>31</v>
      </c>
      <c r="P615" s="7">
        <f t="shared" si="5"/>
        <v>558</v>
      </c>
      <c r="Q615" s="7" t="s">
        <v>31</v>
      </c>
      <c r="R615" s="7" t="s">
        <v>970</v>
      </c>
    </row>
    <row r="616" spans="1:18" s="7" customFormat="1" ht="18" customHeight="1" x14ac:dyDescent="0.35">
      <c r="A616" s="7">
        <v>39</v>
      </c>
      <c r="B616" s="7" t="s">
        <v>964</v>
      </c>
      <c r="C616" s="7">
        <v>2014</v>
      </c>
      <c r="D616" s="7" t="s">
        <v>801</v>
      </c>
      <c r="E616" s="7" t="s">
        <v>965</v>
      </c>
      <c r="F616" s="7" t="s">
        <v>966</v>
      </c>
      <c r="G616" s="7" t="s">
        <v>54</v>
      </c>
      <c r="H616" s="7" t="s">
        <v>967</v>
      </c>
      <c r="I616" s="7">
        <v>50.704334000000003</v>
      </c>
      <c r="J616" s="7">
        <v>-129.55876900000001</v>
      </c>
      <c r="K616" s="7" t="s">
        <v>41</v>
      </c>
      <c r="L616" s="7" t="s">
        <v>42</v>
      </c>
      <c r="M616" s="7" t="s">
        <v>968</v>
      </c>
      <c r="N616" s="7">
        <v>558</v>
      </c>
      <c r="O616" s="7" t="s">
        <v>31</v>
      </c>
      <c r="P616" s="7">
        <f t="shared" si="5"/>
        <v>558</v>
      </c>
      <c r="Q616" s="7" t="s">
        <v>31</v>
      </c>
      <c r="R616" s="7" t="s">
        <v>970</v>
      </c>
    </row>
    <row r="617" spans="1:18" s="7" customFormat="1" x14ac:dyDescent="0.35">
      <c r="A617" s="7">
        <v>39</v>
      </c>
      <c r="B617" s="7" t="s">
        <v>964</v>
      </c>
      <c r="C617" s="7">
        <v>2014</v>
      </c>
      <c r="D617" s="7" t="s">
        <v>801</v>
      </c>
      <c r="E617" s="7" t="s">
        <v>965</v>
      </c>
      <c r="F617" s="7" t="s">
        <v>966</v>
      </c>
      <c r="G617" s="7" t="s">
        <v>54</v>
      </c>
      <c r="H617" s="7" t="s">
        <v>967</v>
      </c>
      <c r="I617" s="7">
        <v>50.901992</v>
      </c>
      <c r="J617" s="7">
        <v>-128.999099</v>
      </c>
      <c r="K617" s="7" t="s">
        <v>41</v>
      </c>
      <c r="L617" s="7" t="s">
        <v>42</v>
      </c>
      <c r="M617" s="7" t="s">
        <v>968</v>
      </c>
      <c r="N617" s="7">
        <v>558</v>
      </c>
      <c r="O617" s="7" t="s">
        <v>31</v>
      </c>
      <c r="P617" s="7">
        <f t="shared" si="5"/>
        <v>558</v>
      </c>
      <c r="Q617" s="7" t="s">
        <v>31</v>
      </c>
      <c r="R617" s="7" t="s">
        <v>970</v>
      </c>
    </row>
    <row r="618" spans="1:18" s="7" customFormat="1" x14ac:dyDescent="0.35">
      <c r="A618" s="7">
        <v>39</v>
      </c>
      <c r="B618" s="7" t="s">
        <v>964</v>
      </c>
      <c r="C618" s="7">
        <v>2014</v>
      </c>
      <c r="D618" s="7" t="s">
        <v>801</v>
      </c>
      <c r="E618" s="7" t="s">
        <v>965</v>
      </c>
      <c r="F618" s="7" t="s">
        <v>966</v>
      </c>
      <c r="G618" s="7" t="s">
        <v>54</v>
      </c>
      <c r="H618" s="7" t="s">
        <v>967</v>
      </c>
      <c r="I618" s="7">
        <v>50.964236</v>
      </c>
      <c r="J618" s="7">
        <v>-129.525847</v>
      </c>
      <c r="K618" s="7" t="s">
        <v>41</v>
      </c>
      <c r="L618" s="7" t="s">
        <v>42</v>
      </c>
      <c r="M618" s="7" t="s">
        <v>968</v>
      </c>
      <c r="N618" s="7">
        <v>558</v>
      </c>
      <c r="O618" s="7" t="s">
        <v>31</v>
      </c>
      <c r="P618" s="7">
        <f t="shared" si="5"/>
        <v>558</v>
      </c>
      <c r="Q618" s="7" t="s">
        <v>31</v>
      </c>
      <c r="R618" s="7" t="s">
        <v>970</v>
      </c>
    </row>
    <row r="619" spans="1:18" s="7" customFormat="1" x14ac:dyDescent="0.35">
      <c r="A619" s="7">
        <v>39</v>
      </c>
      <c r="B619" s="7" t="s">
        <v>964</v>
      </c>
      <c r="C619" s="7">
        <v>2014</v>
      </c>
      <c r="D619" s="7" t="s">
        <v>801</v>
      </c>
      <c r="E619" s="7" t="s">
        <v>965</v>
      </c>
      <c r="F619" s="7" t="s">
        <v>966</v>
      </c>
      <c r="G619" s="7" t="s">
        <v>54</v>
      </c>
      <c r="H619" s="7" t="s">
        <v>971</v>
      </c>
      <c r="I619" s="7">
        <v>51.026397000000003</v>
      </c>
      <c r="J619" s="7">
        <v>-127.978523</v>
      </c>
      <c r="K619" s="7" t="s">
        <v>41</v>
      </c>
      <c r="L619" s="7" t="s">
        <v>42</v>
      </c>
      <c r="M619" s="7" t="s">
        <v>972</v>
      </c>
      <c r="N619" s="7">
        <v>398</v>
      </c>
      <c r="O619" s="7" t="s">
        <v>31</v>
      </c>
      <c r="P619" s="7">
        <f t="shared" si="5"/>
        <v>398</v>
      </c>
      <c r="Q619" s="7" t="s">
        <v>31</v>
      </c>
      <c r="R619" s="7" t="s">
        <v>974</v>
      </c>
    </row>
    <row r="620" spans="1:18" s="7" customFormat="1" x14ac:dyDescent="0.35">
      <c r="A620" s="7">
        <v>39</v>
      </c>
      <c r="B620" s="7" t="s">
        <v>964</v>
      </c>
      <c r="C620" s="7">
        <v>2014</v>
      </c>
      <c r="D620" s="7" t="s">
        <v>801</v>
      </c>
      <c r="E620" s="7" t="s">
        <v>965</v>
      </c>
      <c r="F620" s="7" t="s">
        <v>966</v>
      </c>
      <c r="G620" s="7" t="s">
        <v>54</v>
      </c>
      <c r="H620" s="7" t="s">
        <v>971</v>
      </c>
      <c r="I620" s="7">
        <v>50.510174999999997</v>
      </c>
      <c r="J620" s="7">
        <v>-126.622497</v>
      </c>
      <c r="K620" s="7" t="s">
        <v>41</v>
      </c>
      <c r="L620" s="7" t="s">
        <v>42</v>
      </c>
      <c r="M620" s="7" t="s">
        <v>972</v>
      </c>
      <c r="N620" s="7">
        <v>398</v>
      </c>
      <c r="O620" s="7" t="s">
        <v>31</v>
      </c>
      <c r="P620" s="7">
        <f t="shared" si="5"/>
        <v>398</v>
      </c>
      <c r="Q620" s="7" t="s">
        <v>31</v>
      </c>
      <c r="R620" s="7" t="s">
        <v>974</v>
      </c>
    </row>
    <row r="621" spans="1:18" s="7" customFormat="1" x14ac:dyDescent="0.35">
      <c r="A621" s="7">
        <v>39</v>
      </c>
      <c r="B621" s="7" t="s">
        <v>964</v>
      </c>
      <c r="C621" s="7">
        <v>2014</v>
      </c>
      <c r="D621" s="7" t="s">
        <v>801</v>
      </c>
      <c r="E621" s="7" t="s">
        <v>965</v>
      </c>
      <c r="F621" s="7" t="s">
        <v>966</v>
      </c>
      <c r="G621" s="7" t="s">
        <v>54</v>
      </c>
      <c r="H621" s="7" t="s">
        <v>975</v>
      </c>
      <c r="I621" s="7">
        <v>49.941507000000001</v>
      </c>
      <c r="J621" s="7">
        <v>-125.050481</v>
      </c>
      <c r="K621" s="7" t="s">
        <v>41</v>
      </c>
      <c r="L621" s="7" t="s">
        <v>163</v>
      </c>
      <c r="M621" s="7" t="s">
        <v>976</v>
      </c>
      <c r="N621" s="7">
        <v>513</v>
      </c>
      <c r="O621" s="7" t="s">
        <v>31</v>
      </c>
      <c r="P621" s="7">
        <f t="shared" si="5"/>
        <v>513</v>
      </c>
      <c r="Q621" s="7" t="s">
        <v>31</v>
      </c>
    </row>
    <row r="622" spans="1:18" s="7" customFormat="1" x14ac:dyDescent="0.35">
      <c r="A622" s="7">
        <v>39</v>
      </c>
      <c r="B622" s="7" t="s">
        <v>964</v>
      </c>
      <c r="C622" s="7">
        <v>2014</v>
      </c>
      <c r="D622" s="7" t="s">
        <v>801</v>
      </c>
      <c r="E622" s="7" t="s">
        <v>965</v>
      </c>
      <c r="F622" s="7" t="s">
        <v>966</v>
      </c>
      <c r="G622" s="7" t="s">
        <v>54</v>
      </c>
      <c r="H622" s="7" t="s">
        <v>975</v>
      </c>
      <c r="I622" s="7">
        <v>49.654626</v>
      </c>
      <c r="J622" s="7">
        <v>-124.72126299999999</v>
      </c>
      <c r="K622" s="7" t="s">
        <v>41</v>
      </c>
      <c r="L622" s="7" t="s">
        <v>163</v>
      </c>
      <c r="M622" s="7" t="s">
        <v>976</v>
      </c>
      <c r="N622" s="7">
        <v>513</v>
      </c>
      <c r="O622" s="7" t="s">
        <v>31</v>
      </c>
      <c r="P622" s="7">
        <f t="shared" si="5"/>
        <v>513</v>
      </c>
      <c r="Q622" s="7" t="s">
        <v>31</v>
      </c>
    </row>
    <row r="623" spans="1:18" s="7" customFormat="1" x14ac:dyDescent="0.35">
      <c r="A623" s="7">
        <v>39</v>
      </c>
      <c r="B623" s="7" t="s">
        <v>964</v>
      </c>
      <c r="C623" s="7">
        <v>2014</v>
      </c>
      <c r="D623" s="7" t="s">
        <v>801</v>
      </c>
      <c r="E623" s="7" t="s">
        <v>965</v>
      </c>
      <c r="F623" s="7" t="s">
        <v>966</v>
      </c>
      <c r="G623" s="7" t="s">
        <v>54</v>
      </c>
      <c r="H623" s="7" t="s">
        <v>975</v>
      </c>
      <c r="I623" s="7">
        <v>49.392837</v>
      </c>
      <c r="J623" s="7">
        <v>-124.23566700000001</v>
      </c>
      <c r="K623" s="7" t="s">
        <v>41</v>
      </c>
      <c r="L623" s="7" t="s">
        <v>163</v>
      </c>
      <c r="M623" s="7" t="s">
        <v>976</v>
      </c>
      <c r="N623" s="7">
        <v>513</v>
      </c>
      <c r="O623" s="7" t="s">
        <v>31</v>
      </c>
      <c r="P623" s="7">
        <f t="shared" si="5"/>
        <v>513</v>
      </c>
      <c r="Q623" s="7" t="s">
        <v>31</v>
      </c>
    </row>
    <row r="624" spans="1:18" s="7" customFormat="1" x14ac:dyDescent="0.35">
      <c r="A624" s="7">
        <v>39</v>
      </c>
      <c r="B624" s="7" t="s">
        <v>964</v>
      </c>
      <c r="C624" s="7">
        <v>2014</v>
      </c>
      <c r="D624" s="7" t="s">
        <v>801</v>
      </c>
      <c r="E624" s="7" t="s">
        <v>965</v>
      </c>
      <c r="F624" s="7" t="s">
        <v>966</v>
      </c>
      <c r="G624" s="7" t="s">
        <v>54</v>
      </c>
      <c r="H624" s="7" t="s">
        <v>975</v>
      </c>
      <c r="I624" s="7">
        <v>49.249293000000002</v>
      </c>
      <c r="J624" s="7">
        <v>-123.76164</v>
      </c>
      <c r="K624" s="7" t="s">
        <v>41</v>
      </c>
      <c r="L624" s="7" t="s">
        <v>163</v>
      </c>
      <c r="M624" s="7" t="s">
        <v>976</v>
      </c>
      <c r="N624" s="7">
        <v>513</v>
      </c>
      <c r="O624" s="7" t="s">
        <v>31</v>
      </c>
      <c r="P624" s="7">
        <f t="shared" si="5"/>
        <v>513</v>
      </c>
      <c r="Q624" s="7" t="s">
        <v>31</v>
      </c>
    </row>
    <row r="625" spans="1:17" s="7" customFormat="1" x14ac:dyDescent="0.35">
      <c r="A625" s="7">
        <v>39</v>
      </c>
      <c r="B625" s="7" t="s">
        <v>964</v>
      </c>
      <c r="C625" s="7">
        <v>2014</v>
      </c>
      <c r="D625" s="7" t="s">
        <v>801</v>
      </c>
      <c r="E625" s="7" t="s">
        <v>965</v>
      </c>
      <c r="F625" s="7" t="s">
        <v>966</v>
      </c>
      <c r="G625" s="7" t="s">
        <v>54</v>
      </c>
      <c r="H625" s="7" t="s">
        <v>975</v>
      </c>
      <c r="I625" s="7">
        <v>48.960946</v>
      </c>
      <c r="J625" s="7">
        <v>-123.34076899999999</v>
      </c>
      <c r="K625" s="7" t="s">
        <v>41</v>
      </c>
      <c r="L625" s="7" t="s">
        <v>163</v>
      </c>
      <c r="M625" s="7" t="s">
        <v>976</v>
      </c>
      <c r="N625" s="7">
        <v>513</v>
      </c>
      <c r="O625" s="7" t="s">
        <v>31</v>
      </c>
      <c r="P625" s="7">
        <f t="shared" si="5"/>
        <v>513</v>
      </c>
      <c r="Q625" s="7" t="s">
        <v>31</v>
      </c>
    </row>
    <row r="626" spans="1:17" s="7" customFormat="1" x14ac:dyDescent="0.35">
      <c r="A626" s="7">
        <v>39</v>
      </c>
      <c r="B626" s="7" t="s">
        <v>964</v>
      </c>
      <c r="C626" s="7">
        <v>2014</v>
      </c>
      <c r="D626" s="7" t="s">
        <v>801</v>
      </c>
      <c r="E626" s="7" t="s">
        <v>965</v>
      </c>
      <c r="F626" s="7" t="s">
        <v>966</v>
      </c>
      <c r="G626" s="7" t="s">
        <v>54</v>
      </c>
      <c r="H626" s="7" t="s">
        <v>975</v>
      </c>
      <c r="I626" s="7">
        <v>48.457169999999998</v>
      </c>
      <c r="J626" s="7">
        <v>-123.21352899999999</v>
      </c>
      <c r="K626" s="7" t="s">
        <v>41</v>
      </c>
      <c r="L626" s="7" t="s">
        <v>163</v>
      </c>
      <c r="M626" s="7" t="s">
        <v>976</v>
      </c>
      <c r="N626" s="7">
        <v>513</v>
      </c>
      <c r="O626" s="7" t="s">
        <v>31</v>
      </c>
      <c r="P626" s="7">
        <f t="shared" si="5"/>
        <v>513</v>
      </c>
      <c r="Q626" s="7" t="s">
        <v>31</v>
      </c>
    </row>
    <row r="627" spans="1:17" s="7" customFormat="1" x14ac:dyDescent="0.35">
      <c r="A627" s="7">
        <v>39</v>
      </c>
      <c r="B627" s="7" t="s">
        <v>964</v>
      </c>
      <c r="C627" s="7">
        <v>2014</v>
      </c>
      <c r="D627" s="7" t="s">
        <v>801</v>
      </c>
      <c r="E627" s="7" t="s">
        <v>965</v>
      </c>
      <c r="F627" s="7" t="s">
        <v>966</v>
      </c>
      <c r="G627" s="7" t="s">
        <v>54</v>
      </c>
      <c r="H627" s="7" t="s">
        <v>975</v>
      </c>
      <c r="I627" s="7">
        <v>48.320675999999999</v>
      </c>
      <c r="J627" s="7">
        <v>-123.399495</v>
      </c>
      <c r="K627" s="7" t="s">
        <v>41</v>
      </c>
      <c r="L627" s="7" t="s">
        <v>163</v>
      </c>
      <c r="M627" s="7" t="s">
        <v>976</v>
      </c>
      <c r="N627" s="7">
        <v>513</v>
      </c>
      <c r="O627" s="7" t="s">
        <v>31</v>
      </c>
      <c r="P627" s="7">
        <f t="shared" si="5"/>
        <v>513</v>
      </c>
      <c r="Q627" s="7" t="s">
        <v>31</v>
      </c>
    </row>
    <row r="628" spans="1:17" s="7" customFormat="1" x14ac:dyDescent="0.35">
      <c r="A628" s="7">
        <v>40</v>
      </c>
      <c r="B628" s="7" t="s">
        <v>978</v>
      </c>
      <c r="C628" s="7">
        <v>2024</v>
      </c>
      <c r="D628" s="7" t="s">
        <v>468</v>
      </c>
      <c r="E628" s="7" t="s">
        <v>979</v>
      </c>
      <c r="G628" s="7" t="s">
        <v>86</v>
      </c>
      <c r="H628" s="7" t="s">
        <v>980</v>
      </c>
      <c r="I628" s="7">
        <v>45.081220000000002</v>
      </c>
      <c r="J628" s="7">
        <v>-74.245900000000006</v>
      </c>
      <c r="K628" s="7" t="s">
        <v>41</v>
      </c>
      <c r="L628" s="7" t="s">
        <v>28</v>
      </c>
      <c r="M628" s="7" t="s">
        <v>981</v>
      </c>
      <c r="N628" s="7" t="s">
        <v>982</v>
      </c>
      <c r="O628" s="7" t="s">
        <v>31</v>
      </c>
      <c r="P628" s="7" t="s">
        <v>982</v>
      </c>
      <c r="Q628" s="7" t="s">
        <v>31</v>
      </c>
    </row>
    <row r="629" spans="1:17" s="7" customFormat="1" x14ac:dyDescent="0.35">
      <c r="A629" s="7">
        <v>40</v>
      </c>
      <c r="B629" s="7" t="s">
        <v>978</v>
      </c>
      <c r="C629" s="7">
        <v>2024</v>
      </c>
      <c r="D629" s="7" t="s">
        <v>468</v>
      </c>
      <c r="E629" s="7" t="s">
        <v>979</v>
      </c>
      <c r="G629" s="7" t="s">
        <v>86</v>
      </c>
      <c r="H629" s="7" t="s">
        <v>985</v>
      </c>
      <c r="I629" s="7">
        <v>44.14228</v>
      </c>
      <c r="J629" s="7">
        <v>-76.240799999999993</v>
      </c>
      <c r="K629" s="7" t="s">
        <v>41</v>
      </c>
      <c r="L629" s="7" t="s">
        <v>28</v>
      </c>
      <c r="M629" s="7" t="s">
        <v>981</v>
      </c>
      <c r="N629" s="7" t="s">
        <v>982</v>
      </c>
      <c r="O629" s="7" t="s">
        <v>31</v>
      </c>
      <c r="P629" s="7" t="s">
        <v>982</v>
      </c>
      <c r="Q629" s="7" t="s">
        <v>31</v>
      </c>
    </row>
    <row r="630" spans="1:17" s="7" customFormat="1" x14ac:dyDescent="0.35">
      <c r="A630" s="7">
        <v>40</v>
      </c>
      <c r="B630" s="7" t="s">
        <v>978</v>
      </c>
      <c r="C630" s="7">
        <v>2024</v>
      </c>
      <c r="D630" s="7" t="s">
        <v>468</v>
      </c>
      <c r="E630" s="7" t="s">
        <v>979</v>
      </c>
      <c r="G630" s="7" t="s">
        <v>86</v>
      </c>
      <c r="H630" s="7" t="s">
        <v>986</v>
      </c>
      <c r="I630" s="7">
        <v>43.572949999999999</v>
      </c>
      <c r="J630" s="7">
        <v>-76.484250000000003</v>
      </c>
      <c r="K630" s="7" t="s">
        <v>41</v>
      </c>
      <c r="L630" s="7" t="s">
        <v>28</v>
      </c>
      <c r="M630" s="7" t="s">
        <v>981</v>
      </c>
      <c r="N630" s="7" t="s">
        <v>982</v>
      </c>
      <c r="O630" s="7" t="s">
        <v>31</v>
      </c>
      <c r="P630" s="7" t="s">
        <v>982</v>
      </c>
      <c r="Q630" s="7" t="s">
        <v>31</v>
      </c>
    </row>
    <row r="631" spans="1:17" s="7" customFormat="1" x14ac:dyDescent="0.35">
      <c r="A631" s="7">
        <v>40</v>
      </c>
      <c r="B631" s="7" t="s">
        <v>978</v>
      </c>
      <c r="C631" s="7">
        <v>2024</v>
      </c>
      <c r="D631" s="7" t="s">
        <v>468</v>
      </c>
      <c r="E631" s="7" t="s">
        <v>979</v>
      </c>
      <c r="G631" s="7" t="s">
        <v>86</v>
      </c>
      <c r="H631" s="7" t="s">
        <v>987</v>
      </c>
      <c r="I631" s="7">
        <v>43.191189999999999</v>
      </c>
      <c r="J631" s="7">
        <v>-78.584350000000001</v>
      </c>
      <c r="K631" s="7" t="s">
        <v>41</v>
      </c>
      <c r="L631" s="7" t="s">
        <v>28</v>
      </c>
      <c r="M631" s="7" t="s">
        <v>981</v>
      </c>
      <c r="N631" s="7" t="s">
        <v>982</v>
      </c>
      <c r="O631" s="7" t="s">
        <v>31</v>
      </c>
      <c r="P631" s="7" t="s">
        <v>982</v>
      </c>
      <c r="Q631" s="7" t="s">
        <v>31</v>
      </c>
    </row>
    <row r="632" spans="1:17" s="7" customFormat="1" x14ac:dyDescent="0.35">
      <c r="A632" s="7">
        <v>40</v>
      </c>
      <c r="B632" s="7" t="s">
        <v>978</v>
      </c>
      <c r="C632" s="7">
        <v>2024</v>
      </c>
      <c r="D632" s="7" t="s">
        <v>468</v>
      </c>
      <c r="E632" s="7" t="s">
        <v>979</v>
      </c>
      <c r="G632" s="7" t="s">
        <v>86</v>
      </c>
      <c r="H632" s="7" t="s">
        <v>988</v>
      </c>
      <c r="I632" s="7">
        <v>43.171970000000002</v>
      </c>
      <c r="J632" s="7">
        <v>-79.501050000000006</v>
      </c>
      <c r="K632" s="7" t="s">
        <v>41</v>
      </c>
      <c r="L632" s="7" t="s">
        <v>28</v>
      </c>
      <c r="M632" s="7" t="s">
        <v>981</v>
      </c>
      <c r="N632" s="7" t="s">
        <v>982</v>
      </c>
      <c r="O632" s="7" t="s">
        <v>31</v>
      </c>
      <c r="P632" s="7" t="s">
        <v>982</v>
      </c>
      <c r="Q632" s="7" t="s">
        <v>31</v>
      </c>
    </row>
    <row r="633" spans="1:17" s="7" customFormat="1" x14ac:dyDescent="0.35">
      <c r="A633" s="7">
        <v>40</v>
      </c>
      <c r="B633" s="7" t="s">
        <v>978</v>
      </c>
      <c r="C633" s="7">
        <v>2024</v>
      </c>
      <c r="D633" s="7" t="s">
        <v>468</v>
      </c>
      <c r="E633" s="7" t="s">
        <v>979</v>
      </c>
      <c r="G633" s="7" t="s">
        <v>86</v>
      </c>
      <c r="H633" s="7" t="s">
        <v>989</v>
      </c>
      <c r="I633" s="7">
        <v>43.160550000000001</v>
      </c>
      <c r="J633" s="7">
        <v>-79.401600000000002</v>
      </c>
      <c r="K633" s="7" t="s">
        <v>41</v>
      </c>
      <c r="L633" s="7" t="s">
        <v>28</v>
      </c>
      <c r="M633" s="7" t="s">
        <v>981</v>
      </c>
      <c r="N633" s="7" t="s">
        <v>982</v>
      </c>
      <c r="O633" s="7" t="s">
        <v>31</v>
      </c>
      <c r="P633" s="7" t="s">
        <v>982</v>
      </c>
      <c r="Q633" s="7" t="s">
        <v>31</v>
      </c>
    </row>
    <row r="634" spans="1:17" s="7" customFormat="1" x14ac:dyDescent="0.35">
      <c r="A634" s="7">
        <v>40</v>
      </c>
      <c r="B634" s="7" t="s">
        <v>978</v>
      </c>
      <c r="C634" s="7">
        <v>2024</v>
      </c>
      <c r="D634" s="7" t="s">
        <v>468</v>
      </c>
      <c r="E634" s="7" t="s">
        <v>979</v>
      </c>
      <c r="G634" s="7" t="s">
        <v>86</v>
      </c>
      <c r="H634" s="7" t="s">
        <v>990</v>
      </c>
      <c r="I634" s="7">
        <v>43.25329</v>
      </c>
      <c r="J634" s="7">
        <v>-79.393839999999997</v>
      </c>
      <c r="K634" s="7" t="s">
        <v>41</v>
      </c>
      <c r="L634" s="7" t="s">
        <v>28</v>
      </c>
      <c r="M634" s="7" t="s">
        <v>981</v>
      </c>
      <c r="N634" s="7" t="s">
        <v>982</v>
      </c>
      <c r="O634" s="7" t="s">
        <v>31</v>
      </c>
      <c r="P634" s="7" t="s">
        <v>982</v>
      </c>
      <c r="Q634" s="7" t="s">
        <v>31</v>
      </c>
    </row>
    <row r="635" spans="1:17" s="7" customFormat="1" x14ac:dyDescent="0.35">
      <c r="A635" s="7">
        <v>40</v>
      </c>
      <c r="B635" s="7" t="s">
        <v>978</v>
      </c>
      <c r="C635" s="7">
        <v>2024</v>
      </c>
      <c r="D635" s="7" t="s">
        <v>468</v>
      </c>
      <c r="E635" s="7" t="s">
        <v>979</v>
      </c>
      <c r="G635" s="7" t="s">
        <v>86</v>
      </c>
      <c r="H635" s="7" t="s">
        <v>991</v>
      </c>
      <c r="I635" s="7">
        <v>44.051789999999997</v>
      </c>
      <c r="J635" s="7">
        <v>-77.323779999999999</v>
      </c>
      <c r="K635" s="7" t="s">
        <v>41</v>
      </c>
      <c r="L635" s="7" t="s">
        <v>28</v>
      </c>
      <c r="M635" s="7" t="s">
        <v>981</v>
      </c>
      <c r="N635" s="7" t="s">
        <v>982</v>
      </c>
      <c r="O635" s="7" t="s">
        <v>31</v>
      </c>
      <c r="P635" s="7" t="s">
        <v>982</v>
      </c>
      <c r="Q635" s="7" t="s">
        <v>31</v>
      </c>
    </row>
    <row r="636" spans="1:17" s="7" customFormat="1" x14ac:dyDescent="0.35">
      <c r="A636" s="7">
        <v>40</v>
      </c>
      <c r="B636" s="7" t="s">
        <v>978</v>
      </c>
      <c r="C636" s="7">
        <v>2024</v>
      </c>
      <c r="D636" s="7" t="s">
        <v>468</v>
      </c>
      <c r="E636" s="7" t="s">
        <v>979</v>
      </c>
      <c r="G636" s="7" t="s">
        <v>86</v>
      </c>
      <c r="H636" s="7" t="s">
        <v>992</v>
      </c>
      <c r="I636" s="7">
        <v>43.571199999999997</v>
      </c>
      <c r="J636" s="7">
        <v>-78.004450000000006</v>
      </c>
      <c r="K636" s="7" t="s">
        <v>41</v>
      </c>
      <c r="L636" s="7" t="s">
        <v>28</v>
      </c>
      <c r="M636" s="7" t="s">
        <v>981</v>
      </c>
      <c r="N636" s="7" t="s">
        <v>982</v>
      </c>
      <c r="O636" s="7" t="s">
        <v>31</v>
      </c>
      <c r="P636" s="7" t="s">
        <v>982</v>
      </c>
      <c r="Q636" s="7" t="s">
        <v>31</v>
      </c>
    </row>
    <row r="637" spans="1:17" s="7" customFormat="1" x14ac:dyDescent="0.35">
      <c r="A637" s="7">
        <v>40</v>
      </c>
      <c r="B637" s="7" t="s">
        <v>978</v>
      </c>
      <c r="C637" s="7">
        <v>2024</v>
      </c>
      <c r="D637" s="7" t="s">
        <v>468</v>
      </c>
      <c r="E637" s="7" t="s">
        <v>979</v>
      </c>
      <c r="G637" s="7" t="s">
        <v>86</v>
      </c>
      <c r="H637" s="7" t="s">
        <v>993</v>
      </c>
      <c r="I637" s="7">
        <v>43.473700000000001</v>
      </c>
      <c r="J637" s="7">
        <v>-79.050600000000003</v>
      </c>
      <c r="K637" s="7" t="s">
        <v>41</v>
      </c>
      <c r="L637" s="7" t="s">
        <v>28</v>
      </c>
      <c r="M637" s="7" t="s">
        <v>981</v>
      </c>
      <c r="N637" s="7" t="s">
        <v>982</v>
      </c>
      <c r="O637" s="7" t="s">
        <v>31</v>
      </c>
      <c r="P637" s="7" t="s">
        <v>982</v>
      </c>
      <c r="Q637" s="7" t="s">
        <v>31</v>
      </c>
    </row>
    <row r="638" spans="1:17" s="7" customFormat="1" x14ac:dyDescent="0.35">
      <c r="A638" s="7">
        <v>40</v>
      </c>
      <c r="B638" s="7" t="s">
        <v>978</v>
      </c>
      <c r="C638" s="7">
        <v>2024</v>
      </c>
      <c r="D638" s="7" t="s">
        <v>468</v>
      </c>
      <c r="E638" s="7" t="s">
        <v>979</v>
      </c>
      <c r="G638" s="7" t="s">
        <v>86</v>
      </c>
      <c r="H638" s="7" t="s">
        <v>994</v>
      </c>
      <c r="I638" s="7">
        <v>43.375369999999997</v>
      </c>
      <c r="J638" s="7">
        <v>-7922118</v>
      </c>
      <c r="K638" s="7" t="s">
        <v>41</v>
      </c>
      <c r="L638" s="7" t="s">
        <v>28</v>
      </c>
      <c r="M638" s="7" t="s">
        <v>981</v>
      </c>
      <c r="N638" s="7" t="s">
        <v>982</v>
      </c>
      <c r="O638" s="7" t="s">
        <v>31</v>
      </c>
      <c r="P638" s="7" t="s">
        <v>982</v>
      </c>
      <c r="Q638" s="7" t="s">
        <v>31</v>
      </c>
    </row>
    <row r="639" spans="1:17" s="7" customFormat="1" x14ac:dyDescent="0.35">
      <c r="A639" s="7">
        <v>40</v>
      </c>
      <c r="B639" s="7" t="s">
        <v>978</v>
      </c>
      <c r="C639" s="7">
        <v>2024</v>
      </c>
      <c r="D639" s="7" t="s">
        <v>468</v>
      </c>
      <c r="E639" s="7" t="s">
        <v>979</v>
      </c>
      <c r="G639" s="7" t="s">
        <v>86</v>
      </c>
      <c r="H639" s="7" t="s">
        <v>995</v>
      </c>
      <c r="I639" s="7">
        <v>43.37238</v>
      </c>
      <c r="J639" s="7">
        <v>-79.264750000000006</v>
      </c>
      <c r="K639" s="7" t="s">
        <v>41</v>
      </c>
      <c r="L639" s="7" t="s">
        <v>28</v>
      </c>
      <c r="M639" s="7" t="s">
        <v>981</v>
      </c>
      <c r="N639" s="7" t="s">
        <v>982</v>
      </c>
      <c r="O639" s="7" t="s">
        <v>31</v>
      </c>
      <c r="P639" s="7" t="s">
        <v>982</v>
      </c>
      <c r="Q639" s="7" t="s">
        <v>31</v>
      </c>
    </row>
    <row r="640" spans="1:17" s="7" customFormat="1" x14ac:dyDescent="0.35">
      <c r="A640" s="7">
        <v>40</v>
      </c>
      <c r="B640" s="7" t="s">
        <v>978</v>
      </c>
      <c r="C640" s="7">
        <v>2024</v>
      </c>
      <c r="D640" s="7" t="s">
        <v>468</v>
      </c>
      <c r="E640" s="7" t="s">
        <v>979</v>
      </c>
      <c r="G640" s="7" t="s">
        <v>86</v>
      </c>
      <c r="H640" s="7" t="s">
        <v>996</v>
      </c>
      <c r="I640" s="7">
        <v>43.342179999999999</v>
      </c>
      <c r="J640" s="7">
        <v>-79.30574</v>
      </c>
      <c r="K640" s="7" t="s">
        <v>41</v>
      </c>
      <c r="L640" s="7" t="s">
        <v>28</v>
      </c>
      <c r="M640" s="7" t="s">
        <v>981</v>
      </c>
      <c r="N640" s="7" t="s">
        <v>982</v>
      </c>
      <c r="O640" s="7" t="s">
        <v>31</v>
      </c>
      <c r="P640" s="7" t="s">
        <v>982</v>
      </c>
      <c r="Q640" s="7" t="s">
        <v>31</v>
      </c>
    </row>
    <row r="641" spans="1:28" s="7" customFormat="1" x14ac:dyDescent="0.35">
      <c r="A641" s="7">
        <v>40</v>
      </c>
      <c r="B641" s="7" t="s">
        <v>978</v>
      </c>
      <c r="C641" s="7">
        <v>2024</v>
      </c>
      <c r="D641" s="7" t="s">
        <v>468</v>
      </c>
      <c r="E641" s="7" t="s">
        <v>979</v>
      </c>
      <c r="G641" s="7" t="s">
        <v>86</v>
      </c>
      <c r="H641" s="7" t="s">
        <v>997</v>
      </c>
      <c r="I641" s="7">
        <v>43.323230000000002</v>
      </c>
      <c r="J641" s="7">
        <v>-79.34084</v>
      </c>
      <c r="K641" s="7" t="s">
        <v>41</v>
      </c>
      <c r="L641" s="7" t="s">
        <v>28</v>
      </c>
      <c r="M641" s="7" t="s">
        <v>981</v>
      </c>
      <c r="N641" s="7" t="s">
        <v>982</v>
      </c>
      <c r="O641" s="7" t="s">
        <v>31</v>
      </c>
      <c r="P641" s="7" t="s">
        <v>982</v>
      </c>
      <c r="Q641" s="7" t="s">
        <v>31</v>
      </c>
    </row>
    <row r="642" spans="1:28" s="7" customFormat="1" ht="18" customHeight="1" x14ac:dyDescent="0.35">
      <c r="A642" s="7">
        <v>40</v>
      </c>
      <c r="B642" s="7" t="s">
        <v>978</v>
      </c>
      <c r="C642" s="7">
        <v>2024</v>
      </c>
      <c r="D642" s="7" t="s">
        <v>468</v>
      </c>
      <c r="E642" s="7" t="s">
        <v>979</v>
      </c>
      <c r="G642" s="7" t="s">
        <v>86</v>
      </c>
      <c r="H642" s="7" t="s">
        <v>998</v>
      </c>
      <c r="I642" s="7">
        <v>41.512450000000001</v>
      </c>
      <c r="J642" s="7">
        <v>-83.054670000000002</v>
      </c>
      <c r="K642" s="7" t="s">
        <v>41</v>
      </c>
      <c r="L642" s="7" t="s">
        <v>28</v>
      </c>
      <c r="M642" s="7" t="s">
        <v>981</v>
      </c>
      <c r="N642" s="7" t="s">
        <v>982</v>
      </c>
      <c r="O642" s="7" t="s">
        <v>31</v>
      </c>
      <c r="P642" s="7" t="s">
        <v>982</v>
      </c>
      <c r="Q642" s="7" t="s">
        <v>31</v>
      </c>
    </row>
    <row r="643" spans="1:28" s="7" customFormat="1" x14ac:dyDescent="0.35">
      <c r="A643" s="7">
        <v>40</v>
      </c>
      <c r="B643" s="7" t="s">
        <v>978</v>
      </c>
      <c r="C643" s="7">
        <v>2024</v>
      </c>
      <c r="D643" s="7" t="s">
        <v>468</v>
      </c>
      <c r="E643" s="7" t="s">
        <v>979</v>
      </c>
      <c r="G643" s="7" t="s">
        <v>86</v>
      </c>
      <c r="H643" s="7" t="s">
        <v>999</v>
      </c>
      <c r="I643" s="7">
        <v>42.50264</v>
      </c>
      <c r="J643" s="7">
        <v>-79.352379999999997</v>
      </c>
      <c r="K643" s="7" t="s">
        <v>41</v>
      </c>
      <c r="L643" s="7" t="s">
        <v>28</v>
      </c>
      <c r="M643" s="7" t="s">
        <v>981</v>
      </c>
      <c r="N643" s="7" t="s">
        <v>982</v>
      </c>
      <c r="O643" s="7" t="s">
        <v>31</v>
      </c>
      <c r="P643" s="7" t="s">
        <v>982</v>
      </c>
      <c r="Q643" s="7" t="s">
        <v>31</v>
      </c>
    </row>
    <row r="644" spans="1:28" s="7" customFormat="1" x14ac:dyDescent="0.35">
      <c r="A644" s="7">
        <v>40</v>
      </c>
      <c r="B644" s="7" t="s">
        <v>978</v>
      </c>
      <c r="C644" s="7">
        <v>2024</v>
      </c>
      <c r="D644" s="7" t="s">
        <v>468</v>
      </c>
      <c r="E644" s="7" t="s">
        <v>979</v>
      </c>
      <c r="G644" s="7" t="s">
        <v>86</v>
      </c>
      <c r="H644" s="7" t="s">
        <v>1000</v>
      </c>
      <c r="I644" s="7">
        <v>42.511389999999999</v>
      </c>
      <c r="J644" s="7">
        <v>-78.561049999999994</v>
      </c>
      <c r="K644" s="7" t="s">
        <v>41</v>
      </c>
      <c r="L644" s="7" t="s">
        <v>28</v>
      </c>
      <c r="M644" s="7" t="s">
        <v>981</v>
      </c>
      <c r="N644" s="7" t="s">
        <v>982</v>
      </c>
      <c r="O644" s="7" t="s">
        <v>31</v>
      </c>
      <c r="P644" s="7" t="s">
        <v>982</v>
      </c>
      <c r="Q644" s="7" t="s">
        <v>31</v>
      </c>
    </row>
    <row r="645" spans="1:28" s="7" customFormat="1" x14ac:dyDescent="0.35">
      <c r="A645" s="7">
        <v>40</v>
      </c>
      <c r="B645" s="7" t="s">
        <v>978</v>
      </c>
      <c r="C645" s="7">
        <v>2024</v>
      </c>
      <c r="D645" s="7" t="s">
        <v>468</v>
      </c>
      <c r="E645" s="7" t="s">
        <v>979</v>
      </c>
      <c r="G645" s="7" t="s">
        <v>86</v>
      </c>
      <c r="H645" s="7" t="s">
        <v>1001</v>
      </c>
      <c r="I645" s="7">
        <v>42.380519999999997</v>
      </c>
      <c r="J645" s="7">
        <v>-81.105009999999993</v>
      </c>
      <c r="K645" s="7" t="s">
        <v>41</v>
      </c>
      <c r="L645" s="7" t="s">
        <v>28</v>
      </c>
      <c r="M645" s="7" t="s">
        <v>981</v>
      </c>
      <c r="N645" s="7" t="s">
        <v>982</v>
      </c>
      <c r="O645" s="7" t="s">
        <v>31</v>
      </c>
      <c r="P645" s="7" t="s">
        <v>982</v>
      </c>
      <c r="Q645" s="7" t="s">
        <v>31</v>
      </c>
    </row>
    <row r="646" spans="1:28" s="7" customFormat="1" x14ac:dyDescent="0.35">
      <c r="A646" s="7">
        <v>40</v>
      </c>
      <c r="B646" s="7" t="s">
        <v>978</v>
      </c>
      <c r="C646" s="7">
        <v>2024</v>
      </c>
      <c r="D646" s="7" t="s">
        <v>468</v>
      </c>
      <c r="E646" s="7" t="s">
        <v>979</v>
      </c>
      <c r="G646" s="7" t="s">
        <v>86</v>
      </c>
      <c r="H646" s="7" t="s">
        <v>1002</v>
      </c>
      <c r="I646" s="7">
        <v>41.575530000000001</v>
      </c>
      <c r="J646" s="7">
        <v>-82.335669999999993</v>
      </c>
      <c r="K646" s="7" t="s">
        <v>41</v>
      </c>
      <c r="L646" s="7" t="s">
        <v>28</v>
      </c>
      <c r="M646" s="7" t="s">
        <v>981</v>
      </c>
      <c r="N646" s="7" t="s">
        <v>982</v>
      </c>
      <c r="O646" s="7" t="s">
        <v>31</v>
      </c>
      <c r="P646" s="7" t="s">
        <v>982</v>
      </c>
      <c r="Q646" s="7" t="s">
        <v>31</v>
      </c>
    </row>
    <row r="647" spans="1:28" s="7" customFormat="1" x14ac:dyDescent="0.35">
      <c r="A647" s="7">
        <v>40</v>
      </c>
      <c r="B647" s="7" t="s">
        <v>978</v>
      </c>
      <c r="C647" s="7">
        <v>2024</v>
      </c>
      <c r="D647" s="7" t="s">
        <v>468</v>
      </c>
      <c r="E647" s="7" t="s">
        <v>979</v>
      </c>
      <c r="G647" s="7" t="s">
        <v>86</v>
      </c>
      <c r="H647" s="7" t="s">
        <v>1003</v>
      </c>
      <c r="I647" s="7">
        <v>46.102379999999997</v>
      </c>
      <c r="J647" s="7" t="s">
        <v>1004</v>
      </c>
      <c r="K647" s="7" t="s">
        <v>41</v>
      </c>
      <c r="L647" s="7" t="s">
        <v>28</v>
      </c>
      <c r="M647" s="7" t="s">
        <v>981</v>
      </c>
      <c r="N647" s="7" t="s">
        <v>982</v>
      </c>
      <c r="O647" s="7" t="s">
        <v>31</v>
      </c>
      <c r="P647" s="7" t="s">
        <v>982</v>
      </c>
      <c r="Q647" s="7" t="s">
        <v>31</v>
      </c>
    </row>
    <row r="648" spans="1:28" s="7" customFormat="1" ht="15.75" customHeight="1" x14ac:dyDescent="0.35">
      <c r="A648" s="7">
        <v>40</v>
      </c>
      <c r="B648" s="7" t="s">
        <v>978</v>
      </c>
      <c r="C648" s="7">
        <v>2024</v>
      </c>
      <c r="D648" s="7" t="s">
        <v>468</v>
      </c>
      <c r="E648" s="7" t="s">
        <v>979</v>
      </c>
      <c r="G648" s="7" t="s">
        <v>86</v>
      </c>
      <c r="H648" s="7" t="s">
        <v>1005</v>
      </c>
      <c r="I648" s="7">
        <v>46.292380000000001</v>
      </c>
      <c r="J648" s="7">
        <v>-84.021209999999996</v>
      </c>
      <c r="K648" s="7" t="s">
        <v>41</v>
      </c>
      <c r="L648" s="7" t="s">
        <v>28</v>
      </c>
      <c r="M648" s="7" t="s">
        <v>981</v>
      </c>
      <c r="N648" s="7" t="s">
        <v>982</v>
      </c>
      <c r="O648" s="7" t="s">
        <v>31</v>
      </c>
      <c r="P648" s="7" t="s">
        <v>982</v>
      </c>
      <c r="Q648" s="7" t="s">
        <v>31</v>
      </c>
    </row>
    <row r="649" spans="1:28" s="7" customFormat="1" x14ac:dyDescent="0.35">
      <c r="A649" s="7">
        <v>40</v>
      </c>
      <c r="B649" s="7" t="s">
        <v>978</v>
      </c>
      <c r="C649" s="7">
        <v>2024</v>
      </c>
      <c r="D649" s="7" t="s">
        <v>468</v>
      </c>
      <c r="E649" s="7" t="s">
        <v>979</v>
      </c>
      <c r="G649" s="7" t="s">
        <v>86</v>
      </c>
      <c r="H649" s="7" t="s">
        <v>1006</v>
      </c>
      <c r="I649" s="7">
        <v>48.06174</v>
      </c>
      <c r="J649" s="7">
        <v>-86.021870000000007</v>
      </c>
      <c r="K649" s="7" t="s">
        <v>41</v>
      </c>
      <c r="L649" s="7" t="s">
        <v>28</v>
      </c>
      <c r="M649" s="7" t="s">
        <v>981</v>
      </c>
      <c r="N649" s="7" t="s">
        <v>982</v>
      </c>
      <c r="O649" s="7" t="s">
        <v>31</v>
      </c>
      <c r="P649" s="7" t="s">
        <v>982</v>
      </c>
      <c r="Q649" s="7" t="s">
        <v>31</v>
      </c>
    </row>
    <row r="650" spans="1:28" s="7" customFormat="1" x14ac:dyDescent="0.35">
      <c r="A650" s="7">
        <v>40</v>
      </c>
      <c r="B650" s="7" t="s">
        <v>978</v>
      </c>
      <c r="C650" s="7">
        <v>2024</v>
      </c>
      <c r="D650" s="7" t="s">
        <v>468</v>
      </c>
      <c r="E650" s="7" t="s">
        <v>979</v>
      </c>
      <c r="G650" s="7" t="s">
        <v>86</v>
      </c>
      <c r="H650" s="7" t="s">
        <v>1007</v>
      </c>
      <c r="I650" s="7">
        <v>48.560409999999997</v>
      </c>
      <c r="J650" s="7">
        <v>-8811592</v>
      </c>
      <c r="K650" s="7" t="s">
        <v>41</v>
      </c>
      <c r="L650" s="7" t="s">
        <v>28</v>
      </c>
      <c r="M650" s="7" t="s">
        <v>981</v>
      </c>
      <c r="N650" s="7" t="s">
        <v>982</v>
      </c>
      <c r="O650" s="7" t="s">
        <v>31</v>
      </c>
      <c r="P650" s="7" t="s">
        <v>982</v>
      </c>
      <c r="Q650" s="7" t="s">
        <v>31</v>
      </c>
    </row>
    <row r="651" spans="1:28" s="7" customFormat="1" x14ac:dyDescent="0.35">
      <c r="A651" s="7">
        <v>40</v>
      </c>
      <c r="B651" s="7" t="s">
        <v>978</v>
      </c>
      <c r="C651" s="7">
        <v>2024</v>
      </c>
      <c r="D651" s="7" t="s">
        <v>468</v>
      </c>
      <c r="E651" s="7" t="s">
        <v>979</v>
      </c>
      <c r="G651" s="7" t="s">
        <v>86</v>
      </c>
      <c r="H651" s="7" t="s">
        <v>1008</v>
      </c>
      <c r="I651" s="7">
        <v>48.220170000000003</v>
      </c>
      <c r="J651" s="7">
        <v>-89.092110000000005</v>
      </c>
      <c r="K651" s="7" t="s">
        <v>41</v>
      </c>
      <c r="L651" s="7" t="s">
        <v>28</v>
      </c>
      <c r="M651" s="7" t="s">
        <v>981</v>
      </c>
      <c r="N651" s="7" t="s">
        <v>982</v>
      </c>
      <c r="O651" s="7" t="s">
        <v>31</v>
      </c>
      <c r="P651" s="7" t="s">
        <v>982</v>
      </c>
      <c r="Q651" s="7" t="s">
        <v>31</v>
      </c>
    </row>
    <row r="652" spans="1:28" s="7" customFormat="1" x14ac:dyDescent="0.35">
      <c r="A652" s="3">
        <v>42</v>
      </c>
      <c r="B652" s="3" t="s">
        <v>1009</v>
      </c>
      <c r="C652" s="3">
        <v>2020</v>
      </c>
      <c r="D652" s="3" t="s">
        <v>1010</v>
      </c>
      <c r="E652" s="3" t="s">
        <v>1011</v>
      </c>
      <c r="F652" s="3" t="s">
        <v>1012</v>
      </c>
      <c r="G652" s="3" t="s">
        <v>274</v>
      </c>
      <c r="H652" s="7" t="s">
        <v>1013</v>
      </c>
      <c r="I652" s="7">
        <v>46.583570000000002</v>
      </c>
      <c r="J652" s="7">
        <v>90.513400000000004</v>
      </c>
      <c r="K652" s="7" t="s">
        <v>138</v>
      </c>
      <c r="L652" s="3" t="s">
        <v>28</v>
      </c>
      <c r="M652" s="7" t="s">
        <v>1014</v>
      </c>
      <c r="N652" s="7" t="s">
        <v>1015</v>
      </c>
      <c r="O652" s="7" t="s">
        <v>44</v>
      </c>
      <c r="P652" s="7" t="s">
        <v>1016</v>
      </c>
      <c r="Q652" s="3" t="s">
        <v>31</v>
      </c>
      <c r="S652" s="3"/>
      <c r="T652" s="3"/>
      <c r="U652" s="3"/>
      <c r="V652" s="3"/>
      <c r="W652" s="3"/>
      <c r="X652" s="3"/>
      <c r="Y652" s="3"/>
      <c r="Z652" s="3"/>
      <c r="AA652" s="3"/>
      <c r="AB652" s="3"/>
    </row>
    <row r="653" spans="1:28" s="7" customFormat="1" x14ac:dyDescent="0.35">
      <c r="A653" s="3">
        <v>42</v>
      </c>
      <c r="B653" s="3" t="s">
        <v>1009</v>
      </c>
      <c r="C653" s="3">
        <v>2020</v>
      </c>
      <c r="D653" s="3" t="s">
        <v>1010</v>
      </c>
      <c r="E653" s="3" t="s">
        <v>1011</v>
      </c>
      <c r="F653" s="3" t="s">
        <v>1012</v>
      </c>
      <c r="G653" s="3" t="s">
        <v>274</v>
      </c>
      <c r="H653" s="7" t="s">
        <v>1019</v>
      </c>
      <c r="I653" s="3">
        <v>47.011200000000002</v>
      </c>
      <c r="J653" s="3">
        <v>90.042400000000001</v>
      </c>
      <c r="K653" s="7" t="s">
        <v>138</v>
      </c>
      <c r="L653" s="3" t="s">
        <v>28</v>
      </c>
      <c r="M653" s="7" t="s">
        <v>1014</v>
      </c>
      <c r="N653" s="7" t="s">
        <v>1015</v>
      </c>
      <c r="O653" s="7" t="s">
        <v>44</v>
      </c>
      <c r="P653" s="7" t="s">
        <v>1016</v>
      </c>
      <c r="Q653" s="3" t="s">
        <v>31</v>
      </c>
      <c r="R653" s="3"/>
      <c r="S653" s="3"/>
      <c r="T653" s="3"/>
      <c r="U653" s="3"/>
      <c r="V653" s="3"/>
      <c r="W653" s="3"/>
      <c r="X653" s="3"/>
      <c r="Y653" s="3"/>
      <c r="Z653" s="3"/>
      <c r="AA653" s="3"/>
      <c r="AB653" s="3"/>
    </row>
    <row r="654" spans="1:28" s="7" customFormat="1" x14ac:dyDescent="0.35">
      <c r="A654" s="3">
        <v>42</v>
      </c>
      <c r="B654" s="3" t="s">
        <v>1009</v>
      </c>
      <c r="C654" s="3">
        <v>2020</v>
      </c>
      <c r="D654" s="3" t="s">
        <v>1010</v>
      </c>
      <c r="E654" s="3" t="s">
        <v>1011</v>
      </c>
      <c r="F654" s="3" t="s">
        <v>1012</v>
      </c>
      <c r="G654" s="3" t="s">
        <v>274</v>
      </c>
      <c r="H654" s="7" t="s">
        <v>1020</v>
      </c>
      <c r="I654" s="3">
        <v>46.594290000000001</v>
      </c>
      <c r="J654" s="3">
        <v>90.280289999999994</v>
      </c>
      <c r="K654" s="7" t="s">
        <v>138</v>
      </c>
      <c r="L654" s="3" t="s">
        <v>28</v>
      </c>
      <c r="M654" s="7" t="s">
        <v>1014</v>
      </c>
      <c r="N654" s="7" t="s">
        <v>1015</v>
      </c>
      <c r="O654" s="7" t="s">
        <v>44</v>
      </c>
      <c r="P654" s="7" t="s">
        <v>1016</v>
      </c>
      <c r="Q654" s="3" t="s">
        <v>31</v>
      </c>
      <c r="R654" s="3"/>
      <c r="S654" s="3"/>
      <c r="T654" s="3"/>
      <c r="U654" s="3"/>
      <c r="V654" s="3"/>
      <c r="W654" s="3"/>
      <c r="X654" s="3"/>
      <c r="Y654" s="3"/>
      <c r="Z654" s="3"/>
      <c r="AA654" s="3"/>
      <c r="AB654" s="3"/>
    </row>
    <row r="655" spans="1:28" s="7" customFormat="1" x14ac:dyDescent="0.35">
      <c r="A655" s="3">
        <v>42</v>
      </c>
      <c r="B655" s="3" t="s">
        <v>1009</v>
      </c>
      <c r="C655" s="3">
        <v>2020</v>
      </c>
      <c r="D655" s="3" t="s">
        <v>1010</v>
      </c>
      <c r="E655" s="3" t="s">
        <v>1011</v>
      </c>
      <c r="F655" s="3" t="s">
        <v>1012</v>
      </c>
      <c r="G655" s="3" t="s">
        <v>274</v>
      </c>
      <c r="H655" s="7" t="s">
        <v>1021</v>
      </c>
      <c r="I655" s="3">
        <v>46.551200000000001</v>
      </c>
      <c r="J655" s="3">
        <v>90.324920000000006</v>
      </c>
      <c r="K655" s="7" t="s">
        <v>138</v>
      </c>
      <c r="L655" s="3" t="s">
        <v>28</v>
      </c>
      <c r="M655" s="7" t="s">
        <v>1014</v>
      </c>
      <c r="N655" s="7" t="s">
        <v>1015</v>
      </c>
      <c r="O655" s="7" t="s">
        <v>44</v>
      </c>
      <c r="P655" s="7" t="s">
        <v>1016</v>
      </c>
      <c r="Q655" s="3" t="s">
        <v>31</v>
      </c>
      <c r="R655" s="3"/>
      <c r="S655" s="3"/>
      <c r="T655" s="3"/>
      <c r="U655" s="3"/>
      <c r="V655" s="3"/>
      <c r="W655" s="3"/>
      <c r="X655" s="3"/>
      <c r="Y655" s="3"/>
      <c r="Z655" s="3"/>
      <c r="AA655" s="3"/>
      <c r="AB655" s="3"/>
    </row>
    <row r="656" spans="1:28" s="7" customFormat="1" x14ac:dyDescent="0.35">
      <c r="A656" s="3">
        <v>42</v>
      </c>
      <c r="B656" s="3" t="s">
        <v>1009</v>
      </c>
      <c r="C656" s="3">
        <v>2020</v>
      </c>
      <c r="D656" s="3" t="s">
        <v>1010</v>
      </c>
      <c r="E656" s="3" t="s">
        <v>1011</v>
      </c>
      <c r="F656" s="3" t="s">
        <v>1012</v>
      </c>
      <c r="G656" s="3" t="s">
        <v>274</v>
      </c>
      <c r="H656" s="7" t="s">
        <v>1022</v>
      </c>
      <c r="I656" s="3">
        <v>46.551189999999998</v>
      </c>
      <c r="J656" s="3">
        <v>90.331770000000006</v>
      </c>
      <c r="K656" s="7" t="s">
        <v>138</v>
      </c>
      <c r="L656" s="3" t="s">
        <v>28</v>
      </c>
      <c r="M656" s="7" t="s">
        <v>1014</v>
      </c>
      <c r="N656" s="7" t="s">
        <v>1015</v>
      </c>
      <c r="O656" s="7" t="s">
        <v>44</v>
      </c>
      <c r="P656" s="7" t="s">
        <v>1016</v>
      </c>
      <c r="Q656" s="3" t="s">
        <v>31</v>
      </c>
      <c r="R656" s="3"/>
      <c r="S656" s="3"/>
      <c r="T656" s="3"/>
      <c r="U656" s="3"/>
      <c r="V656" s="3"/>
      <c r="W656" s="3"/>
      <c r="X656" s="3"/>
      <c r="Y656" s="3"/>
      <c r="Z656" s="3"/>
      <c r="AA656" s="3"/>
      <c r="AB656" s="3"/>
    </row>
    <row r="657" spans="1:28" s="7" customFormat="1" x14ac:dyDescent="0.35">
      <c r="A657" s="3">
        <v>42</v>
      </c>
      <c r="B657" s="3" t="s">
        <v>1009</v>
      </c>
      <c r="C657" s="3">
        <v>2020</v>
      </c>
      <c r="D657" s="3" t="s">
        <v>1010</v>
      </c>
      <c r="E657" s="3" t="s">
        <v>1011</v>
      </c>
      <c r="F657" s="3" t="s">
        <v>1012</v>
      </c>
      <c r="G657" s="3" t="s">
        <v>274</v>
      </c>
      <c r="H657" s="7" t="s">
        <v>1023</v>
      </c>
      <c r="I657" s="3">
        <v>46.421559999999999</v>
      </c>
      <c r="J657" s="3">
        <v>90.454409999999996</v>
      </c>
      <c r="K657" s="7" t="s">
        <v>138</v>
      </c>
      <c r="L657" s="3" t="s">
        <v>28</v>
      </c>
      <c r="M657" s="7" t="s">
        <v>1014</v>
      </c>
      <c r="N657" s="7" t="s">
        <v>1015</v>
      </c>
      <c r="O657" s="7" t="s">
        <v>44</v>
      </c>
      <c r="P657" s="7" t="s">
        <v>1016</v>
      </c>
      <c r="Q657" s="3" t="s">
        <v>31</v>
      </c>
      <c r="R657" s="3"/>
      <c r="S657" s="3"/>
      <c r="T657" s="3"/>
      <c r="U657" s="3"/>
      <c r="V657" s="3"/>
      <c r="W657" s="3"/>
      <c r="X657" s="3"/>
      <c r="Y657" s="3"/>
      <c r="Z657" s="3"/>
      <c r="AA657" s="3"/>
      <c r="AB657" s="3"/>
    </row>
    <row r="658" spans="1:28" s="7" customFormat="1" ht="15.75" customHeight="1" x14ac:dyDescent="0.35">
      <c r="A658" s="3">
        <v>42</v>
      </c>
      <c r="B658" s="3" t="s">
        <v>1009</v>
      </c>
      <c r="C658" s="3">
        <v>2020</v>
      </c>
      <c r="D658" s="3" t="s">
        <v>1010</v>
      </c>
      <c r="E658" s="3" t="s">
        <v>1011</v>
      </c>
      <c r="F658" s="3" t="s">
        <v>1012</v>
      </c>
      <c r="G658" s="3" t="s">
        <v>274</v>
      </c>
      <c r="H658" s="7" t="s">
        <v>1024</v>
      </c>
      <c r="I658" s="3">
        <v>46.53022</v>
      </c>
      <c r="J658" s="3">
        <v>91.025369999999995</v>
      </c>
      <c r="K658" s="7" t="s">
        <v>138</v>
      </c>
      <c r="L658" s="3" t="s">
        <v>28</v>
      </c>
      <c r="M658" s="7" t="s">
        <v>1014</v>
      </c>
      <c r="N658" s="7" t="s">
        <v>1015</v>
      </c>
      <c r="O658" s="7" t="s">
        <v>44</v>
      </c>
      <c r="P658" s="7" t="s">
        <v>1016</v>
      </c>
      <c r="Q658" s="3" t="s">
        <v>31</v>
      </c>
      <c r="R658" s="3"/>
      <c r="S658" s="3"/>
      <c r="T658" s="3"/>
      <c r="U658" s="3"/>
      <c r="V658" s="3"/>
      <c r="W658" s="3"/>
      <c r="X658" s="3"/>
      <c r="Y658" s="3"/>
      <c r="Z658" s="3"/>
      <c r="AA658" s="3"/>
      <c r="AB658" s="3"/>
    </row>
    <row r="659" spans="1:28" s="7" customFormat="1" x14ac:dyDescent="0.35">
      <c r="A659" s="3">
        <v>42</v>
      </c>
      <c r="B659" s="3" t="s">
        <v>1009</v>
      </c>
      <c r="C659" s="3">
        <v>2020</v>
      </c>
      <c r="D659" s="3" t="s">
        <v>1010</v>
      </c>
      <c r="E659" s="3" t="s">
        <v>1011</v>
      </c>
      <c r="F659" s="3" t="s">
        <v>1012</v>
      </c>
      <c r="G659" s="3" t="s">
        <v>274</v>
      </c>
      <c r="H659" s="7" t="s">
        <v>1025</v>
      </c>
      <c r="I659" s="3">
        <v>46.443179999999998</v>
      </c>
      <c r="J659" s="3">
        <v>91.362099999999998</v>
      </c>
      <c r="K659" s="7" t="s">
        <v>138</v>
      </c>
      <c r="L659" s="3" t="s">
        <v>28</v>
      </c>
      <c r="M659" s="7" t="s">
        <v>1014</v>
      </c>
      <c r="N659" s="7" t="s">
        <v>1015</v>
      </c>
      <c r="O659" s="7" t="s">
        <v>44</v>
      </c>
      <c r="P659" s="7" t="s">
        <v>1016</v>
      </c>
      <c r="Q659" s="3" t="s">
        <v>31</v>
      </c>
      <c r="R659" s="3"/>
      <c r="S659" s="3"/>
      <c r="T659" s="3"/>
      <c r="U659" s="3"/>
      <c r="V659" s="3"/>
      <c r="W659" s="3"/>
      <c r="X659" s="3"/>
      <c r="Y659" s="3"/>
      <c r="Z659" s="3"/>
      <c r="AA659" s="3"/>
      <c r="AB659" s="3"/>
    </row>
    <row r="660" spans="1:28" s="7" customFormat="1" x14ac:dyDescent="0.35">
      <c r="A660" s="3">
        <v>42</v>
      </c>
      <c r="B660" s="3" t="s">
        <v>1009</v>
      </c>
      <c r="C660" s="3">
        <v>2020</v>
      </c>
      <c r="D660" s="3" t="s">
        <v>1010</v>
      </c>
      <c r="E660" s="3" t="s">
        <v>1011</v>
      </c>
      <c r="F660" s="3" t="s">
        <v>1012</v>
      </c>
      <c r="G660" s="3" t="s">
        <v>274</v>
      </c>
      <c r="H660" s="7" t="s">
        <v>1026</v>
      </c>
      <c r="I660" s="3">
        <v>46.42342</v>
      </c>
      <c r="J660" s="3">
        <v>90.46011</v>
      </c>
      <c r="K660" s="7" t="s">
        <v>138</v>
      </c>
      <c r="L660" s="3" t="s">
        <v>28</v>
      </c>
      <c r="M660" s="7" t="s">
        <v>1014</v>
      </c>
      <c r="N660" s="7" t="s">
        <v>1015</v>
      </c>
      <c r="O660" s="7" t="s">
        <v>44</v>
      </c>
      <c r="P660" s="7" t="s">
        <v>1016</v>
      </c>
      <c r="Q660" s="3" t="s">
        <v>31</v>
      </c>
      <c r="R660" s="3"/>
      <c r="S660" s="3"/>
      <c r="T660" s="3"/>
      <c r="U660" s="3"/>
      <c r="V660" s="3"/>
      <c r="W660" s="3"/>
      <c r="X660" s="3"/>
      <c r="Y660" s="3"/>
      <c r="Z660" s="3"/>
      <c r="AA660" s="3"/>
      <c r="AB660" s="3"/>
    </row>
    <row r="661" spans="1:28" s="7" customFormat="1" x14ac:dyDescent="0.35">
      <c r="A661" s="3">
        <v>42</v>
      </c>
      <c r="B661" s="3" t="s">
        <v>1009</v>
      </c>
      <c r="C661" s="3">
        <v>2020</v>
      </c>
      <c r="D661" s="3" t="s">
        <v>1010</v>
      </c>
      <c r="E661" s="3" t="s">
        <v>1011</v>
      </c>
      <c r="F661" s="3" t="s">
        <v>1012</v>
      </c>
      <c r="G661" s="3" t="s">
        <v>274</v>
      </c>
      <c r="H661" s="7" t="s">
        <v>1027</v>
      </c>
      <c r="I661" s="3">
        <v>46.56467</v>
      </c>
      <c r="J661" s="3">
        <v>91.465170000000001</v>
      </c>
      <c r="K661" s="7" t="s">
        <v>138</v>
      </c>
      <c r="L661" s="3" t="s">
        <v>28</v>
      </c>
      <c r="M661" s="7" t="s">
        <v>1014</v>
      </c>
      <c r="N661" s="7" t="s">
        <v>1015</v>
      </c>
      <c r="O661" s="7" t="s">
        <v>44</v>
      </c>
      <c r="P661" s="7" t="s">
        <v>1016</v>
      </c>
      <c r="Q661" s="3" t="s">
        <v>31</v>
      </c>
      <c r="R661" s="3"/>
      <c r="S661" s="3"/>
      <c r="T661" s="3"/>
      <c r="U661" s="3"/>
      <c r="V661" s="3"/>
      <c r="W661" s="3"/>
      <c r="X661" s="3"/>
      <c r="Y661" s="3"/>
      <c r="Z661" s="3"/>
      <c r="AA661" s="3"/>
      <c r="AB661" s="3"/>
    </row>
    <row r="662" spans="1:28" s="7" customFormat="1" x14ac:dyDescent="0.35">
      <c r="A662" s="3">
        <v>42</v>
      </c>
      <c r="B662" s="3" t="s">
        <v>1009</v>
      </c>
      <c r="C662" s="3">
        <v>2020</v>
      </c>
      <c r="D662" s="3" t="s">
        <v>1010</v>
      </c>
      <c r="E662" s="3" t="s">
        <v>1011</v>
      </c>
      <c r="F662" s="3" t="s">
        <v>1012</v>
      </c>
      <c r="G662" s="3" t="s">
        <v>274</v>
      </c>
      <c r="H662" s="7" t="s">
        <v>1028</v>
      </c>
      <c r="I662" s="3">
        <v>46.434849999999997</v>
      </c>
      <c r="J662" s="3">
        <v>92.025620000000004</v>
      </c>
      <c r="K662" s="7" t="s">
        <v>138</v>
      </c>
      <c r="L662" s="3" t="s">
        <v>28</v>
      </c>
      <c r="M662" s="7" t="s">
        <v>1014</v>
      </c>
      <c r="N662" s="7" t="s">
        <v>1015</v>
      </c>
      <c r="O662" s="7" t="s">
        <v>44</v>
      </c>
      <c r="P662" s="7" t="s">
        <v>1016</v>
      </c>
      <c r="Q662" s="3" t="s">
        <v>31</v>
      </c>
      <c r="R662" s="3"/>
      <c r="S662" s="3"/>
      <c r="T662" s="3"/>
      <c r="U662" s="3"/>
      <c r="V662" s="3"/>
      <c r="W662" s="3"/>
      <c r="X662" s="3"/>
      <c r="Y662" s="3"/>
      <c r="Z662" s="3"/>
      <c r="AA662" s="3"/>
      <c r="AB662" s="3"/>
    </row>
    <row r="663" spans="1:28" s="7" customFormat="1" x14ac:dyDescent="0.35">
      <c r="A663" s="3">
        <v>42</v>
      </c>
      <c r="B663" s="3" t="s">
        <v>1009</v>
      </c>
      <c r="C663" s="3">
        <v>2020</v>
      </c>
      <c r="D663" s="3" t="s">
        <v>1010</v>
      </c>
      <c r="E663" s="3" t="s">
        <v>1011</v>
      </c>
      <c r="F663" s="3" t="s">
        <v>1012</v>
      </c>
      <c r="G663" s="3" t="s">
        <v>274</v>
      </c>
      <c r="H663" s="7" t="s">
        <v>1029</v>
      </c>
      <c r="I663" s="3">
        <v>46.53031</v>
      </c>
      <c r="J663" s="3" t="s">
        <v>1030</v>
      </c>
      <c r="K663" s="7" t="s">
        <v>138</v>
      </c>
      <c r="L663" s="3" t="s">
        <v>28</v>
      </c>
      <c r="M663" s="7" t="s">
        <v>1014</v>
      </c>
      <c r="N663" s="7" t="s">
        <v>1015</v>
      </c>
      <c r="O663" s="7" t="s">
        <v>44</v>
      </c>
      <c r="P663" s="7" t="s">
        <v>1016</v>
      </c>
      <c r="Q663" s="3" t="s">
        <v>31</v>
      </c>
      <c r="R663" s="3"/>
      <c r="S663" s="3"/>
      <c r="T663" s="3"/>
      <c r="U663" s="3"/>
      <c r="V663" s="3"/>
      <c r="W663" s="3"/>
      <c r="X663" s="3"/>
      <c r="Y663" s="3"/>
      <c r="Z663" s="3"/>
      <c r="AA663" s="3"/>
      <c r="AB663" s="3"/>
    </row>
    <row r="664" spans="1:28" s="7" customFormat="1" x14ac:dyDescent="0.35">
      <c r="A664" s="3">
        <v>42</v>
      </c>
      <c r="B664" s="3" t="s">
        <v>1009</v>
      </c>
      <c r="C664" s="3">
        <v>2020</v>
      </c>
      <c r="D664" s="3" t="s">
        <v>1010</v>
      </c>
      <c r="E664" s="3" t="s">
        <v>1011</v>
      </c>
      <c r="F664" s="3" t="s">
        <v>1012</v>
      </c>
      <c r="G664" s="3" t="s">
        <v>274</v>
      </c>
      <c r="H664" s="3" t="s">
        <v>1031</v>
      </c>
      <c r="I664" s="3">
        <v>46.886580052657401</v>
      </c>
      <c r="J664" s="3">
        <v>-91.055767071164595</v>
      </c>
      <c r="K664" s="3" t="s">
        <v>41</v>
      </c>
      <c r="L664" s="3" t="s">
        <v>28</v>
      </c>
      <c r="M664" s="3" t="s">
        <v>1032</v>
      </c>
      <c r="N664" s="3" t="s">
        <v>1033</v>
      </c>
      <c r="O664" s="3" t="s">
        <v>31</v>
      </c>
      <c r="P664" s="3" t="str">
        <f>N664</f>
        <v>&lt;250</v>
      </c>
      <c r="Q664" s="3" t="s">
        <v>31</v>
      </c>
      <c r="R664" s="3" t="s">
        <v>1035</v>
      </c>
      <c r="S664" s="3"/>
      <c r="T664" s="3"/>
      <c r="U664" s="3"/>
      <c r="V664" s="3"/>
      <c r="W664" s="3"/>
      <c r="X664" s="3"/>
      <c r="Y664" s="3"/>
      <c r="Z664" s="3"/>
      <c r="AA664" s="3"/>
      <c r="AB664" s="3"/>
    </row>
    <row r="665" spans="1:28" s="7" customFormat="1" x14ac:dyDescent="0.35">
      <c r="A665" s="3">
        <v>42</v>
      </c>
      <c r="B665" s="3" t="s">
        <v>1009</v>
      </c>
      <c r="C665" s="3">
        <v>2020</v>
      </c>
      <c r="D665" s="3" t="s">
        <v>1010</v>
      </c>
      <c r="E665" s="3" t="s">
        <v>1011</v>
      </c>
      <c r="F665" s="3" t="s">
        <v>1012</v>
      </c>
      <c r="G665" s="3" t="s">
        <v>274</v>
      </c>
      <c r="H665" s="3" t="s">
        <v>1036</v>
      </c>
      <c r="I665" s="3">
        <v>46.746537511930299</v>
      </c>
      <c r="J665" s="3">
        <v>-90.798978545361095</v>
      </c>
      <c r="K665" s="3" t="s">
        <v>41</v>
      </c>
      <c r="L665" s="3" t="s">
        <v>28</v>
      </c>
      <c r="M665" s="3" t="s">
        <v>1032</v>
      </c>
      <c r="N665" s="3" t="s">
        <v>1033</v>
      </c>
      <c r="O665" s="3" t="s">
        <v>31</v>
      </c>
      <c r="P665" s="3" t="str">
        <f>N665</f>
        <v>&lt;250</v>
      </c>
      <c r="Q665" s="3" t="s">
        <v>31</v>
      </c>
      <c r="R665" s="3" t="s">
        <v>1037</v>
      </c>
      <c r="S665" s="3"/>
      <c r="T665" s="3"/>
      <c r="U665" s="3"/>
      <c r="V665" s="3"/>
      <c r="W665" s="3"/>
      <c r="X665" s="3"/>
      <c r="Y665" s="3"/>
      <c r="Z665" s="3"/>
      <c r="AA665" s="3"/>
      <c r="AB665" s="3"/>
    </row>
    <row r="666" spans="1:28" s="7" customFormat="1" x14ac:dyDescent="0.35">
      <c r="A666" s="3">
        <v>42</v>
      </c>
      <c r="B666" s="3" t="s">
        <v>1009</v>
      </c>
      <c r="C666" s="3">
        <v>2020</v>
      </c>
      <c r="D666" s="3" t="s">
        <v>1010</v>
      </c>
      <c r="E666" s="3" t="s">
        <v>1011</v>
      </c>
      <c r="F666" s="3" t="s">
        <v>1012</v>
      </c>
      <c r="G666" s="3" t="s">
        <v>274</v>
      </c>
      <c r="H666" s="3" t="s">
        <v>1038</v>
      </c>
      <c r="I666" s="3">
        <v>46.960915407244599</v>
      </c>
      <c r="J666" s="3">
        <v>-90.621572574186303</v>
      </c>
      <c r="K666" s="3" t="s">
        <v>41</v>
      </c>
      <c r="L666" s="3" t="s">
        <v>28</v>
      </c>
      <c r="M666" s="3" t="s">
        <v>1032</v>
      </c>
      <c r="N666" s="3" t="s">
        <v>1033</v>
      </c>
      <c r="O666" s="3" t="s">
        <v>31</v>
      </c>
      <c r="P666" s="3" t="str">
        <f>N666</f>
        <v>&lt;250</v>
      </c>
      <c r="Q666" s="3" t="s">
        <v>31</v>
      </c>
      <c r="R666" s="3"/>
      <c r="S666" s="3"/>
      <c r="T666" s="3"/>
      <c r="U666" s="3"/>
      <c r="V666" s="3"/>
      <c r="W666" s="3"/>
      <c r="X666" s="3"/>
      <c r="Y666" s="3"/>
      <c r="Z666" s="3"/>
      <c r="AA666" s="3"/>
      <c r="AB666" s="3"/>
    </row>
    <row r="667" spans="1:28" s="7" customFormat="1" x14ac:dyDescent="0.35">
      <c r="A667" s="7">
        <v>45</v>
      </c>
      <c r="B667" s="7" t="s">
        <v>1040</v>
      </c>
      <c r="C667" s="7">
        <v>2023</v>
      </c>
      <c r="D667" s="7" t="s">
        <v>1041</v>
      </c>
      <c r="E667" s="7" t="s">
        <v>1042</v>
      </c>
      <c r="F667" s="7" t="s">
        <v>1043</v>
      </c>
      <c r="G667" s="7" t="s">
        <v>86</v>
      </c>
      <c r="H667" s="7" t="s">
        <v>1044</v>
      </c>
      <c r="I667" s="7">
        <v>45.535539</v>
      </c>
      <c r="J667" s="7">
        <v>-73.878570999999994</v>
      </c>
      <c r="K667" s="7" t="s">
        <v>41</v>
      </c>
      <c r="L667" s="7" t="s">
        <v>223</v>
      </c>
      <c r="M667" s="7" t="s">
        <v>1045</v>
      </c>
      <c r="N667" s="7" t="s">
        <v>474</v>
      </c>
      <c r="O667" s="7" t="s">
        <v>31</v>
      </c>
      <c r="P667" s="7" t="s">
        <v>474</v>
      </c>
      <c r="Q667" s="7" t="s">
        <v>31</v>
      </c>
    </row>
    <row r="668" spans="1:28" s="7" customFormat="1" x14ac:dyDescent="0.35">
      <c r="A668" s="7">
        <v>45</v>
      </c>
      <c r="B668" s="7" t="s">
        <v>1040</v>
      </c>
      <c r="C668" s="7">
        <v>2023</v>
      </c>
      <c r="D668" s="7" t="s">
        <v>1041</v>
      </c>
      <c r="E668" s="7" t="s">
        <v>1042</v>
      </c>
      <c r="F668" s="7" t="s">
        <v>1043</v>
      </c>
      <c r="G668" s="7" t="s">
        <v>86</v>
      </c>
      <c r="H668" s="7" t="s">
        <v>1047</v>
      </c>
      <c r="I668" s="7">
        <v>45.462367</v>
      </c>
      <c r="J668" s="7">
        <v>-74.043336999999994</v>
      </c>
      <c r="K668" s="7" t="s">
        <v>41</v>
      </c>
      <c r="L668" s="7" t="s">
        <v>223</v>
      </c>
      <c r="M668" s="7" t="s">
        <v>1045</v>
      </c>
      <c r="N668" s="7" t="s">
        <v>474</v>
      </c>
      <c r="O668" s="7" t="s">
        <v>31</v>
      </c>
      <c r="P668" s="7" t="s">
        <v>474</v>
      </c>
      <c r="Q668" s="7" t="s">
        <v>31</v>
      </c>
    </row>
    <row r="669" spans="1:28" s="7" customFormat="1" x14ac:dyDescent="0.35">
      <c r="A669" s="7">
        <v>45</v>
      </c>
      <c r="B669" s="7" t="s">
        <v>1040</v>
      </c>
      <c r="C669" s="7">
        <v>2023</v>
      </c>
      <c r="D669" s="7" t="s">
        <v>1041</v>
      </c>
      <c r="E669" s="7" t="s">
        <v>1042</v>
      </c>
      <c r="F669" s="7" t="s">
        <v>1043</v>
      </c>
      <c r="G669" s="7" t="s">
        <v>86</v>
      </c>
      <c r="H669" s="7" t="s">
        <v>1049</v>
      </c>
      <c r="I669" s="7">
        <v>45.562930000000001</v>
      </c>
      <c r="J669" s="7">
        <v>-74.427169000000006</v>
      </c>
      <c r="K669" s="7" t="s">
        <v>41</v>
      </c>
      <c r="L669" s="7" t="s">
        <v>223</v>
      </c>
      <c r="M669" s="7" t="s">
        <v>1045</v>
      </c>
      <c r="N669" s="7" t="s">
        <v>474</v>
      </c>
      <c r="O669" s="7" t="s">
        <v>31</v>
      </c>
      <c r="P669" s="7" t="s">
        <v>474</v>
      </c>
      <c r="Q669" s="7" t="s">
        <v>31</v>
      </c>
    </row>
    <row r="670" spans="1:28" s="7" customFormat="1" x14ac:dyDescent="0.35">
      <c r="A670" s="7">
        <v>45</v>
      </c>
      <c r="B670" s="7" t="s">
        <v>1040</v>
      </c>
      <c r="C670" s="7">
        <v>2023</v>
      </c>
      <c r="D670" s="7" t="s">
        <v>1041</v>
      </c>
      <c r="E670" s="7" t="s">
        <v>1042</v>
      </c>
      <c r="F670" s="7" t="s">
        <v>1043</v>
      </c>
      <c r="G670" s="7" t="s">
        <v>86</v>
      </c>
      <c r="H670" s="7" t="s">
        <v>1051</v>
      </c>
      <c r="I670" s="7">
        <v>45.616245999999997</v>
      </c>
      <c r="J670" s="7">
        <v>-74.599430999999996</v>
      </c>
      <c r="K670" s="7" t="s">
        <v>41</v>
      </c>
      <c r="L670" s="7" t="s">
        <v>223</v>
      </c>
      <c r="M670" s="7" t="s">
        <v>1045</v>
      </c>
      <c r="N670" s="7" t="s">
        <v>474</v>
      </c>
      <c r="O670" s="7" t="s">
        <v>31</v>
      </c>
      <c r="P670" s="7" t="s">
        <v>474</v>
      </c>
      <c r="Q670" s="7" t="s">
        <v>31</v>
      </c>
    </row>
    <row r="671" spans="1:28" s="7" customFormat="1" x14ac:dyDescent="0.35">
      <c r="A671" s="7">
        <v>45</v>
      </c>
      <c r="B671" s="7" t="s">
        <v>1040</v>
      </c>
      <c r="C671" s="7">
        <v>2023</v>
      </c>
      <c r="D671" s="7" t="s">
        <v>1041</v>
      </c>
      <c r="E671" s="7" t="s">
        <v>1042</v>
      </c>
      <c r="F671" s="7" t="s">
        <v>1043</v>
      </c>
      <c r="G671" s="7" t="s">
        <v>86</v>
      </c>
      <c r="H671" s="7" t="s">
        <v>1053</v>
      </c>
      <c r="I671" s="7">
        <v>45.627056000000003</v>
      </c>
      <c r="J671" s="7">
        <v>-74.685790999999995</v>
      </c>
      <c r="K671" s="7" t="s">
        <v>41</v>
      </c>
      <c r="L671" s="7" t="s">
        <v>223</v>
      </c>
      <c r="M671" s="7" t="s">
        <v>1045</v>
      </c>
      <c r="N671" s="7" t="s">
        <v>474</v>
      </c>
      <c r="O671" s="7" t="s">
        <v>31</v>
      </c>
      <c r="P671" s="7" t="s">
        <v>474</v>
      </c>
      <c r="Q671" s="7" t="s">
        <v>31</v>
      </c>
    </row>
    <row r="672" spans="1:28" s="7" customFormat="1" x14ac:dyDescent="0.35">
      <c r="A672" s="7">
        <v>45</v>
      </c>
      <c r="B672" s="7" t="s">
        <v>1040</v>
      </c>
      <c r="C672" s="7">
        <v>2023</v>
      </c>
      <c r="D672" s="7" t="s">
        <v>1041</v>
      </c>
      <c r="E672" s="7" t="s">
        <v>1042</v>
      </c>
      <c r="F672" s="7" t="s">
        <v>1043</v>
      </c>
      <c r="G672" s="7" t="s">
        <v>86</v>
      </c>
      <c r="H672" s="7" t="s">
        <v>1055</v>
      </c>
      <c r="I672" s="7">
        <v>45.647691999999999</v>
      </c>
      <c r="J672" s="7">
        <v>-74.933706000000001</v>
      </c>
      <c r="K672" s="7" t="s">
        <v>41</v>
      </c>
      <c r="L672" s="7" t="s">
        <v>223</v>
      </c>
      <c r="M672" s="7" t="s">
        <v>1045</v>
      </c>
      <c r="N672" s="7" t="s">
        <v>474</v>
      </c>
      <c r="O672" s="7" t="s">
        <v>31</v>
      </c>
      <c r="P672" s="7" t="s">
        <v>474</v>
      </c>
      <c r="Q672" s="7" t="s">
        <v>31</v>
      </c>
    </row>
    <row r="673" spans="1:17" s="7" customFormat="1" x14ac:dyDescent="0.35">
      <c r="A673" s="7">
        <v>45</v>
      </c>
      <c r="B673" s="7" t="s">
        <v>1040</v>
      </c>
      <c r="C673" s="7">
        <v>2023</v>
      </c>
      <c r="D673" s="7" t="s">
        <v>1041</v>
      </c>
      <c r="E673" s="7" t="s">
        <v>1042</v>
      </c>
      <c r="F673" s="7" t="s">
        <v>1043</v>
      </c>
      <c r="G673" s="7" t="s">
        <v>86</v>
      </c>
      <c r="H673" s="7" t="s">
        <v>1057</v>
      </c>
      <c r="I673" s="7">
        <v>45.579780999999997</v>
      </c>
      <c r="J673" s="7">
        <v>-75.247135</v>
      </c>
      <c r="K673" s="7" t="s">
        <v>41</v>
      </c>
      <c r="L673" s="7" t="s">
        <v>223</v>
      </c>
      <c r="M673" s="7" t="s">
        <v>1045</v>
      </c>
      <c r="N673" s="7" t="s">
        <v>474</v>
      </c>
      <c r="O673" s="7" t="s">
        <v>31</v>
      </c>
      <c r="P673" s="7" t="s">
        <v>474</v>
      </c>
      <c r="Q673" s="7" t="s">
        <v>31</v>
      </c>
    </row>
    <row r="674" spans="1:17" s="7" customFormat="1" x14ac:dyDescent="0.35">
      <c r="A674" s="7">
        <v>45</v>
      </c>
      <c r="B674" s="7" t="s">
        <v>1040</v>
      </c>
      <c r="C674" s="7">
        <v>2023</v>
      </c>
      <c r="D674" s="7" t="s">
        <v>1041</v>
      </c>
      <c r="E674" s="7" t="s">
        <v>1042</v>
      </c>
      <c r="F674" s="7" t="s">
        <v>1043</v>
      </c>
      <c r="G674" s="7" t="s">
        <v>86</v>
      </c>
      <c r="H674" s="7" t="s">
        <v>1059</v>
      </c>
      <c r="I674" s="7">
        <v>45.501930999999999</v>
      </c>
      <c r="J674" s="7">
        <v>-75.486241000000007</v>
      </c>
      <c r="K674" s="7" t="s">
        <v>41</v>
      </c>
      <c r="L674" s="7" t="s">
        <v>223</v>
      </c>
      <c r="M674" s="7" t="s">
        <v>1045</v>
      </c>
      <c r="N674" s="7" t="s">
        <v>474</v>
      </c>
      <c r="O674" s="7" t="s">
        <v>31</v>
      </c>
      <c r="P674" s="7" t="s">
        <v>474</v>
      </c>
      <c r="Q674" s="7" t="s">
        <v>31</v>
      </c>
    </row>
    <row r="675" spans="1:17" s="7" customFormat="1" x14ac:dyDescent="0.35">
      <c r="A675" s="7">
        <v>45</v>
      </c>
      <c r="B675" s="7" t="s">
        <v>1040</v>
      </c>
      <c r="C675" s="7">
        <v>2023</v>
      </c>
      <c r="D675" s="7" t="s">
        <v>1041</v>
      </c>
      <c r="E675" s="7" t="s">
        <v>1042</v>
      </c>
      <c r="F675" s="7" t="s">
        <v>1043</v>
      </c>
      <c r="G675" s="7" t="s">
        <v>86</v>
      </c>
      <c r="H675" s="7" t="s">
        <v>1061</v>
      </c>
      <c r="I675" s="7">
        <v>45.463479</v>
      </c>
      <c r="J675" s="7">
        <v>-75.625584000000003</v>
      </c>
      <c r="K675" s="7" t="s">
        <v>41</v>
      </c>
      <c r="L675" s="7" t="s">
        <v>223</v>
      </c>
      <c r="M675" s="7" t="s">
        <v>1045</v>
      </c>
      <c r="N675" s="7" t="s">
        <v>474</v>
      </c>
      <c r="O675" s="7" t="s">
        <v>31</v>
      </c>
      <c r="P675" s="7" t="s">
        <v>474</v>
      </c>
      <c r="Q675" s="7" t="s">
        <v>31</v>
      </c>
    </row>
    <row r="676" spans="1:17" s="7" customFormat="1" x14ac:dyDescent="0.35">
      <c r="A676" s="7">
        <v>45</v>
      </c>
      <c r="B676" s="7" t="s">
        <v>1040</v>
      </c>
      <c r="C676" s="7">
        <v>2023</v>
      </c>
      <c r="D676" s="7" t="s">
        <v>1041</v>
      </c>
      <c r="E676" s="7" t="s">
        <v>1042</v>
      </c>
      <c r="F676" s="7" t="s">
        <v>1043</v>
      </c>
      <c r="G676" s="7" t="s">
        <v>86</v>
      </c>
      <c r="H676" s="7" t="s">
        <v>1063</v>
      </c>
      <c r="I676" s="7">
        <v>45.410069999999997</v>
      </c>
      <c r="J676" s="7">
        <v>-75.756495000000001</v>
      </c>
      <c r="K676" s="7" t="s">
        <v>41</v>
      </c>
      <c r="L676" s="7" t="s">
        <v>223</v>
      </c>
      <c r="M676" s="7" t="s">
        <v>1045</v>
      </c>
      <c r="N676" s="7" t="s">
        <v>474</v>
      </c>
      <c r="O676" s="7" t="s">
        <v>31</v>
      </c>
      <c r="P676" s="7" t="s">
        <v>474</v>
      </c>
      <c r="Q676" s="7" t="s">
        <v>31</v>
      </c>
    </row>
    <row r="677" spans="1:17" s="7" customFormat="1" x14ac:dyDescent="0.35">
      <c r="A677" s="7">
        <v>45</v>
      </c>
      <c r="B677" s="7" t="s">
        <v>1040</v>
      </c>
      <c r="C677" s="7">
        <v>2023</v>
      </c>
      <c r="D677" s="7" t="s">
        <v>1041</v>
      </c>
      <c r="E677" s="7" t="s">
        <v>1042</v>
      </c>
      <c r="F677" s="7" t="s">
        <v>1043</v>
      </c>
      <c r="G677" s="7" t="s">
        <v>86</v>
      </c>
      <c r="H677" s="7" t="s">
        <v>1065</v>
      </c>
      <c r="I677" s="7">
        <v>45.413578000000001</v>
      </c>
      <c r="J677" s="7">
        <v>-75.728153000000006</v>
      </c>
      <c r="K677" s="7" t="s">
        <v>41</v>
      </c>
      <c r="L677" s="7" t="s">
        <v>223</v>
      </c>
      <c r="M677" s="7" t="s">
        <v>1045</v>
      </c>
      <c r="N677" s="7" t="s">
        <v>474</v>
      </c>
      <c r="O677" s="7" t="s">
        <v>31</v>
      </c>
      <c r="P677" s="7" t="s">
        <v>474</v>
      </c>
      <c r="Q677" s="7" t="s">
        <v>31</v>
      </c>
    </row>
    <row r="678" spans="1:17" s="7" customFormat="1" x14ac:dyDescent="0.35">
      <c r="A678" s="7">
        <v>45</v>
      </c>
      <c r="B678" s="7" t="s">
        <v>1040</v>
      </c>
      <c r="C678" s="7">
        <v>2023</v>
      </c>
      <c r="D678" s="7" t="s">
        <v>1041</v>
      </c>
      <c r="E678" s="7" t="s">
        <v>1042</v>
      </c>
      <c r="F678" s="7" t="s">
        <v>1043</v>
      </c>
      <c r="G678" s="7" t="s">
        <v>86</v>
      </c>
      <c r="H678" s="7" t="s">
        <v>1067</v>
      </c>
      <c r="I678" s="7">
        <v>45.415747000000003</v>
      </c>
      <c r="J678" s="7">
        <v>-75.711150000000004</v>
      </c>
      <c r="K678" s="7" t="s">
        <v>41</v>
      </c>
      <c r="L678" s="7" t="s">
        <v>223</v>
      </c>
      <c r="M678" s="7" t="s">
        <v>1045</v>
      </c>
      <c r="N678" s="7" t="s">
        <v>474</v>
      </c>
      <c r="O678" s="7" t="s">
        <v>31</v>
      </c>
      <c r="P678" s="7" t="s">
        <v>474</v>
      </c>
      <c r="Q678" s="7" t="s">
        <v>31</v>
      </c>
    </row>
    <row r="679" spans="1:17" s="7" customFormat="1" x14ac:dyDescent="0.35">
      <c r="A679" s="7">
        <v>45</v>
      </c>
      <c r="B679" s="7" t="s">
        <v>1040</v>
      </c>
      <c r="C679" s="7">
        <v>2023</v>
      </c>
      <c r="D679" s="7" t="s">
        <v>1041</v>
      </c>
      <c r="E679" s="7" t="s">
        <v>1042</v>
      </c>
      <c r="F679" s="7" t="s">
        <v>1043</v>
      </c>
      <c r="G679" s="7" t="s">
        <v>86</v>
      </c>
      <c r="H679" s="7" t="s">
        <v>1069</v>
      </c>
      <c r="I679" s="7">
        <v>45.380485</v>
      </c>
      <c r="J679" s="7">
        <v>-75.800280999999998</v>
      </c>
      <c r="K679" s="7" t="s">
        <v>41</v>
      </c>
      <c r="L679" s="7" t="s">
        <v>223</v>
      </c>
      <c r="M679" s="7" t="s">
        <v>1045</v>
      </c>
      <c r="N679" s="7" t="s">
        <v>474</v>
      </c>
      <c r="O679" s="7" t="s">
        <v>31</v>
      </c>
      <c r="P679" s="7" t="s">
        <v>474</v>
      </c>
      <c r="Q679" s="7" t="s">
        <v>31</v>
      </c>
    </row>
    <row r="680" spans="1:17" s="7" customFormat="1" x14ac:dyDescent="0.35">
      <c r="A680" s="7">
        <v>45</v>
      </c>
      <c r="B680" s="7" t="s">
        <v>1040</v>
      </c>
      <c r="C680" s="7">
        <v>2023</v>
      </c>
      <c r="D680" s="7" t="s">
        <v>1041</v>
      </c>
      <c r="E680" s="7" t="s">
        <v>1042</v>
      </c>
      <c r="F680" s="7" t="s">
        <v>1043</v>
      </c>
      <c r="G680" s="7" t="s">
        <v>86</v>
      </c>
      <c r="H680" s="7" t="s">
        <v>1071</v>
      </c>
      <c r="I680" s="7">
        <v>45.374682</v>
      </c>
      <c r="J680" s="7">
        <v>-75.796942999999999</v>
      </c>
      <c r="K680" s="7" t="s">
        <v>41</v>
      </c>
      <c r="L680" s="7" t="s">
        <v>223</v>
      </c>
      <c r="M680" s="7" t="s">
        <v>1045</v>
      </c>
      <c r="N680" s="7" t="s">
        <v>474</v>
      </c>
      <c r="O680" s="7" t="s">
        <v>31</v>
      </c>
      <c r="P680" s="7" t="s">
        <v>474</v>
      </c>
      <c r="Q680" s="7" t="s">
        <v>31</v>
      </c>
    </row>
    <row r="681" spans="1:17" s="7" customFormat="1" x14ac:dyDescent="0.35">
      <c r="A681" s="7">
        <v>45</v>
      </c>
      <c r="B681" s="7" t="s">
        <v>1040</v>
      </c>
      <c r="C681" s="7">
        <v>2023</v>
      </c>
      <c r="D681" s="7" t="s">
        <v>1041</v>
      </c>
      <c r="E681" s="7" t="s">
        <v>1042</v>
      </c>
      <c r="F681" s="7" t="s">
        <v>1043</v>
      </c>
      <c r="G681" s="7" t="s">
        <v>86</v>
      </c>
      <c r="H681" s="7" t="s">
        <v>1073</v>
      </c>
      <c r="I681" s="7">
        <v>45.366315999999998</v>
      </c>
      <c r="J681" s="7">
        <v>-75.883103000000006</v>
      </c>
      <c r="K681" s="7" t="s">
        <v>41</v>
      </c>
      <c r="L681" s="7" t="s">
        <v>223</v>
      </c>
      <c r="M681" s="7" t="s">
        <v>1045</v>
      </c>
      <c r="N681" s="7" t="s">
        <v>474</v>
      </c>
      <c r="O681" s="7" t="s">
        <v>31</v>
      </c>
      <c r="P681" s="7" t="s">
        <v>474</v>
      </c>
      <c r="Q681" s="7" t="s">
        <v>31</v>
      </c>
    </row>
    <row r="682" spans="1:17" s="7" customFormat="1" x14ac:dyDescent="0.35">
      <c r="A682" s="7">
        <v>45</v>
      </c>
      <c r="B682" s="7" t="s">
        <v>1040</v>
      </c>
      <c r="C682" s="7">
        <v>2023</v>
      </c>
      <c r="D682" s="7" t="s">
        <v>1041</v>
      </c>
      <c r="E682" s="7" t="s">
        <v>1042</v>
      </c>
      <c r="F682" s="7" t="s">
        <v>1043</v>
      </c>
      <c r="G682" s="7" t="s">
        <v>86</v>
      </c>
      <c r="H682" s="7" t="s">
        <v>1075</v>
      </c>
      <c r="I682" s="7">
        <v>45.499066999999997</v>
      </c>
      <c r="J682" s="7">
        <v>-76.075456000000003</v>
      </c>
      <c r="K682" s="7" t="s">
        <v>41</v>
      </c>
      <c r="L682" s="7" t="s">
        <v>223</v>
      </c>
      <c r="M682" s="7" t="s">
        <v>1045</v>
      </c>
      <c r="N682" s="7" t="s">
        <v>474</v>
      </c>
      <c r="O682" s="7" t="s">
        <v>31</v>
      </c>
      <c r="P682" s="7" t="s">
        <v>474</v>
      </c>
      <c r="Q682" s="7" t="s">
        <v>31</v>
      </c>
    </row>
    <row r="683" spans="1:17" s="7" customFormat="1" x14ac:dyDescent="0.35">
      <c r="A683" s="7">
        <v>45</v>
      </c>
      <c r="B683" s="7" t="s">
        <v>1040</v>
      </c>
      <c r="C683" s="7">
        <v>2023</v>
      </c>
      <c r="D683" s="7" t="s">
        <v>1041</v>
      </c>
      <c r="E683" s="7" t="s">
        <v>1042</v>
      </c>
      <c r="F683" s="7" t="s">
        <v>1043</v>
      </c>
      <c r="G683" s="7" t="s">
        <v>86</v>
      </c>
      <c r="H683" s="7" t="s">
        <v>1077</v>
      </c>
      <c r="I683" s="7">
        <v>45.443967999999998</v>
      </c>
      <c r="J683" s="7">
        <v>-76.350125000000006</v>
      </c>
      <c r="K683" s="7" t="s">
        <v>41</v>
      </c>
      <c r="L683" s="7" t="s">
        <v>223</v>
      </c>
      <c r="M683" s="7" t="s">
        <v>1045</v>
      </c>
      <c r="N683" s="7" t="s">
        <v>474</v>
      </c>
      <c r="O683" s="7" t="s">
        <v>31</v>
      </c>
      <c r="P683" s="7" t="s">
        <v>474</v>
      </c>
      <c r="Q683" s="7" t="s">
        <v>31</v>
      </c>
    </row>
    <row r="684" spans="1:17" s="7" customFormat="1" x14ac:dyDescent="0.35">
      <c r="A684" s="7">
        <v>45</v>
      </c>
      <c r="B684" s="7" t="s">
        <v>1040</v>
      </c>
      <c r="C684" s="7">
        <v>2023</v>
      </c>
      <c r="D684" s="7" t="s">
        <v>1041</v>
      </c>
      <c r="E684" s="7" t="s">
        <v>1042</v>
      </c>
      <c r="F684" s="7" t="s">
        <v>1043</v>
      </c>
      <c r="G684" s="7" t="s">
        <v>86</v>
      </c>
      <c r="H684" s="7" t="s">
        <v>1079</v>
      </c>
      <c r="I684" s="7">
        <v>45.516170000000002</v>
      </c>
      <c r="J684" s="7">
        <v>-76.227959999999996</v>
      </c>
      <c r="K684" s="7" t="s">
        <v>41</v>
      </c>
      <c r="L684" s="7" t="s">
        <v>223</v>
      </c>
      <c r="M684" s="7" t="s">
        <v>1045</v>
      </c>
      <c r="N684" s="7" t="s">
        <v>474</v>
      </c>
      <c r="O684" s="7" t="s">
        <v>31</v>
      </c>
      <c r="P684" s="7" t="s">
        <v>474</v>
      </c>
      <c r="Q684" s="7" t="s">
        <v>31</v>
      </c>
    </row>
    <row r="685" spans="1:17" s="7" customFormat="1" x14ac:dyDescent="0.35">
      <c r="A685" s="7">
        <v>45</v>
      </c>
      <c r="B685" s="7" t="s">
        <v>1040</v>
      </c>
      <c r="C685" s="7">
        <v>2023</v>
      </c>
      <c r="D685" s="7" t="s">
        <v>1041</v>
      </c>
      <c r="E685" s="7" t="s">
        <v>1042</v>
      </c>
      <c r="F685" s="7" t="s">
        <v>1043</v>
      </c>
      <c r="G685" s="7" t="s">
        <v>86</v>
      </c>
      <c r="H685" s="7" t="s">
        <v>1081</v>
      </c>
      <c r="I685" s="7">
        <v>45.517659999999999</v>
      </c>
      <c r="J685" s="7">
        <v>-76.427589999999995</v>
      </c>
      <c r="K685" s="7" t="s">
        <v>41</v>
      </c>
      <c r="L685" s="7" t="s">
        <v>223</v>
      </c>
      <c r="M685" s="7" t="s">
        <v>1045</v>
      </c>
      <c r="N685" s="7" t="s">
        <v>474</v>
      </c>
      <c r="O685" s="7" t="s">
        <v>31</v>
      </c>
      <c r="P685" s="7" t="s">
        <v>474</v>
      </c>
      <c r="Q685" s="7" t="s">
        <v>31</v>
      </c>
    </row>
    <row r="686" spans="1:17" s="7" customFormat="1" x14ac:dyDescent="0.35">
      <c r="A686" s="7">
        <v>45</v>
      </c>
      <c r="B686" s="7" t="s">
        <v>1040</v>
      </c>
      <c r="C686" s="7">
        <v>2023</v>
      </c>
      <c r="D686" s="7" t="s">
        <v>1041</v>
      </c>
      <c r="E686" s="7" t="s">
        <v>1042</v>
      </c>
      <c r="F686" s="7" t="s">
        <v>1043</v>
      </c>
      <c r="G686" s="7" t="s">
        <v>86</v>
      </c>
      <c r="H686" s="7" t="s">
        <v>1083</v>
      </c>
      <c r="I686" s="7">
        <v>45.592709999999997</v>
      </c>
      <c r="J686" s="7">
        <v>-76.669020000000003</v>
      </c>
      <c r="K686" s="7" t="s">
        <v>41</v>
      </c>
      <c r="L686" s="7" t="s">
        <v>223</v>
      </c>
      <c r="M686" s="7" t="s">
        <v>1045</v>
      </c>
      <c r="N686" s="7" t="s">
        <v>474</v>
      </c>
      <c r="O686" s="7" t="s">
        <v>31</v>
      </c>
      <c r="P686" s="7" t="s">
        <v>474</v>
      </c>
      <c r="Q686" s="7" t="s">
        <v>31</v>
      </c>
    </row>
    <row r="687" spans="1:17" s="7" customFormat="1" x14ac:dyDescent="0.35">
      <c r="A687" s="7">
        <v>45</v>
      </c>
      <c r="B687" s="7" t="s">
        <v>1040</v>
      </c>
      <c r="C687" s="7">
        <v>2023</v>
      </c>
      <c r="D687" s="7" t="s">
        <v>1041</v>
      </c>
      <c r="E687" s="7" t="s">
        <v>1042</v>
      </c>
      <c r="F687" s="7" t="s">
        <v>1043</v>
      </c>
      <c r="G687" s="7" t="s">
        <v>86</v>
      </c>
      <c r="H687" s="7" t="s">
        <v>1085</v>
      </c>
      <c r="I687" s="7">
        <v>45.797460000000001</v>
      </c>
      <c r="J687" s="7">
        <v>-77.019829999999999</v>
      </c>
      <c r="K687" s="7" t="s">
        <v>41</v>
      </c>
      <c r="L687" s="7" t="s">
        <v>223</v>
      </c>
      <c r="M687" s="7" t="s">
        <v>1045</v>
      </c>
      <c r="N687" s="7" t="s">
        <v>474</v>
      </c>
      <c r="O687" s="7" t="s">
        <v>31</v>
      </c>
      <c r="P687" s="7" t="s">
        <v>474</v>
      </c>
      <c r="Q687" s="7" t="s">
        <v>31</v>
      </c>
    </row>
    <row r="688" spans="1:17" s="7" customFormat="1" x14ac:dyDescent="0.35">
      <c r="A688" s="7">
        <v>45</v>
      </c>
      <c r="B688" s="7" t="s">
        <v>1040</v>
      </c>
      <c r="C688" s="7">
        <v>2023</v>
      </c>
      <c r="D688" s="7" t="s">
        <v>1041</v>
      </c>
      <c r="E688" s="7" t="s">
        <v>1042</v>
      </c>
      <c r="F688" s="7" t="s">
        <v>1043</v>
      </c>
      <c r="G688" s="7" t="s">
        <v>86</v>
      </c>
      <c r="H688" s="7" t="s">
        <v>1087</v>
      </c>
      <c r="I688" s="7">
        <v>45.828580000000002</v>
      </c>
      <c r="J688" s="7">
        <v>-77.118229999999997</v>
      </c>
      <c r="K688" s="7" t="s">
        <v>41</v>
      </c>
      <c r="L688" s="7" t="s">
        <v>223</v>
      </c>
      <c r="M688" s="7" t="s">
        <v>1045</v>
      </c>
      <c r="N688" s="7" t="s">
        <v>474</v>
      </c>
      <c r="O688" s="7" t="s">
        <v>31</v>
      </c>
      <c r="P688" s="7" t="s">
        <v>474</v>
      </c>
      <c r="Q688" s="7" t="s">
        <v>31</v>
      </c>
    </row>
    <row r="689" spans="1:17" s="7" customFormat="1" x14ac:dyDescent="0.35">
      <c r="A689" s="7">
        <v>45</v>
      </c>
      <c r="B689" s="7" t="s">
        <v>1040</v>
      </c>
      <c r="C689" s="7">
        <v>2023</v>
      </c>
      <c r="D689" s="7" t="s">
        <v>1041</v>
      </c>
      <c r="E689" s="7" t="s">
        <v>1042</v>
      </c>
      <c r="F689" s="7" t="s">
        <v>1043</v>
      </c>
      <c r="G689" s="7" t="s">
        <v>86</v>
      </c>
      <c r="H689" s="7" t="s">
        <v>1089</v>
      </c>
      <c r="I689" s="7">
        <v>45.830559000000001</v>
      </c>
      <c r="J689" s="7">
        <v>-77.131353000000004</v>
      </c>
      <c r="K689" s="7" t="s">
        <v>41</v>
      </c>
      <c r="L689" s="7" t="s">
        <v>223</v>
      </c>
      <c r="M689" s="7" t="s">
        <v>1045</v>
      </c>
      <c r="N689" s="7" t="s">
        <v>474</v>
      </c>
      <c r="O689" s="7" t="s">
        <v>31</v>
      </c>
      <c r="P689" s="7" t="s">
        <v>474</v>
      </c>
      <c r="Q689" s="7" t="s">
        <v>31</v>
      </c>
    </row>
    <row r="690" spans="1:17" s="7" customFormat="1" x14ac:dyDescent="0.35">
      <c r="A690" s="7">
        <v>45</v>
      </c>
      <c r="B690" s="7" t="s">
        <v>1040</v>
      </c>
      <c r="C690" s="7">
        <v>2023</v>
      </c>
      <c r="D690" s="7" t="s">
        <v>1041</v>
      </c>
      <c r="E690" s="7" t="s">
        <v>1042</v>
      </c>
      <c r="F690" s="7" t="s">
        <v>1043</v>
      </c>
      <c r="G690" s="7" t="s">
        <v>86</v>
      </c>
      <c r="H690" s="7" t="s">
        <v>1091</v>
      </c>
      <c r="I690" s="7">
        <v>45.910203000000003</v>
      </c>
      <c r="J690" s="7">
        <v>-77.251239999999996</v>
      </c>
      <c r="K690" s="7" t="s">
        <v>41</v>
      </c>
      <c r="L690" s="7" t="s">
        <v>223</v>
      </c>
      <c r="M690" s="7" t="s">
        <v>1045</v>
      </c>
      <c r="N690" s="7" t="s">
        <v>474</v>
      </c>
      <c r="O690" s="7" t="s">
        <v>31</v>
      </c>
      <c r="P690" s="7" t="s">
        <v>474</v>
      </c>
      <c r="Q690" s="7" t="s">
        <v>31</v>
      </c>
    </row>
    <row r="691" spans="1:17" s="7" customFormat="1" x14ac:dyDescent="0.35">
      <c r="A691" s="7">
        <v>45</v>
      </c>
      <c r="B691" s="7" t="s">
        <v>1040</v>
      </c>
      <c r="C691" s="7">
        <v>2023</v>
      </c>
      <c r="D691" s="7" t="s">
        <v>1041</v>
      </c>
      <c r="E691" s="7" t="s">
        <v>1042</v>
      </c>
      <c r="F691" s="7" t="s">
        <v>1043</v>
      </c>
      <c r="G691" s="7" t="s">
        <v>86</v>
      </c>
      <c r="H691" s="7" t="s">
        <v>1093</v>
      </c>
      <c r="I691" s="7">
        <v>46.103299</v>
      </c>
      <c r="J691" s="7">
        <v>-77.479663000000002</v>
      </c>
      <c r="K691" s="7" t="s">
        <v>41</v>
      </c>
      <c r="L691" s="7" t="s">
        <v>223</v>
      </c>
      <c r="M691" s="7" t="s">
        <v>1045</v>
      </c>
      <c r="N691" s="7" t="s">
        <v>474</v>
      </c>
      <c r="O691" s="7" t="s">
        <v>31</v>
      </c>
      <c r="P691" s="7" t="s">
        <v>474</v>
      </c>
      <c r="Q691" s="7" t="s">
        <v>31</v>
      </c>
    </row>
    <row r="692" spans="1:17" s="7" customFormat="1" x14ac:dyDescent="0.35">
      <c r="A692" s="7">
        <v>45</v>
      </c>
      <c r="B692" s="7" t="s">
        <v>1040</v>
      </c>
      <c r="C692" s="7">
        <v>2023</v>
      </c>
      <c r="D692" s="7" t="s">
        <v>1041</v>
      </c>
      <c r="E692" s="7" t="s">
        <v>1042</v>
      </c>
      <c r="F692" s="7" t="s">
        <v>1043</v>
      </c>
      <c r="G692" s="7" t="s">
        <v>86</v>
      </c>
      <c r="H692" s="7" t="s">
        <v>1095</v>
      </c>
      <c r="I692" s="7">
        <v>46.200719999999997</v>
      </c>
      <c r="J692" s="7">
        <v>-77.684855999999996</v>
      </c>
      <c r="K692" s="7" t="s">
        <v>41</v>
      </c>
      <c r="L692" s="7" t="s">
        <v>223</v>
      </c>
      <c r="M692" s="7" t="s">
        <v>1045</v>
      </c>
      <c r="N692" s="7" t="s">
        <v>474</v>
      </c>
      <c r="O692" s="7" t="s">
        <v>31</v>
      </c>
      <c r="P692" s="7" t="s">
        <v>474</v>
      </c>
      <c r="Q692" s="7" t="s">
        <v>31</v>
      </c>
    </row>
    <row r="693" spans="1:17" s="7" customFormat="1" x14ac:dyDescent="0.35">
      <c r="A693" s="7">
        <v>45</v>
      </c>
      <c r="B693" s="7" t="s">
        <v>1040</v>
      </c>
      <c r="C693" s="7">
        <v>2023</v>
      </c>
      <c r="D693" s="7" t="s">
        <v>1041</v>
      </c>
      <c r="E693" s="7" t="s">
        <v>1042</v>
      </c>
      <c r="F693" s="7" t="s">
        <v>1043</v>
      </c>
      <c r="G693" s="7" t="s">
        <v>86</v>
      </c>
      <c r="H693" s="7" t="s">
        <v>1097</v>
      </c>
      <c r="I693" s="7">
        <v>46.253129000000001</v>
      </c>
      <c r="J693" s="7">
        <v>-78.28716</v>
      </c>
      <c r="K693" s="7" t="s">
        <v>41</v>
      </c>
      <c r="L693" s="7" t="s">
        <v>223</v>
      </c>
      <c r="M693" s="7" t="s">
        <v>1045</v>
      </c>
      <c r="N693" s="7" t="s">
        <v>474</v>
      </c>
      <c r="O693" s="7" t="s">
        <v>31</v>
      </c>
      <c r="P693" s="7" t="s">
        <v>474</v>
      </c>
      <c r="Q693" s="7" t="s">
        <v>31</v>
      </c>
    </row>
    <row r="694" spans="1:17" s="7" customFormat="1" x14ac:dyDescent="0.35">
      <c r="A694" s="7">
        <v>45</v>
      </c>
      <c r="B694" s="7" t="s">
        <v>1040</v>
      </c>
      <c r="C694" s="7">
        <v>2023</v>
      </c>
      <c r="D694" s="7" t="s">
        <v>1041</v>
      </c>
      <c r="E694" s="7" t="s">
        <v>1042</v>
      </c>
      <c r="F694" s="7" t="s">
        <v>1043</v>
      </c>
      <c r="G694" s="7" t="s">
        <v>86</v>
      </c>
      <c r="H694" s="7" t="s">
        <v>1099</v>
      </c>
      <c r="I694" s="7">
        <v>46.291888</v>
      </c>
      <c r="J694" s="7">
        <v>-78.492496000000003</v>
      </c>
      <c r="K694" s="7" t="s">
        <v>41</v>
      </c>
      <c r="L694" s="7" t="s">
        <v>223</v>
      </c>
      <c r="M694" s="7" t="s">
        <v>1045</v>
      </c>
      <c r="N694" s="7" t="s">
        <v>474</v>
      </c>
      <c r="O694" s="7" t="s">
        <v>31</v>
      </c>
      <c r="P694" s="7" t="s">
        <v>474</v>
      </c>
      <c r="Q694" s="7" t="s">
        <v>31</v>
      </c>
    </row>
    <row r="695" spans="1:17" s="7" customFormat="1" x14ac:dyDescent="0.35">
      <c r="A695" s="7">
        <v>45</v>
      </c>
      <c r="B695" s="7" t="s">
        <v>1040</v>
      </c>
      <c r="C695" s="7">
        <v>2023</v>
      </c>
      <c r="D695" s="7" t="s">
        <v>1041</v>
      </c>
      <c r="E695" s="7" t="s">
        <v>1042</v>
      </c>
      <c r="F695" s="7" t="s">
        <v>1043</v>
      </c>
      <c r="G695" s="7" t="s">
        <v>86</v>
      </c>
      <c r="H695" s="7" t="s">
        <v>1101</v>
      </c>
      <c r="I695" s="7">
        <v>46.320824000000002</v>
      </c>
      <c r="J695" s="7">
        <v>-78.708844999999997</v>
      </c>
      <c r="K695" s="7" t="s">
        <v>41</v>
      </c>
      <c r="L695" s="7" t="s">
        <v>223</v>
      </c>
      <c r="M695" s="7" t="s">
        <v>1045</v>
      </c>
      <c r="N695" s="7" t="s">
        <v>474</v>
      </c>
      <c r="O695" s="7" t="s">
        <v>31</v>
      </c>
      <c r="P695" s="7" t="s">
        <v>474</v>
      </c>
      <c r="Q695" s="7" t="s">
        <v>31</v>
      </c>
    </row>
    <row r="696" spans="1:17" s="7" customFormat="1" x14ac:dyDescent="0.35">
      <c r="A696" s="7">
        <v>45</v>
      </c>
      <c r="B696" s="7" t="s">
        <v>1040</v>
      </c>
      <c r="C696" s="7">
        <v>2023</v>
      </c>
      <c r="D696" s="7" t="s">
        <v>1041</v>
      </c>
      <c r="E696" s="7" t="s">
        <v>1042</v>
      </c>
      <c r="F696" s="7" t="s">
        <v>1043</v>
      </c>
      <c r="G696" s="7" t="s">
        <v>86</v>
      </c>
      <c r="H696" s="7" t="s">
        <v>1103</v>
      </c>
      <c r="I696" s="7">
        <v>46.716554000000002</v>
      </c>
      <c r="J696" s="7">
        <v>-79.103260000000006</v>
      </c>
      <c r="K696" s="7" t="s">
        <v>41</v>
      </c>
      <c r="L696" s="7" t="s">
        <v>223</v>
      </c>
      <c r="M696" s="7" t="s">
        <v>1045</v>
      </c>
      <c r="N696" s="7" t="s">
        <v>474</v>
      </c>
      <c r="O696" s="7" t="s">
        <v>31</v>
      </c>
      <c r="P696" s="7" t="s">
        <v>474</v>
      </c>
      <c r="Q696" s="7" t="s">
        <v>31</v>
      </c>
    </row>
    <row r="697" spans="1:17" s="7" customFormat="1" x14ac:dyDescent="0.35">
      <c r="A697" s="7">
        <v>45</v>
      </c>
      <c r="B697" s="7" t="s">
        <v>1040</v>
      </c>
      <c r="C697" s="7">
        <v>2023</v>
      </c>
      <c r="D697" s="7" t="s">
        <v>1041</v>
      </c>
      <c r="E697" s="7" t="s">
        <v>1042</v>
      </c>
      <c r="F697" s="7" t="s">
        <v>1043</v>
      </c>
      <c r="G697" s="7" t="s">
        <v>86</v>
      </c>
      <c r="H697" s="7" t="s">
        <v>1105</v>
      </c>
      <c r="I697" s="7">
        <v>46.831083999999997</v>
      </c>
      <c r="J697" s="7">
        <v>-79.192126999999999</v>
      </c>
      <c r="K697" s="7" t="s">
        <v>41</v>
      </c>
      <c r="L697" s="7" t="s">
        <v>223</v>
      </c>
      <c r="M697" s="7" t="s">
        <v>1045</v>
      </c>
      <c r="N697" s="7" t="s">
        <v>474</v>
      </c>
      <c r="O697" s="7" t="s">
        <v>31</v>
      </c>
      <c r="P697" s="7" t="s">
        <v>474</v>
      </c>
      <c r="Q697" s="7" t="s">
        <v>31</v>
      </c>
    </row>
    <row r="698" spans="1:17" s="7" customFormat="1" x14ac:dyDescent="0.35">
      <c r="A698" s="7">
        <v>45</v>
      </c>
      <c r="B698" s="7" t="s">
        <v>1040</v>
      </c>
      <c r="C698" s="7">
        <v>2023</v>
      </c>
      <c r="D698" s="7" t="s">
        <v>1041</v>
      </c>
      <c r="E698" s="7" t="s">
        <v>1042</v>
      </c>
      <c r="F698" s="7" t="s">
        <v>1043</v>
      </c>
      <c r="G698" s="7" t="s">
        <v>86</v>
      </c>
      <c r="H698" s="7" t="s">
        <v>1107</v>
      </c>
      <c r="I698" s="7">
        <v>47.290115999999998</v>
      </c>
      <c r="J698" s="7">
        <v>-79.455287999999996</v>
      </c>
      <c r="K698" s="7" t="s">
        <v>41</v>
      </c>
      <c r="L698" s="7" t="s">
        <v>223</v>
      </c>
      <c r="M698" s="7" t="s">
        <v>1045</v>
      </c>
      <c r="N698" s="7" t="s">
        <v>474</v>
      </c>
      <c r="O698" s="7" t="s">
        <v>31</v>
      </c>
      <c r="P698" s="7" t="s">
        <v>474</v>
      </c>
      <c r="Q698" s="7" t="s">
        <v>31</v>
      </c>
    </row>
    <row r="699" spans="1:17" s="7" customFormat="1" x14ac:dyDescent="0.35">
      <c r="A699" s="7">
        <v>45</v>
      </c>
      <c r="B699" s="7" t="s">
        <v>1040</v>
      </c>
      <c r="C699" s="7">
        <v>2023</v>
      </c>
      <c r="D699" s="7" t="s">
        <v>1041</v>
      </c>
      <c r="E699" s="7" t="s">
        <v>1042</v>
      </c>
      <c r="F699" s="7" t="s">
        <v>1043</v>
      </c>
      <c r="G699" s="7" t="s">
        <v>86</v>
      </c>
      <c r="H699" s="7" t="s">
        <v>1109</v>
      </c>
      <c r="I699" s="7">
        <v>47.376658999999997</v>
      </c>
      <c r="J699" s="7">
        <v>-79.481628000000001</v>
      </c>
      <c r="K699" s="7" t="s">
        <v>41</v>
      </c>
      <c r="L699" s="7" t="s">
        <v>223</v>
      </c>
      <c r="M699" s="7" t="s">
        <v>1045</v>
      </c>
      <c r="N699" s="7" t="s">
        <v>474</v>
      </c>
      <c r="O699" s="7" t="s">
        <v>31</v>
      </c>
      <c r="P699" s="7" t="s">
        <v>474</v>
      </c>
      <c r="Q699" s="7" t="s">
        <v>31</v>
      </c>
    </row>
    <row r="700" spans="1:17" s="7" customFormat="1" x14ac:dyDescent="0.35">
      <c r="A700" s="7">
        <v>45</v>
      </c>
      <c r="B700" s="7" t="s">
        <v>1040</v>
      </c>
      <c r="C700" s="7">
        <v>2023</v>
      </c>
      <c r="D700" s="7" t="s">
        <v>1041</v>
      </c>
      <c r="E700" s="7" t="s">
        <v>1042</v>
      </c>
      <c r="F700" s="7" t="s">
        <v>1043</v>
      </c>
      <c r="G700" s="7" t="s">
        <v>86</v>
      </c>
      <c r="H700" s="7" t="s">
        <v>1111</v>
      </c>
      <c r="I700" s="7">
        <v>47.416871</v>
      </c>
      <c r="J700" s="7">
        <v>-79.602834999999999</v>
      </c>
      <c r="K700" s="7" t="s">
        <v>41</v>
      </c>
      <c r="L700" s="7" t="s">
        <v>223</v>
      </c>
      <c r="M700" s="7" t="s">
        <v>1045</v>
      </c>
      <c r="N700" s="7" t="s">
        <v>474</v>
      </c>
      <c r="O700" s="7" t="s">
        <v>31</v>
      </c>
      <c r="P700" s="7" t="s">
        <v>474</v>
      </c>
      <c r="Q700" s="7" t="s">
        <v>31</v>
      </c>
    </row>
    <row r="701" spans="1:17" s="7" customFormat="1" x14ac:dyDescent="0.35">
      <c r="A701" s="7">
        <v>45</v>
      </c>
      <c r="B701" s="7" t="s">
        <v>1040</v>
      </c>
      <c r="C701" s="7">
        <v>2023</v>
      </c>
      <c r="D701" s="7" t="s">
        <v>1041</v>
      </c>
      <c r="E701" s="7" t="s">
        <v>1042</v>
      </c>
      <c r="F701" s="7" t="s">
        <v>1043</v>
      </c>
      <c r="G701" s="7" t="s">
        <v>86</v>
      </c>
      <c r="H701" s="7" t="s">
        <v>1113</v>
      </c>
      <c r="I701" s="7">
        <v>47.447474999999997</v>
      </c>
      <c r="J701" s="7">
        <v>-79.630011999999994</v>
      </c>
      <c r="K701" s="7" t="s">
        <v>41</v>
      </c>
      <c r="L701" s="7" t="s">
        <v>223</v>
      </c>
      <c r="M701" s="7" t="s">
        <v>1045</v>
      </c>
      <c r="N701" s="7" t="s">
        <v>474</v>
      </c>
      <c r="O701" s="7" t="s">
        <v>31</v>
      </c>
      <c r="P701" s="7" t="s">
        <v>474</v>
      </c>
      <c r="Q701" s="7" t="s">
        <v>31</v>
      </c>
    </row>
    <row r="702" spans="1:17" s="7" customFormat="1" x14ac:dyDescent="0.35">
      <c r="A702" s="7">
        <v>45</v>
      </c>
      <c r="B702" s="7" t="s">
        <v>1040</v>
      </c>
      <c r="C702" s="7">
        <v>2023</v>
      </c>
      <c r="D702" s="7" t="s">
        <v>1041</v>
      </c>
      <c r="E702" s="7" t="s">
        <v>1042</v>
      </c>
      <c r="F702" s="7" t="s">
        <v>1043</v>
      </c>
      <c r="G702" s="7" t="s">
        <v>86</v>
      </c>
      <c r="H702" s="7" t="s">
        <v>1115</v>
      </c>
      <c r="I702" s="7">
        <v>47.499735000000001</v>
      </c>
      <c r="J702" s="7">
        <v>-79.677190999999993</v>
      </c>
      <c r="K702" s="7" t="s">
        <v>41</v>
      </c>
      <c r="L702" s="7" t="s">
        <v>223</v>
      </c>
      <c r="M702" s="7" t="s">
        <v>1045</v>
      </c>
      <c r="N702" s="7" t="s">
        <v>474</v>
      </c>
      <c r="O702" s="7" t="s">
        <v>31</v>
      </c>
      <c r="P702" s="7" t="s">
        <v>474</v>
      </c>
      <c r="Q702" s="7" t="s">
        <v>31</v>
      </c>
    </row>
    <row r="703" spans="1:17" s="7" customFormat="1" x14ac:dyDescent="0.35">
      <c r="A703" s="7">
        <v>45</v>
      </c>
      <c r="B703" s="7" t="s">
        <v>1040</v>
      </c>
      <c r="C703" s="7">
        <v>2023</v>
      </c>
      <c r="D703" s="7" t="s">
        <v>1041</v>
      </c>
      <c r="E703" s="7" t="s">
        <v>1042</v>
      </c>
      <c r="F703" s="7" t="s">
        <v>1043</v>
      </c>
      <c r="G703" s="7" t="s">
        <v>86</v>
      </c>
      <c r="H703" s="7" t="s">
        <v>1117</v>
      </c>
      <c r="I703" s="7">
        <v>47.506272000000003</v>
      </c>
      <c r="J703" s="7">
        <v>-79.669675999999995</v>
      </c>
      <c r="K703" s="7" t="s">
        <v>41</v>
      </c>
      <c r="L703" s="7" t="s">
        <v>223</v>
      </c>
      <c r="M703" s="7" t="s">
        <v>1045</v>
      </c>
      <c r="N703" s="7" t="s">
        <v>474</v>
      </c>
      <c r="O703" s="7" t="s">
        <v>31</v>
      </c>
      <c r="P703" s="7" t="s">
        <v>474</v>
      </c>
      <c r="Q703" s="7" t="s">
        <v>31</v>
      </c>
    </row>
    <row r="704" spans="1:17" s="7" customFormat="1" x14ac:dyDescent="0.35">
      <c r="A704" s="7">
        <v>45</v>
      </c>
      <c r="B704" s="7" t="s">
        <v>1040</v>
      </c>
      <c r="C704" s="7">
        <v>2023</v>
      </c>
      <c r="D704" s="7" t="s">
        <v>1041</v>
      </c>
      <c r="E704" s="7" t="s">
        <v>1042</v>
      </c>
      <c r="F704" s="7" t="s">
        <v>1043</v>
      </c>
      <c r="G704" s="7" t="s">
        <v>86</v>
      </c>
      <c r="H704" s="7" t="s">
        <v>1119</v>
      </c>
      <c r="I704" s="7">
        <v>47.591864999999999</v>
      </c>
      <c r="J704" s="7">
        <v>-79.483677999999998</v>
      </c>
      <c r="K704" s="7" t="s">
        <v>41</v>
      </c>
      <c r="L704" s="7" t="s">
        <v>223</v>
      </c>
      <c r="M704" s="7" t="s">
        <v>1045</v>
      </c>
      <c r="N704" s="7" t="s">
        <v>474</v>
      </c>
      <c r="O704" s="7" t="s">
        <v>31</v>
      </c>
      <c r="P704" s="7" t="s">
        <v>474</v>
      </c>
      <c r="Q704" s="7" t="s">
        <v>31</v>
      </c>
    </row>
    <row r="705" spans="1:17" s="7" customFormat="1" x14ac:dyDescent="0.35">
      <c r="A705" s="7">
        <v>45</v>
      </c>
      <c r="B705" s="7" t="s">
        <v>1040</v>
      </c>
      <c r="C705" s="7">
        <v>2023</v>
      </c>
      <c r="D705" s="7" t="s">
        <v>1041</v>
      </c>
      <c r="E705" s="7" t="s">
        <v>1042</v>
      </c>
      <c r="F705" s="7" t="s">
        <v>1043</v>
      </c>
      <c r="G705" s="7" t="s">
        <v>86</v>
      </c>
      <c r="H705" s="7" t="s">
        <v>1121</v>
      </c>
      <c r="I705" s="7">
        <v>47.553029000000002</v>
      </c>
      <c r="J705" s="7">
        <v>-79.238848000000004</v>
      </c>
      <c r="K705" s="7" t="s">
        <v>41</v>
      </c>
      <c r="L705" s="7" t="s">
        <v>223</v>
      </c>
      <c r="M705" s="7" t="s">
        <v>1045</v>
      </c>
      <c r="N705" s="7" t="s">
        <v>474</v>
      </c>
      <c r="O705" s="7" t="s">
        <v>31</v>
      </c>
      <c r="P705" s="7" t="s">
        <v>474</v>
      </c>
      <c r="Q705" s="7" t="s">
        <v>31</v>
      </c>
    </row>
    <row r="706" spans="1:17" s="7" customFormat="1" x14ac:dyDescent="0.35">
      <c r="A706" s="7">
        <v>45</v>
      </c>
      <c r="B706" s="7" t="s">
        <v>1040</v>
      </c>
      <c r="C706" s="7">
        <v>2023</v>
      </c>
      <c r="D706" s="7" t="s">
        <v>1041</v>
      </c>
      <c r="E706" s="7" t="s">
        <v>1042</v>
      </c>
      <c r="F706" s="7" t="s">
        <v>1043</v>
      </c>
      <c r="G706" s="7" t="s">
        <v>86</v>
      </c>
      <c r="H706" s="7" t="s">
        <v>1123</v>
      </c>
      <c r="I706" s="7">
        <v>47.760921000000003</v>
      </c>
      <c r="J706" s="7">
        <v>-79.210047000000003</v>
      </c>
      <c r="K706" s="7" t="s">
        <v>41</v>
      </c>
      <c r="L706" s="7" t="s">
        <v>223</v>
      </c>
      <c r="M706" s="7" t="s">
        <v>1045</v>
      </c>
      <c r="N706" s="7" t="s">
        <v>474</v>
      </c>
      <c r="O706" s="7" t="s">
        <v>31</v>
      </c>
      <c r="P706" s="7" t="s">
        <v>474</v>
      </c>
      <c r="Q706" s="7" t="s">
        <v>31</v>
      </c>
    </row>
    <row r="707" spans="1:17" s="7" customFormat="1" x14ac:dyDescent="0.35">
      <c r="A707" s="7">
        <v>45</v>
      </c>
      <c r="B707" s="7" t="s">
        <v>1040</v>
      </c>
      <c r="C707" s="7">
        <v>2023</v>
      </c>
      <c r="D707" s="7" t="s">
        <v>1041</v>
      </c>
      <c r="E707" s="7" t="s">
        <v>1042</v>
      </c>
      <c r="F707" s="7" t="s">
        <v>1043</v>
      </c>
      <c r="G707" s="7" t="s">
        <v>86</v>
      </c>
      <c r="H707" s="7" t="s">
        <v>1125</v>
      </c>
      <c r="I707" s="7">
        <v>48.098475999999998</v>
      </c>
      <c r="J707" s="7">
        <v>-78.865922999999995</v>
      </c>
      <c r="K707" s="7" t="s">
        <v>41</v>
      </c>
      <c r="L707" s="7" t="s">
        <v>223</v>
      </c>
      <c r="M707" s="7" t="s">
        <v>1045</v>
      </c>
      <c r="N707" s="7" t="s">
        <v>474</v>
      </c>
      <c r="O707" s="7" t="s">
        <v>31</v>
      </c>
      <c r="P707" s="7" t="s">
        <v>474</v>
      </c>
      <c r="Q707" s="7" t="s">
        <v>31</v>
      </c>
    </row>
    <row r="708" spans="1:17" s="7" customFormat="1" x14ac:dyDescent="0.35">
      <c r="A708" s="7">
        <v>45</v>
      </c>
      <c r="B708" s="7" t="s">
        <v>1040</v>
      </c>
      <c r="C708" s="7">
        <v>2023</v>
      </c>
      <c r="D708" s="7" t="s">
        <v>1041</v>
      </c>
      <c r="E708" s="7" t="s">
        <v>1042</v>
      </c>
      <c r="F708" s="7" t="s">
        <v>1043</v>
      </c>
      <c r="G708" s="7" t="s">
        <v>86</v>
      </c>
      <c r="H708" s="7" t="s">
        <v>1127</v>
      </c>
      <c r="I708" s="7">
        <v>48.195225999999998</v>
      </c>
      <c r="J708" s="7">
        <v>-78.873975999999999</v>
      </c>
      <c r="K708" s="7" t="s">
        <v>41</v>
      </c>
      <c r="L708" s="7" t="s">
        <v>223</v>
      </c>
      <c r="M708" s="7" t="s">
        <v>1045</v>
      </c>
      <c r="N708" s="7" t="s">
        <v>474</v>
      </c>
      <c r="O708" s="7" t="s">
        <v>31</v>
      </c>
      <c r="P708" s="7" t="s">
        <v>474</v>
      </c>
      <c r="Q708" s="7" t="s">
        <v>31</v>
      </c>
    </row>
    <row r="709" spans="1:17" s="7" customFormat="1" x14ac:dyDescent="0.35">
      <c r="A709" s="7">
        <v>45</v>
      </c>
      <c r="B709" s="7" t="s">
        <v>1040</v>
      </c>
      <c r="C709" s="7">
        <v>2023</v>
      </c>
      <c r="D709" s="7" t="s">
        <v>1041</v>
      </c>
      <c r="E709" s="7" t="s">
        <v>1042</v>
      </c>
      <c r="F709" s="7" t="s">
        <v>1043</v>
      </c>
      <c r="G709" s="7" t="s">
        <v>86</v>
      </c>
      <c r="H709" s="7" t="s">
        <v>1129</v>
      </c>
      <c r="I709" s="7">
        <v>47.768980999999997</v>
      </c>
      <c r="J709" s="7">
        <v>-78.307175000000001</v>
      </c>
      <c r="K709" s="7" t="s">
        <v>41</v>
      </c>
      <c r="L709" s="7" t="s">
        <v>223</v>
      </c>
      <c r="M709" s="7" t="s">
        <v>1045</v>
      </c>
      <c r="N709" s="7" t="s">
        <v>474</v>
      </c>
      <c r="O709" s="7" t="s">
        <v>31</v>
      </c>
      <c r="P709" s="7" t="s">
        <v>474</v>
      </c>
      <c r="Q709" s="7" t="s">
        <v>31</v>
      </c>
    </row>
    <row r="710" spans="1:17" s="7" customFormat="1" x14ac:dyDescent="0.35">
      <c r="A710" s="7">
        <v>45</v>
      </c>
      <c r="B710" s="7" t="s">
        <v>1040</v>
      </c>
      <c r="C710" s="7">
        <v>2023</v>
      </c>
      <c r="D710" s="7" t="s">
        <v>1041</v>
      </c>
      <c r="E710" s="7" t="s">
        <v>1042</v>
      </c>
      <c r="F710" s="7" t="s">
        <v>1043</v>
      </c>
      <c r="G710" s="7" t="s">
        <v>86</v>
      </c>
      <c r="H710" s="7" t="s">
        <v>1131</v>
      </c>
      <c r="I710" s="7">
        <v>47.717097000000003</v>
      </c>
      <c r="J710" s="7">
        <v>-77.787497000000002</v>
      </c>
      <c r="K710" s="7" t="s">
        <v>41</v>
      </c>
      <c r="L710" s="7" t="s">
        <v>223</v>
      </c>
      <c r="M710" s="7" t="s">
        <v>1045</v>
      </c>
      <c r="N710" s="7" t="s">
        <v>474</v>
      </c>
      <c r="O710" s="7" t="s">
        <v>31</v>
      </c>
      <c r="P710" s="7" t="s">
        <v>474</v>
      </c>
      <c r="Q710" s="7" t="s">
        <v>31</v>
      </c>
    </row>
    <row r="711" spans="1:17" s="7" customFormat="1" x14ac:dyDescent="0.35">
      <c r="A711" s="7">
        <v>45</v>
      </c>
      <c r="B711" s="7" t="s">
        <v>1040</v>
      </c>
      <c r="C711" s="7">
        <v>2023</v>
      </c>
      <c r="D711" s="7" t="s">
        <v>1041</v>
      </c>
      <c r="E711" s="7" t="s">
        <v>1042</v>
      </c>
      <c r="F711" s="7" t="s">
        <v>1043</v>
      </c>
      <c r="G711" s="7" t="s">
        <v>86</v>
      </c>
      <c r="H711" s="7" t="s">
        <v>1133</v>
      </c>
      <c r="I711" s="7">
        <v>48.408684999999998</v>
      </c>
      <c r="J711" s="7">
        <v>-78.366248999999996</v>
      </c>
      <c r="K711" s="7" t="s">
        <v>41</v>
      </c>
      <c r="L711" s="7" t="s">
        <v>223</v>
      </c>
      <c r="M711" s="7" t="s">
        <v>1045</v>
      </c>
      <c r="N711" s="7" t="s">
        <v>474</v>
      </c>
      <c r="O711" s="7" t="s">
        <v>31</v>
      </c>
      <c r="P711" s="7" t="s">
        <v>474</v>
      </c>
      <c r="Q711" s="7" t="s">
        <v>31</v>
      </c>
    </row>
    <row r="712" spans="1:17" s="7" customFormat="1" x14ac:dyDescent="0.35">
      <c r="A712" s="7">
        <v>45</v>
      </c>
      <c r="B712" s="7" t="s">
        <v>1040</v>
      </c>
      <c r="C712" s="7">
        <v>2023</v>
      </c>
      <c r="D712" s="7" t="s">
        <v>1041</v>
      </c>
      <c r="E712" s="7" t="s">
        <v>1042</v>
      </c>
      <c r="F712" s="7" t="s">
        <v>1043</v>
      </c>
      <c r="G712" s="7" t="s">
        <v>86</v>
      </c>
      <c r="H712" s="7" t="s">
        <v>1135</v>
      </c>
      <c r="I712" s="7">
        <v>47.539628999999998</v>
      </c>
      <c r="J712" s="7">
        <v>-77.139233000000004</v>
      </c>
      <c r="K712" s="7" t="s">
        <v>41</v>
      </c>
      <c r="L712" s="7" t="s">
        <v>223</v>
      </c>
      <c r="M712" s="7" t="s">
        <v>1045</v>
      </c>
      <c r="N712" s="7" t="s">
        <v>474</v>
      </c>
      <c r="O712" s="7" t="s">
        <v>31</v>
      </c>
      <c r="P712" s="7" t="s">
        <v>474</v>
      </c>
      <c r="Q712" s="7" t="s">
        <v>31</v>
      </c>
    </row>
    <row r="713" spans="1:17" s="7" customFormat="1" x14ac:dyDescent="0.35">
      <c r="A713" s="7">
        <v>45</v>
      </c>
      <c r="B713" s="7" t="s">
        <v>1040</v>
      </c>
      <c r="C713" s="7">
        <v>2023</v>
      </c>
      <c r="D713" s="7" t="s">
        <v>1041</v>
      </c>
      <c r="E713" s="7" t="s">
        <v>1042</v>
      </c>
      <c r="F713" s="7" t="s">
        <v>1043</v>
      </c>
      <c r="G713" s="7" t="s">
        <v>86</v>
      </c>
      <c r="H713" s="7" t="s">
        <v>1137</v>
      </c>
      <c r="I713" s="7">
        <v>47.375664999999998</v>
      </c>
      <c r="J713" s="7">
        <v>-76.972990999999993</v>
      </c>
      <c r="K713" s="7" t="s">
        <v>41</v>
      </c>
      <c r="L713" s="7" t="s">
        <v>223</v>
      </c>
      <c r="M713" s="7" t="s">
        <v>1045</v>
      </c>
      <c r="N713" s="7" t="s">
        <v>474</v>
      </c>
      <c r="O713" s="7" t="s">
        <v>31</v>
      </c>
      <c r="P713" s="7" t="s">
        <v>474</v>
      </c>
      <c r="Q713" s="7" t="s">
        <v>31</v>
      </c>
    </row>
    <row r="714" spans="1:17" s="7" customFormat="1" x14ac:dyDescent="0.35">
      <c r="A714" s="7">
        <v>45</v>
      </c>
      <c r="B714" s="7" t="s">
        <v>1040</v>
      </c>
      <c r="C714" s="7">
        <v>2023</v>
      </c>
      <c r="D714" s="7" t="s">
        <v>1041</v>
      </c>
      <c r="E714" s="7" t="s">
        <v>1042</v>
      </c>
      <c r="F714" s="7" t="s">
        <v>1043</v>
      </c>
      <c r="G714" s="7" t="s">
        <v>86</v>
      </c>
      <c r="H714" s="7" t="s">
        <v>1139</v>
      </c>
      <c r="I714" s="7">
        <v>47.320591999999998</v>
      </c>
      <c r="J714" s="7">
        <v>-76.938237999999998</v>
      </c>
      <c r="K714" s="7" t="s">
        <v>41</v>
      </c>
      <c r="L714" s="7" t="s">
        <v>223</v>
      </c>
      <c r="M714" s="7" t="s">
        <v>1045</v>
      </c>
      <c r="N714" s="7" t="s">
        <v>474</v>
      </c>
      <c r="O714" s="7" t="s">
        <v>31</v>
      </c>
      <c r="P714" s="7" t="s">
        <v>474</v>
      </c>
      <c r="Q714" s="7" t="s">
        <v>31</v>
      </c>
    </row>
    <row r="715" spans="1:17" s="7" customFormat="1" x14ac:dyDescent="0.35">
      <c r="A715" s="7">
        <v>45</v>
      </c>
      <c r="B715" s="7" t="s">
        <v>1040</v>
      </c>
      <c r="C715" s="7">
        <v>2023</v>
      </c>
      <c r="D715" s="7" t="s">
        <v>1041</v>
      </c>
      <c r="E715" s="7" t="s">
        <v>1042</v>
      </c>
      <c r="F715" s="7" t="s">
        <v>1043</v>
      </c>
      <c r="G715" s="7" t="s">
        <v>86</v>
      </c>
      <c r="H715" s="7" t="s">
        <v>1141</v>
      </c>
      <c r="I715" s="7">
        <v>47.306244</v>
      </c>
      <c r="J715" s="7">
        <v>-76.859016999999994</v>
      </c>
      <c r="K715" s="7" t="s">
        <v>41</v>
      </c>
      <c r="L715" s="7" t="s">
        <v>223</v>
      </c>
      <c r="M715" s="7" t="s">
        <v>1045</v>
      </c>
      <c r="N715" s="7" t="s">
        <v>474</v>
      </c>
      <c r="O715" s="7" t="s">
        <v>31</v>
      </c>
      <c r="P715" s="7" t="s">
        <v>474</v>
      </c>
      <c r="Q715" s="7" t="s">
        <v>31</v>
      </c>
    </row>
    <row r="716" spans="1:17" s="7" customFormat="1" x14ac:dyDescent="0.35">
      <c r="A716" s="7">
        <v>45</v>
      </c>
      <c r="B716" s="7" t="s">
        <v>1040</v>
      </c>
      <c r="C716" s="7">
        <v>2023</v>
      </c>
      <c r="D716" s="7" t="s">
        <v>1041</v>
      </c>
      <c r="E716" s="7" t="s">
        <v>1042</v>
      </c>
      <c r="F716" s="7" t="s">
        <v>1043</v>
      </c>
      <c r="G716" s="7" t="s">
        <v>86</v>
      </c>
      <c r="H716" s="7" t="s">
        <v>1143</v>
      </c>
      <c r="I716" s="7">
        <v>45.420938999999997</v>
      </c>
      <c r="J716" s="7">
        <v>-76.250285000000005</v>
      </c>
      <c r="K716" s="7" t="s">
        <v>41</v>
      </c>
      <c r="L716" s="7" t="s">
        <v>223</v>
      </c>
      <c r="M716" s="7" t="s">
        <v>1045</v>
      </c>
      <c r="N716" s="7" t="s">
        <v>474</v>
      </c>
      <c r="O716" s="7" t="s">
        <v>31</v>
      </c>
      <c r="P716" s="7" t="s">
        <v>474</v>
      </c>
      <c r="Q716" s="7" t="s">
        <v>31</v>
      </c>
    </row>
    <row r="717" spans="1:17" s="7" customFormat="1" x14ac:dyDescent="0.35">
      <c r="A717" s="7">
        <v>45</v>
      </c>
      <c r="B717" s="7" t="s">
        <v>1040</v>
      </c>
      <c r="C717" s="7">
        <v>2023</v>
      </c>
      <c r="D717" s="7" t="s">
        <v>1041</v>
      </c>
      <c r="E717" s="7" t="s">
        <v>1042</v>
      </c>
      <c r="F717" s="7" t="s">
        <v>1043</v>
      </c>
      <c r="G717" s="7" t="s">
        <v>86</v>
      </c>
      <c r="H717" s="7" t="s">
        <v>1145</v>
      </c>
      <c r="I717" s="7">
        <v>45.335875000000001</v>
      </c>
      <c r="J717" s="7">
        <v>-76.287205</v>
      </c>
      <c r="K717" s="7" t="s">
        <v>41</v>
      </c>
      <c r="L717" s="7" t="s">
        <v>223</v>
      </c>
      <c r="M717" s="7" t="s">
        <v>1045</v>
      </c>
      <c r="N717" s="7" t="s">
        <v>474</v>
      </c>
      <c r="O717" s="7" t="s">
        <v>31</v>
      </c>
      <c r="P717" s="7" t="s">
        <v>474</v>
      </c>
      <c r="Q717" s="7" t="s">
        <v>31</v>
      </c>
    </row>
    <row r="718" spans="1:17" s="7" customFormat="1" x14ac:dyDescent="0.35">
      <c r="A718" s="7">
        <v>45</v>
      </c>
      <c r="B718" s="7" t="s">
        <v>1040</v>
      </c>
      <c r="C718" s="7">
        <v>2023</v>
      </c>
      <c r="D718" s="7" t="s">
        <v>1041</v>
      </c>
      <c r="E718" s="7" t="s">
        <v>1042</v>
      </c>
      <c r="F718" s="7" t="s">
        <v>1043</v>
      </c>
      <c r="G718" s="7" t="s">
        <v>86</v>
      </c>
      <c r="H718" s="7" t="s">
        <v>1147</v>
      </c>
      <c r="I718" s="7">
        <v>45.267435999999996</v>
      </c>
      <c r="J718" s="7">
        <v>-76.250181999999995</v>
      </c>
      <c r="K718" s="7" t="s">
        <v>41</v>
      </c>
      <c r="L718" s="7" t="s">
        <v>223</v>
      </c>
      <c r="M718" s="7" t="s">
        <v>1045</v>
      </c>
      <c r="N718" s="7" t="s">
        <v>474</v>
      </c>
      <c r="O718" s="7" t="s">
        <v>31</v>
      </c>
      <c r="P718" s="7" t="s">
        <v>474</v>
      </c>
      <c r="Q718" s="7" t="s">
        <v>31</v>
      </c>
    </row>
    <row r="719" spans="1:17" s="7" customFormat="1" x14ac:dyDescent="0.35">
      <c r="A719" s="7">
        <v>45</v>
      </c>
      <c r="B719" s="7" t="s">
        <v>1040</v>
      </c>
      <c r="C719" s="7">
        <v>2023</v>
      </c>
      <c r="D719" s="7" t="s">
        <v>1041</v>
      </c>
      <c r="E719" s="7" t="s">
        <v>1042</v>
      </c>
      <c r="F719" s="7" t="s">
        <v>1043</v>
      </c>
      <c r="G719" s="7" t="s">
        <v>86</v>
      </c>
      <c r="H719" s="7" t="s">
        <v>1149</v>
      </c>
      <c r="I719" s="7">
        <v>45.183250000000001</v>
      </c>
      <c r="J719" s="7">
        <v>-76.124979999999994</v>
      </c>
      <c r="K719" s="7" t="s">
        <v>41</v>
      </c>
      <c r="L719" s="7" t="s">
        <v>223</v>
      </c>
      <c r="M719" s="7" t="s">
        <v>1045</v>
      </c>
      <c r="N719" s="7" t="s">
        <v>474</v>
      </c>
      <c r="O719" s="7" t="s">
        <v>31</v>
      </c>
      <c r="P719" s="7" t="s">
        <v>474</v>
      </c>
      <c r="Q719" s="7" t="s">
        <v>31</v>
      </c>
    </row>
    <row r="720" spans="1:17" s="7" customFormat="1" x14ac:dyDescent="0.35">
      <c r="A720" s="7">
        <v>45</v>
      </c>
      <c r="B720" s="7" t="s">
        <v>1040</v>
      </c>
      <c r="C720" s="7">
        <v>2023</v>
      </c>
      <c r="D720" s="7" t="s">
        <v>1041</v>
      </c>
      <c r="E720" s="7" t="s">
        <v>1042</v>
      </c>
      <c r="F720" s="7" t="s">
        <v>1043</v>
      </c>
      <c r="G720" s="7" t="s">
        <v>86</v>
      </c>
      <c r="H720" s="7" t="s">
        <v>1151</v>
      </c>
      <c r="I720" s="7">
        <v>45.142513999999998</v>
      </c>
      <c r="J720" s="7">
        <v>-76.144164000000004</v>
      </c>
      <c r="K720" s="7" t="s">
        <v>41</v>
      </c>
      <c r="L720" s="7" t="s">
        <v>223</v>
      </c>
      <c r="M720" s="7" t="s">
        <v>1045</v>
      </c>
      <c r="N720" s="7" t="s">
        <v>474</v>
      </c>
      <c r="O720" s="7" t="s">
        <v>31</v>
      </c>
      <c r="P720" s="7" t="s">
        <v>474</v>
      </c>
      <c r="Q720" s="7" t="s">
        <v>31</v>
      </c>
    </row>
    <row r="721" spans="1:17" s="7" customFormat="1" x14ac:dyDescent="0.35">
      <c r="A721" s="7">
        <v>45</v>
      </c>
      <c r="B721" s="7" t="s">
        <v>1040</v>
      </c>
      <c r="C721" s="7">
        <v>2023</v>
      </c>
      <c r="D721" s="7" t="s">
        <v>1041</v>
      </c>
      <c r="E721" s="7" t="s">
        <v>1042</v>
      </c>
      <c r="F721" s="7" t="s">
        <v>1043</v>
      </c>
      <c r="G721" s="7" t="s">
        <v>86</v>
      </c>
      <c r="H721" s="7" t="s">
        <v>1153</v>
      </c>
      <c r="I721" s="7">
        <v>44.971065000000003</v>
      </c>
      <c r="J721" s="7">
        <v>-76.407559000000006</v>
      </c>
      <c r="K721" s="7" t="s">
        <v>41</v>
      </c>
      <c r="L721" s="7" t="s">
        <v>223</v>
      </c>
      <c r="M721" s="7" t="s">
        <v>1045</v>
      </c>
      <c r="N721" s="7" t="s">
        <v>474</v>
      </c>
      <c r="O721" s="7" t="s">
        <v>31</v>
      </c>
      <c r="P721" s="7" t="s">
        <v>474</v>
      </c>
      <c r="Q721" s="7" t="s">
        <v>31</v>
      </c>
    </row>
    <row r="722" spans="1:17" s="7" customFormat="1" x14ac:dyDescent="0.35">
      <c r="A722" s="7">
        <v>45</v>
      </c>
      <c r="B722" s="7" t="s">
        <v>1040</v>
      </c>
      <c r="C722" s="7">
        <v>2023</v>
      </c>
      <c r="D722" s="7" t="s">
        <v>1041</v>
      </c>
      <c r="E722" s="7" t="s">
        <v>1042</v>
      </c>
      <c r="F722" s="7" t="s">
        <v>1043</v>
      </c>
      <c r="G722" s="7" t="s">
        <v>86</v>
      </c>
      <c r="H722" s="7" t="s">
        <v>1155</v>
      </c>
      <c r="I722" s="7">
        <v>45.426163000000003</v>
      </c>
      <c r="J722" s="7">
        <v>-75.668897999999999</v>
      </c>
      <c r="K722" s="7" t="s">
        <v>41</v>
      </c>
      <c r="L722" s="7" t="s">
        <v>223</v>
      </c>
      <c r="M722" s="7" t="s">
        <v>1045</v>
      </c>
      <c r="N722" s="7" t="s">
        <v>474</v>
      </c>
      <c r="O722" s="7" t="s">
        <v>31</v>
      </c>
      <c r="P722" s="7" t="s">
        <v>474</v>
      </c>
      <c r="Q722" s="7" t="s">
        <v>31</v>
      </c>
    </row>
    <row r="723" spans="1:17" s="7" customFormat="1" x14ac:dyDescent="0.35">
      <c r="A723" s="7">
        <v>45</v>
      </c>
      <c r="B723" s="7" t="s">
        <v>1040</v>
      </c>
      <c r="C723" s="7">
        <v>2023</v>
      </c>
      <c r="D723" s="7" t="s">
        <v>1041</v>
      </c>
      <c r="E723" s="7" t="s">
        <v>1042</v>
      </c>
      <c r="F723" s="7" t="s">
        <v>1043</v>
      </c>
      <c r="G723" s="7" t="s">
        <v>86</v>
      </c>
      <c r="H723" s="7" t="s">
        <v>1157</v>
      </c>
      <c r="I723" s="7">
        <v>45.381593000000002</v>
      </c>
      <c r="J723" s="7">
        <v>-75.696539999999999</v>
      </c>
      <c r="K723" s="7" t="s">
        <v>41</v>
      </c>
      <c r="L723" s="7" t="s">
        <v>223</v>
      </c>
      <c r="M723" s="7" t="s">
        <v>1045</v>
      </c>
      <c r="N723" s="7" t="s">
        <v>474</v>
      </c>
      <c r="O723" s="7" t="s">
        <v>31</v>
      </c>
      <c r="P723" s="7" t="s">
        <v>474</v>
      </c>
      <c r="Q723" s="7" t="s">
        <v>31</v>
      </c>
    </row>
    <row r="724" spans="1:17" s="7" customFormat="1" x14ac:dyDescent="0.35">
      <c r="A724" s="7">
        <v>45</v>
      </c>
      <c r="B724" s="7" t="s">
        <v>1040</v>
      </c>
      <c r="C724" s="7">
        <v>2023</v>
      </c>
      <c r="D724" s="7" t="s">
        <v>1041</v>
      </c>
      <c r="E724" s="7" t="s">
        <v>1042</v>
      </c>
      <c r="F724" s="7" t="s">
        <v>1043</v>
      </c>
      <c r="G724" s="7" t="s">
        <v>86</v>
      </c>
      <c r="H724" s="7" t="s">
        <v>1159</v>
      </c>
      <c r="I724" s="7">
        <v>45.260472999999998</v>
      </c>
      <c r="J724" s="7">
        <v>-75.707813999999999</v>
      </c>
      <c r="K724" s="7" t="s">
        <v>41</v>
      </c>
      <c r="L724" s="7" t="s">
        <v>223</v>
      </c>
      <c r="M724" s="7" t="s">
        <v>1045</v>
      </c>
      <c r="N724" s="7" t="s">
        <v>474</v>
      </c>
      <c r="O724" s="7" t="s">
        <v>31</v>
      </c>
      <c r="P724" s="7" t="s">
        <v>474</v>
      </c>
      <c r="Q724" s="7" t="s">
        <v>31</v>
      </c>
    </row>
    <row r="725" spans="1:17" s="7" customFormat="1" x14ac:dyDescent="0.35">
      <c r="A725" s="7">
        <v>45</v>
      </c>
      <c r="B725" s="7" t="s">
        <v>1040</v>
      </c>
      <c r="C725" s="7">
        <v>2023</v>
      </c>
      <c r="D725" s="7" t="s">
        <v>1041</v>
      </c>
      <c r="E725" s="7" t="s">
        <v>1042</v>
      </c>
      <c r="F725" s="7" t="s">
        <v>1043</v>
      </c>
      <c r="G725" s="7" t="s">
        <v>86</v>
      </c>
      <c r="H725" s="7" t="s">
        <v>1161</v>
      </c>
      <c r="I725" s="7">
        <v>45.245584000000001</v>
      </c>
      <c r="J725" s="7">
        <v>-75.702945999999997</v>
      </c>
      <c r="K725" s="7" t="s">
        <v>41</v>
      </c>
      <c r="L725" s="7" t="s">
        <v>223</v>
      </c>
      <c r="M725" s="7" t="s">
        <v>1045</v>
      </c>
      <c r="N725" s="7" t="s">
        <v>474</v>
      </c>
      <c r="O725" s="7" t="s">
        <v>31</v>
      </c>
      <c r="P725" s="7" t="s">
        <v>474</v>
      </c>
      <c r="Q725" s="7" t="s">
        <v>31</v>
      </c>
    </row>
    <row r="726" spans="1:17" s="7" customFormat="1" x14ac:dyDescent="0.35">
      <c r="A726" s="7">
        <v>45</v>
      </c>
      <c r="B726" s="7" t="s">
        <v>1040</v>
      </c>
      <c r="C726" s="7">
        <v>2023</v>
      </c>
      <c r="D726" s="7" t="s">
        <v>1041</v>
      </c>
      <c r="E726" s="7" t="s">
        <v>1042</v>
      </c>
      <c r="F726" s="7" t="s">
        <v>1043</v>
      </c>
      <c r="G726" s="7" t="s">
        <v>86</v>
      </c>
      <c r="H726" s="7" t="s">
        <v>1163</v>
      </c>
      <c r="I726" s="7">
        <v>44.98207</v>
      </c>
      <c r="J726" s="7">
        <v>-75.794899999999998</v>
      </c>
      <c r="K726" s="7" t="s">
        <v>41</v>
      </c>
      <c r="L726" s="7" t="s">
        <v>223</v>
      </c>
      <c r="M726" s="7" t="s">
        <v>1045</v>
      </c>
      <c r="N726" s="7" t="s">
        <v>474</v>
      </c>
      <c r="O726" s="7" t="s">
        <v>31</v>
      </c>
      <c r="P726" s="7" t="s">
        <v>474</v>
      </c>
      <c r="Q726" s="7" t="s">
        <v>31</v>
      </c>
    </row>
    <row r="727" spans="1:17" s="7" customFormat="1" x14ac:dyDescent="0.35">
      <c r="A727" s="7">
        <v>45</v>
      </c>
      <c r="B727" s="7" t="s">
        <v>1040</v>
      </c>
      <c r="C727" s="7">
        <v>2023</v>
      </c>
      <c r="D727" s="7" t="s">
        <v>1041</v>
      </c>
      <c r="E727" s="7" t="s">
        <v>1042</v>
      </c>
      <c r="F727" s="7" t="s">
        <v>1043</v>
      </c>
      <c r="G727" s="7" t="s">
        <v>86</v>
      </c>
      <c r="H727" s="7" t="s">
        <v>1165</v>
      </c>
      <c r="I727" s="7">
        <v>44.896684</v>
      </c>
      <c r="J727" s="7">
        <v>-76.025728000000001</v>
      </c>
      <c r="K727" s="7" t="s">
        <v>41</v>
      </c>
      <c r="L727" s="7" t="s">
        <v>223</v>
      </c>
      <c r="M727" s="7" t="s">
        <v>1045</v>
      </c>
      <c r="N727" s="7" t="s">
        <v>474</v>
      </c>
      <c r="O727" s="7" t="s">
        <v>31</v>
      </c>
      <c r="P727" s="7" t="s">
        <v>474</v>
      </c>
      <c r="Q727" s="7" t="s">
        <v>31</v>
      </c>
    </row>
    <row r="728" spans="1:17" s="7" customFormat="1" x14ac:dyDescent="0.35">
      <c r="A728" s="7">
        <v>45</v>
      </c>
      <c r="B728" s="7" t="s">
        <v>1040</v>
      </c>
      <c r="C728" s="7">
        <v>2023</v>
      </c>
      <c r="D728" s="7" t="s">
        <v>1041</v>
      </c>
      <c r="E728" s="7" t="s">
        <v>1042</v>
      </c>
      <c r="F728" s="7" t="s">
        <v>1043</v>
      </c>
      <c r="G728" s="7" t="s">
        <v>161</v>
      </c>
      <c r="H728" s="7" t="s">
        <v>1167</v>
      </c>
      <c r="I728" s="7">
        <v>45.566648999999998</v>
      </c>
      <c r="J728" s="7">
        <v>-74.335436000000001</v>
      </c>
      <c r="K728" s="7" t="s">
        <v>41</v>
      </c>
      <c r="L728" s="7" t="s">
        <v>223</v>
      </c>
      <c r="M728" s="7" t="s">
        <v>1045</v>
      </c>
      <c r="N728" s="7" t="s">
        <v>474</v>
      </c>
      <c r="O728" s="7" t="s">
        <v>31</v>
      </c>
      <c r="P728" s="7" t="s">
        <v>474</v>
      </c>
      <c r="Q728" s="7" t="s">
        <v>31</v>
      </c>
    </row>
    <row r="729" spans="1:17" s="7" customFormat="1" x14ac:dyDescent="0.35">
      <c r="A729" s="7">
        <v>45</v>
      </c>
      <c r="B729" s="7" t="s">
        <v>1040</v>
      </c>
      <c r="C729" s="7">
        <v>2023</v>
      </c>
      <c r="D729" s="7" t="s">
        <v>1041</v>
      </c>
      <c r="E729" s="7" t="s">
        <v>1042</v>
      </c>
      <c r="F729" s="7" t="s">
        <v>1043</v>
      </c>
      <c r="G729" s="7" t="s">
        <v>161</v>
      </c>
      <c r="H729" s="7" t="s">
        <v>1169</v>
      </c>
      <c r="I729" s="7">
        <v>45.662821000000001</v>
      </c>
      <c r="J729" s="7">
        <v>-74.333783999999994</v>
      </c>
      <c r="K729" s="7" t="s">
        <v>41</v>
      </c>
      <c r="L729" s="7" t="s">
        <v>223</v>
      </c>
      <c r="M729" s="7" t="s">
        <v>1045</v>
      </c>
      <c r="N729" s="7" t="s">
        <v>474</v>
      </c>
      <c r="O729" s="7" t="s">
        <v>31</v>
      </c>
      <c r="P729" s="7" t="s">
        <v>474</v>
      </c>
      <c r="Q729" s="7" t="s">
        <v>31</v>
      </c>
    </row>
    <row r="730" spans="1:17" s="7" customFormat="1" x14ac:dyDescent="0.35">
      <c r="A730" s="7">
        <v>45</v>
      </c>
      <c r="B730" s="7" t="s">
        <v>1040</v>
      </c>
      <c r="C730" s="7">
        <v>2023</v>
      </c>
      <c r="D730" s="7" t="s">
        <v>1041</v>
      </c>
      <c r="E730" s="7" t="s">
        <v>1042</v>
      </c>
      <c r="F730" s="7" t="s">
        <v>1043</v>
      </c>
      <c r="G730" s="7" t="s">
        <v>161</v>
      </c>
      <c r="H730" s="7" t="s">
        <v>1171</v>
      </c>
      <c r="I730" s="7">
        <v>45.895515000000003</v>
      </c>
      <c r="J730" s="7">
        <v>-74.115753999999995</v>
      </c>
      <c r="K730" s="7" t="s">
        <v>41</v>
      </c>
      <c r="L730" s="7" t="s">
        <v>223</v>
      </c>
      <c r="M730" s="7" t="s">
        <v>1045</v>
      </c>
      <c r="N730" s="7" t="s">
        <v>474</v>
      </c>
      <c r="O730" s="7" t="s">
        <v>31</v>
      </c>
      <c r="P730" s="7" t="s">
        <v>474</v>
      </c>
      <c r="Q730" s="7" t="s">
        <v>31</v>
      </c>
    </row>
    <row r="731" spans="1:17" s="7" customFormat="1" x14ac:dyDescent="0.35">
      <c r="A731" s="7">
        <v>45</v>
      </c>
      <c r="B731" s="7" t="s">
        <v>1040</v>
      </c>
      <c r="C731" s="7">
        <v>2023</v>
      </c>
      <c r="D731" s="7" t="s">
        <v>1041</v>
      </c>
      <c r="E731" s="7" t="s">
        <v>1042</v>
      </c>
      <c r="F731" s="7" t="s">
        <v>1043</v>
      </c>
      <c r="G731" s="7" t="s">
        <v>161</v>
      </c>
      <c r="H731" s="7" t="s">
        <v>1173</v>
      </c>
      <c r="I731" s="7">
        <v>46.046140999999999</v>
      </c>
      <c r="J731" s="7">
        <v>-74.252483999999995</v>
      </c>
      <c r="K731" s="7" t="s">
        <v>41</v>
      </c>
      <c r="L731" s="7" t="s">
        <v>223</v>
      </c>
      <c r="M731" s="7" t="s">
        <v>1045</v>
      </c>
      <c r="N731" s="7" t="s">
        <v>474</v>
      </c>
      <c r="O731" s="7" t="s">
        <v>31</v>
      </c>
      <c r="P731" s="7" t="s">
        <v>474</v>
      </c>
      <c r="Q731" s="7" t="s">
        <v>31</v>
      </c>
    </row>
    <row r="732" spans="1:17" s="7" customFormat="1" x14ac:dyDescent="0.35">
      <c r="A732" s="7">
        <v>45</v>
      </c>
      <c r="B732" s="7" t="s">
        <v>1040</v>
      </c>
      <c r="C732" s="7">
        <v>2023</v>
      </c>
      <c r="D732" s="7" t="s">
        <v>1041</v>
      </c>
      <c r="E732" s="7" t="s">
        <v>1042</v>
      </c>
      <c r="F732" s="7" t="s">
        <v>1043</v>
      </c>
      <c r="G732" s="7" t="s">
        <v>161</v>
      </c>
      <c r="H732" s="7" t="s">
        <v>1175</v>
      </c>
      <c r="I732" s="7">
        <v>45.645046000000001</v>
      </c>
      <c r="J732" s="7">
        <v>-74.689758999999995</v>
      </c>
      <c r="K732" s="7" t="s">
        <v>41</v>
      </c>
      <c r="L732" s="7" t="s">
        <v>223</v>
      </c>
      <c r="M732" s="7" t="s">
        <v>1045</v>
      </c>
      <c r="N732" s="7" t="s">
        <v>474</v>
      </c>
      <c r="O732" s="7" t="s">
        <v>31</v>
      </c>
      <c r="P732" s="7" t="s">
        <v>474</v>
      </c>
      <c r="Q732" s="7" t="s">
        <v>31</v>
      </c>
    </row>
    <row r="733" spans="1:17" s="7" customFormat="1" x14ac:dyDescent="0.35">
      <c r="A733" s="7">
        <v>45</v>
      </c>
      <c r="B733" s="7" t="s">
        <v>1040</v>
      </c>
      <c r="C733" s="7">
        <v>2023</v>
      </c>
      <c r="D733" s="7" t="s">
        <v>1041</v>
      </c>
      <c r="E733" s="7" t="s">
        <v>1042</v>
      </c>
      <c r="F733" s="7" t="s">
        <v>1043</v>
      </c>
      <c r="G733" s="7" t="s">
        <v>161</v>
      </c>
      <c r="H733" s="7" t="s">
        <v>1177</v>
      </c>
      <c r="I733" s="7">
        <v>46.01502</v>
      </c>
      <c r="J733" s="7">
        <v>-74.627717000000004</v>
      </c>
      <c r="K733" s="7" t="s">
        <v>41</v>
      </c>
      <c r="L733" s="7" t="s">
        <v>223</v>
      </c>
      <c r="M733" s="7" t="s">
        <v>1045</v>
      </c>
      <c r="N733" s="7" t="s">
        <v>474</v>
      </c>
      <c r="O733" s="7" t="s">
        <v>31</v>
      </c>
      <c r="P733" s="7" t="s">
        <v>474</v>
      </c>
      <c r="Q733" s="7" t="s">
        <v>31</v>
      </c>
    </row>
    <row r="734" spans="1:17" s="7" customFormat="1" x14ac:dyDescent="0.35">
      <c r="A734" s="7">
        <v>45</v>
      </c>
      <c r="B734" s="7" t="s">
        <v>1040</v>
      </c>
      <c r="C734" s="7">
        <v>2023</v>
      </c>
      <c r="D734" s="7" t="s">
        <v>1041</v>
      </c>
      <c r="E734" s="7" t="s">
        <v>1042</v>
      </c>
      <c r="F734" s="7" t="s">
        <v>1043</v>
      </c>
      <c r="G734" s="7" t="s">
        <v>161</v>
      </c>
      <c r="H734" s="7" t="s">
        <v>1179</v>
      </c>
      <c r="I734" s="7">
        <v>46.211427999999998</v>
      </c>
      <c r="J734" s="7">
        <v>-74.589326</v>
      </c>
      <c r="K734" s="7" t="s">
        <v>41</v>
      </c>
      <c r="L734" s="7" t="s">
        <v>223</v>
      </c>
      <c r="M734" s="7" t="s">
        <v>1045</v>
      </c>
      <c r="N734" s="7" t="s">
        <v>474</v>
      </c>
      <c r="O734" s="7" t="s">
        <v>31</v>
      </c>
      <c r="P734" s="7" t="s">
        <v>474</v>
      </c>
      <c r="Q734" s="7" t="s">
        <v>31</v>
      </c>
    </row>
    <row r="735" spans="1:17" s="7" customFormat="1" x14ac:dyDescent="0.35">
      <c r="A735" s="7">
        <v>45</v>
      </c>
      <c r="B735" s="7" t="s">
        <v>1040</v>
      </c>
      <c r="C735" s="7">
        <v>2023</v>
      </c>
      <c r="D735" s="7" t="s">
        <v>1041</v>
      </c>
      <c r="E735" s="7" t="s">
        <v>1042</v>
      </c>
      <c r="F735" s="7" t="s">
        <v>1043</v>
      </c>
      <c r="G735" s="7" t="s">
        <v>161</v>
      </c>
      <c r="H735" s="7" t="s">
        <v>1181</v>
      </c>
      <c r="I735" s="7">
        <v>46.281376999999999</v>
      </c>
      <c r="J735" s="7">
        <v>-74.734043999999997</v>
      </c>
      <c r="K735" s="7" t="s">
        <v>41</v>
      </c>
      <c r="L735" s="7" t="s">
        <v>223</v>
      </c>
      <c r="M735" s="7" t="s">
        <v>1045</v>
      </c>
      <c r="N735" s="7" t="s">
        <v>474</v>
      </c>
      <c r="O735" s="7" t="s">
        <v>31</v>
      </c>
      <c r="P735" s="7" t="s">
        <v>474</v>
      </c>
      <c r="Q735" s="7" t="s">
        <v>31</v>
      </c>
    </row>
    <row r="736" spans="1:17" s="7" customFormat="1" x14ac:dyDescent="0.35">
      <c r="A736" s="7">
        <v>45</v>
      </c>
      <c r="B736" s="7" t="s">
        <v>1040</v>
      </c>
      <c r="C736" s="7">
        <v>2023</v>
      </c>
      <c r="D736" s="7" t="s">
        <v>1041</v>
      </c>
      <c r="E736" s="7" t="s">
        <v>1042</v>
      </c>
      <c r="F736" s="7" t="s">
        <v>1043</v>
      </c>
      <c r="G736" s="7" t="s">
        <v>161</v>
      </c>
      <c r="H736" s="7" t="s">
        <v>1183</v>
      </c>
      <c r="I736" s="7">
        <v>46.410186000000003</v>
      </c>
      <c r="J736" s="7">
        <v>-74.868690999999998</v>
      </c>
      <c r="K736" s="7" t="s">
        <v>41</v>
      </c>
      <c r="L736" s="7" t="s">
        <v>223</v>
      </c>
      <c r="M736" s="7" t="s">
        <v>1045</v>
      </c>
      <c r="N736" s="7" t="s">
        <v>474</v>
      </c>
      <c r="O736" s="7" t="s">
        <v>31</v>
      </c>
      <c r="P736" s="7" t="s">
        <v>474</v>
      </c>
      <c r="Q736" s="7" t="s">
        <v>31</v>
      </c>
    </row>
    <row r="737" spans="1:17" s="7" customFormat="1" x14ac:dyDescent="0.35">
      <c r="A737" s="7">
        <v>45</v>
      </c>
      <c r="B737" s="7" t="s">
        <v>1040</v>
      </c>
      <c r="C737" s="7">
        <v>2023</v>
      </c>
      <c r="D737" s="7" t="s">
        <v>1041</v>
      </c>
      <c r="E737" s="7" t="s">
        <v>1042</v>
      </c>
      <c r="F737" s="7" t="s">
        <v>1043</v>
      </c>
      <c r="G737" s="7" t="s">
        <v>161</v>
      </c>
      <c r="H737" s="7" t="s">
        <v>1185</v>
      </c>
      <c r="I737" s="7">
        <v>46.558874000000003</v>
      </c>
      <c r="J737" s="7">
        <v>-75.494423999999995</v>
      </c>
      <c r="K737" s="7" t="s">
        <v>41</v>
      </c>
      <c r="L737" s="7" t="s">
        <v>223</v>
      </c>
      <c r="M737" s="7" t="s">
        <v>1045</v>
      </c>
      <c r="N737" s="7" t="s">
        <v>474</v>
      </c>
      <c r="O737" s="7" t="s">
        <v>31</v>
      </c>
      <c r="P737" s="7" t="s">
        <v>474</v>
      </c>
      <c r="Q737" s="7" t="s">
        <v>31</v>
      </c>
    </row>
    <row r="738" spans="1:17" s="7" customFormat="1" x14ac:dyDescent="0.35">
      <c r="A738" s="7">
        <v>45</v>
      </c>
      <c r="B738" s="7" t="s">
        <v>1040</v>
      </c>
      <c r="C738" s="7">
        <v>2023</v>
      </c>
      <c r="D738" s="7" t="s">
        <v>1041</v>
      </c>
      <c r="E738" s="7" t="s">
        <v>1042</v>
      </c>
      <c r="F738" s="7" t="s">
        <v>1043</v>
      </c>
      <c r="G738" s="7" t="s">
        <v>161</v>
      </c>
      <c r="H738" s="7" t="s">
        <v>1187</v>
      </c>
      <c r="I738" s="7">
        <v>46.083880000000001</v>
      </c>
      <c r="J738" s="7">
        <v>-75.616709999999998</v>
      </c>
      <c r="K738" s="7" t="s">
        <v>41</v>
      </c>
      <c r="L738" s="7" t="s">
        <v>223</v>
      </c>
      <c r="M738" s="7" t="s">
        <v>1045</v>
      </c>
      <c r="N738" s="7" t="s">
        <v>474</v>
      </c>
      <c r="O738" s="7" t="s">
        <v>31</v>
      </c>
      <c r="P738" s="7" t="s">
        <v>474</v>
      </c>
      <c r="Q738" s="7" t="s">
        <v>31</v>
      </c>
    </row>
    <row r="739" spans="1:17" s="7" customFormat="1" x14ac:dyDescent="0.35">
      <c r="A739" s="7">
        <v>45</v>
      </c>
      <c r="B739" s="7" t="s">
        <v>1040</v>
      </c>
      <c r="C739" s="7">
        <v>2023</v>
      </c>
      <c r="D739" s="7" t="s">
        <v>1041</v>
      </c>
      <c r="E739" s="7" t="s">
        <v>1042</v>
      </c>
      <c r="F739" s="7" t="s">
        <v>1043</v>
      </c>
      <c r="G739" s="7" t="s">
        <v>161</v>
      </c>
      <c r="H739" s="7" t="s">
        <v>1189</v>
      </c>
      <c r="I739" s="7">
        <v>45.913873000000002</v>
      </c>
      <c r="J739" s="7">
        <v>-75.597997000000007</v>
      </c>
      <c r="K739" s="7" t="s">
        <v>41</v>
      </c>
      <c r="L739" s="7" t="s">
        <v>223</v>
      </c>
      <c r="M739" s="7" t="s">
        <v>1045</v>
      </c>
      <c r="N739" s="7" t="s">
        <v>474</v>
      </c>
      <c r="O739" s="7" t="s">
        <v>31</v>
      </c>
      <c r="P739" s="7" t="s">
        <v>474</v>
      </c>
      <c r="Q739" s="7" t="s">
        <v>31</v>
      </c>
    </row>
    <row r="740" spans="1:17" s="7" customFormat="1" x14ac:dyDescent="0.35">
      <c r="A740" s="7">
        <v>45</v>
      </c>
      <c r="B740" s="7" t="s">
        <v>1040</v>
      </c>
      <c r="C740" s="7">
        <v>2023</v>
      </c>
      <c r="D740" s="7" t="s">
        <v>1041</v>
      </c>
      <c r="E740" s="7" t="s">
        <v>1042</v>
      </c>
      <c r="F740" s="7" t="s">
        <v>1043</v>
      </c>
      <c r="G740" s="7" t="s">
        <v>161</v>
      </c>
      <c r="H740" s="7" t="s">
        <v>1191</v>
      </c>
      <c r="I740" s="7">
        <v>45.769280000000002</v>
      </c>
      <c r="J740" s="7">
        <v>-75.591049999999996</v>
      </c>
      <c r="K740" s="7" t="s">
        <v>41</v>
      </c>
      <c r="L740" s="7" t="s">
        <v>223</v>
      </c>
      <c r="M740" s="7" t="s">
        <v>1045</v>
      </c>
      <c r="N740" s="7" t="s">
        <v>474</v>
      </c>
      <c r="O740" s="7" t="s">
        <v>31</v>
      </c>
      <c r="P740" s="7" t="s">
        <v>474</v>
      </c>
      <c r="Q740" s="7" t="s">
        <v>31</v>
      </c>
    </row>
    <row r="741" spans="1:17" s="7" customFormat="1" x14ac:dyDescent="0.35">
      <c r="A741" s="7">
        <v>45</v>
      </c>
      <c r="B741" s="7" t="s">
        <v>1040</v>
      </c>
      <c r="C741" s="7">
        <v>2023</v>
      </c>
      <c r="D741" s="7" t="s">
        <v>1041</v>
      </c>
      <c r="E741" s="7" t="s">
        <v>1042</v>
      </c>
      <c r="F741" s="7" t="s">
        <v>1043</v>
      </c>
      <c r="G741" s="7" t="s">
        <v>161</v>
      </c>
      <c r="H741" s="7" t="s">
        <v>1193</v>
      </c>
      <c r="I741" s="7">
        <v>45.592261999999998</v>
      </c>
      <c r="J741" s="7">
        <v>-75.420030999999994</v>
      </c>
      <c r="K741" s="7" t="s">
        <v>41</v>
      </c>
      <c r="L741" s="7" t="s">
        <v>223</v>
      </c>
      <c r="M741" s="7" t="s">
        <v>1045</v>
      </c>
      <c r="N741" s="7" t="s">
        <v>474</v>
      </c>
      <c r="O741" s="7" t="s">
        <v>31</v>
      </c>
      <c r="P741" s="7" t="s">
        <v>474</v>
      </c>
      <c r="Q741" s="7" t="s">
        <v>31</v>
      </c>
    </row>
    <row r="742" spans="1:17" s="7" customFormat="1" x14ac:dyDescent="0.35">
      <c r="A742" s="7">
        <v>45</v>
      </c>
      <c r="B742" s="7" t="s">
        <v>1040</v>
      </c>
      <c r="C742" s="7">
        <v>2023</v>
      </c>
      <c r="D742" s="7" t="s">
        <v>1041</v>
      </c>
      <c r="E742" s="7" t="s">
        <v>1042</v>
      </c>
      <c r="F742" s="7" t="s">
        <v>1043</v>
      </c>
      <c r="G742" s="7" t="s">
        <v>86</v>
      </c>
      <c r="H742" s="7" t="s">
        <v>1195</v>
      </c>
      <c r="I742" s="7">
        <v>45.537238000000002</v>
      </c>
      <c r="J742" s="7">
        <v>-74.996097000000006</v>
      </c>
      <c r="K742" s="7" t="s">
        <v>41</v>
      </c>
      <c r="L742" s="7" t="s">
        <v>223</v>
      </c>
      <c r="M742" s="7" t="s">
        <v>1045</v>
      </c>
      <c r="N742" s="7" t="s">
        <v>474</v>
      </c>
      <c r="O742" s="7" t="s">
        <v>31</v>
      </c>
      <c r="P742" s="7" t="s">
        <v>474</v>
      </c>
      <c r="Q742" s="7" t="s">
        <v>31</v>
      </c>
    </row>
    <row r="743" spans="1:17" s="7" customFormat="1" x14ac:dyDescent="0.35">
      <c r="A743" s="7">
        <v>45</v>
      </c>
      <c r="B743" s="7" t="s">
        <v>1040</v>
      </c>
      <c r="C743" s="7">
        <v>2023</v>
      </c>
      <c r="D743" s="7" t="s">
        <v>1041</v>
      </c>
      <c r="E743" s="7" t="s">
        <v>1042</v>
      </c>
      <c r="F743" s="7" t="s">
        <v>1043</v>
      </c>
      <c r="G743" s="7" t="s">
        <v>86</v>
      </c>
      <c r="H743" s="7" t="s">
        <v>1197</v>
      </c>
      <c r="I743" s="7">
        <v>45.318638</v>
      </c>
      <c r="J743" s="7">
        <v>-75.092980999999995</v>
      </c>
      <c r="K743" s="7" t="s">
        <v>41</v>
      </c>
      <c r="L743" s="7" t="s">
        <v>223</v>
      </c>
      <c r="M743" s="7" t="s">
        <v>1045</v>
      </c>
      <c r="N743" s="7" t="s">
        <v>474</v>
      </c>
      <c r="O743" s="7" t="s">
        <v>31</v>
      </c>
      <c r="P743" s="7" t="s">
        <v>474</v>
      </c>
      <c r="Q743" s="7" t="s">
        <v>31</v>
      </c>
    </row>
    <row r="744" spans="1:17" s="7" customFormat="1" x14ac:dyDescent="0.35">
      <c r="A744" s="7">
        <v>45</v>
      </c>
      <c r="B744" s="7" t="s">
        <v>1040</v>
      </c>
      <c r="C744" s="7">
        <v>2023</v>
      </c>
      <c r="D744" s="7" t="s">
        <v>1041</v>
      </c>
      <c r="E744" s="7" t="s">
        <v>1042</v>
      </c>
      <c r="F744" s="7" t="s">
        <v>1043</v>
      </c>
      <c r="G744" s="7" t="s">
        <v>86</v>
      </c>
      <c r="H744" s="7" t="s">
        <v>1199</v>
      </c>
      <c r="I744" s="7">
        <v>45.215342</v>
      </c>
      <c r="J744" s="7">
        <v>-75.156256999999997</v>
      </c>
      <c r="K744" s="7" t="s">
        <v>41</v>
      </c>
      <c r="L744" s="7" t="s">
        <v>223</v>
      </c>
      <c r="M744" s="7" t="s">
        <v>1045</v>
      </c>
      <c r="N744" s="7" t="s">
        <v>474</v>
      </c>
      <c r="O744" s="7" t="s">
        <v>31</v>
      </c>
      <c r="P744" s="7" t="s">
        <v>474</v>
      </c>
      <c r="Q744" s="7" t="s">
        <v>31</v>
      </c>
    </row>
    <row r="745" spans="1:17" s="7" customFormat="1" x14ac:dyDescent="0.35">
      <c r="A745" s="7">
        <v>45</v>
      </c>
      <c r="B745" s="7" t="s">
        <v>1040</v>
      </c>
      <c r="C745" s="7">
        <v>2023</v>
      </c>
      <c r="D745" s="7" t="s">
        <v>1041</v>
      </c>
      <c r="E745" s="7" t="s">
        <v>1042</v>
      </c>
      <c r="F745" s="7" t="s">
        <v>1043</v>
      </c>
      <c r="G745" s="7" t="s">
        <v>86</v>
      </c>
      <c r="H745" s="7" t="s">
        <v>1201</v>
      </c>
      <c r="I745" s="7">
        <v>45.101106999999999</v>
      </c>
      <c r="J745" s="7">
        <v>-75.224889000000005</v>
      </c>
      <c r="K745" s="7" t="s">
        <v>41</v>
      </c>
      <c r="L745" s="7" t="s">
        <v>223</v>
      </c>
      <c r="M745" s="7" t="s">
        <v>1045</v>
      </c>
      <c r="N745" s="7" t="s">
        <v>474</v>
      </c>
      <c r="O745" s="7" t="s">
        <v>31</v>
      </c>
      <c r="P745" s="7" t="s">
        <v>474</v>
      </c>
      <c r="Q745" s="7" t="s">
        <v>31</v>
      </c>
    </row>
    <row r="746" spans="1:17" s="7" customFormat="1" x14ac:dyDescent="0.35">
      <c r="A746" s="7">
        <v>45</v>
      </c>
      <c r="B746" s="7" t="s">
        <v>1040</v>
      </c>
      <c r="C746" s="7">
        <v>2023</v>
      </c>
      <c r="D746" s="7" t="s">
        <v>1041</v>
      </c>
      <c r="E746" s="7" t="s">
        <v>1042</v>
      </c>
      <c r="F746" s="7" t="s">
        <v>1043</v>
      </c>
      <c r="G746" s="7" t="s">
        <v>86</v>
      </c>
      <c r="H746" s="7" t="s">
        <v>1203</v>
      </c>
      <c r="I746" s="7">
        <v>45.049295000000001</v>
      </c>
      <c r="J746" s="7">
        <v>-75.319978000000006</v>
      </c>
      <c r="K746" s="7" t="s">
        <v>41</v>
      </c>
      <c r="L746" s="7" t="s">
        <v>223</v>
      </c>
      <c r="M746" s="7" t="s">
        <v>1045</v>
      </c>
      <c r="N746" s="7" t="s">
        <v>474</v>
      </c>
      <c r="O746" s="7" t="s">
        <v>31</v>
      </c>
      <c r="P746" s="7" t="s">
        <v>474</v>
      </c>
      <c r="Q746" s="7" t="s">
        <v>31</v>
      </c>
    </row>
    <row r="747" spans="1:17" s="7" customFormat="1" x14ac:dyDescent="0.35">
      <c r="A747" s="7">
        <v>45</v>
      </c>
      <c r="B747" s="7" t="s">
        <v>1040</v>
      </c>
      <c r="C747" s="7">
        <v>2023</v>
      </c>
      <c r="D747" s="7" t="s">
        <v>1041</v>
      </c>
      <c r="E747" s="7" t="s">
        <v>1042</v>
      </c>
      <c r="F747" s="7" t="s">
        <v>1043</v>
      </c>
      <c r="G747" s="7" t="s">
        <v>161</v>
      </c>
      <c r="H747" s="7" t="s">
        <v>1205</v>
      </c>
      <c r="I747" s="7">
        <v>45.456637999999998</v>
      </c>
      <c r="J747" s="7">
        <v>-75.711916000000002</v>
      </c>
      <c r="K747" s="7" t="s">
        <v>41</v>
      </c>
      <c r="L747" s="7" t="s">
        <v>223</v>
      </c>
      <c r="M747" s="7" t="s">
        <v>1045</v>
      </c>
      <c r="N747" s="7" t="s">
        <v>474</v>
      </c>
      <c r="O747" s="7" t="s">
        <v>31</v>
      </c>
      <c r="P747" s="7" t="s">
        <v>474</v>
      </c>
      <c r="Q747" s="7" t="s">
        <v>31</v>
      </c>
    </row>
    <row r="748" spans="1:17" s="7" customFormat="1" x14ac:dyDescent="0.35">
      <c r="A748" s="7">
        <v>45</v>
      </c>
      <c r="B748" s="7" t="s">
        <v>1040</v>
      </c>
      <c r="C748" s="7">
        <v>2023</v>
      </c>
      <c r="D748" s="7" t="s">
        <v>1041</v>
      </c>
      <c r="E748" s="7" t="s">
        <v>1042</v>
      </c>
      <c r="F748" s="7" t="s">
        <v>1043</v>
      </c>
      <c r="G748" s="7" t="s">
        <v>161</v>
      </c>
      <c r="H748" s="7" t="s">
        <v>1207</v>
      </c>
      <c r="I748" s="7">
        <v>45.638871000000002</v>
      </c>
      <c r="J748" s="7">
        <v>-75.929062999999999</v>
      </c>
      <c r="K748" s="7" t="s">
        <v>41</v>
      </c>
      <c r="L748" s="7" t="s">
        <v>223</v>
      </c>
      <c r="M748" s="7" t="s">
        <v>1045</v>
      </c>
      <c r="N748" s="7" t="s">
        <v>474</v>
      </c>
      <c r="O748" s="7" t="s">
        <v>31</v>
      </c>
      <c r="P748" s="7" t="s">
        <v>474</v>
      </c>
      <c r="Q748" s="7" t="s">
        <v>31</v>
      </c>
    </row>
    <row r="749" spans="1:17" s="7" customFormat="1" x14ac:dyDescent="0.35">
      <c r="A749" s="7">
        <v>45</v>
      </c>
      <c r="B749" s="7" t="s">
        <v>1040</v>
      </c>
      <c r="C749" s="7">
        <v>2023</v>
      </c>
      <c r="D749" s="7" t="s">
        <v>1041</v>
      </c>
      <c r="E749" s="7" t="s">
        <v>1042</v>
      </c>
      <c r="F749" s="7" t="s">
        <v>1043</v>
      </c>
      <c r="G749" s="7" t="s">
        <v>161</v>
      </c>
      <c r="H749" s="7" t="s">
        <v>1209</v>
      </c>
      <c r="I749" s="7">
        <v>45.950208000000003</v>
      </c>
      <c r="J749" s="7">
        <v>-75.944429</v>
      </c>
      <c r="K749" s="7" t="s">
        <v>41</v>
      </c>
      <c r="L749" s="7" t="s">
        <v>223</v>
      </c>
      <c r="M749" s="7" t="s">
        <v>1045</v>
      </c>
      <c r="N749" s="7" t="s">
        <v>474</v>
      </c>
      <c r="O749" s="7" t="s">
        <v>31</v>
      </c>
      <c r="P749" s="7" t="s">
        <v>474</v>
      </c>
      <c r="Q749" s="7" t="s">
        <v>31</v>
      </c>
    </row>
    <row r="750" spans="1:17" s="7" customFormat="1" x14ac:dyDescent="0.35">
      <c r="A750" s="7">
        <v>45</v>
      </c>
      <c r="B750" s="7" t="s">
        <v>1040</v>
      </c>
      <c r="C750" s="7">
        <v>2023</v>
      </c>
      <c r="D750" s="7" t="s">
        <v>1041</v>
      </c>
      <c r="E750" s="7" t="s">
        <v>1042</v>
      </c>
      <c r="F750" s="7" t="s">
        <v>1043</v>
      </c>
      <c r="G750" s="7" t="s">
        <v>161</v>
      </c>
      <c r="H750" s="7" t="s">
        <v>1211</v>
      </c>
      <c r="I750" s="7">
        <v>46.801527</v>
      </c>
      <c r="J750" s="7">
        <v>-75.862846000000005</v>
      </c>
      <c r="K750" s="7" t="s">
        <v>41</v>
      </c>
      <c r="L750" s="7" t="s">
        <v>223</v>
      </c>
      <c r="M750" s="7" t="s">
        <v>1045</v>
      </c>
      <c r="N750" s="7" t="s">
        <v>474</v>
      </c>
      <c r="O750" s="7" t="s">
        <v>31</v>
      </c>
      <c r="P750" s="7" t="s">
        <v>474</v>
      </c>
      <c r="Q750" s="7" t="s">
        <v>31</v>
      </c>
    </row>
    <row r="751" spans="1:17" s="7" customFormat="1" x14ac:dyDescent="0.35">
      <c r="A751" s="7">
        <v>45</v>
      </c>
      <c r="B751" s="7" t="s">
        <v>1040</v>
      </c>
      <c r="C751" s="7">
        <v>2023</v>
      </c>
      <c r="D751" s="7" t="s">
        <v>1041</v>
      </c>
      <c r="E751" s="7" t="s">
        <v>1042</v>
      </c>
      <c r="F751" s="7" t="s">
        <v>1043</v>
      </c>
      <c r="G751" s="7" t="s">
        <v>161</v>
      </c>
      <c r="H751" s="7" t="s">
        <v>1213</v>
      </c>
      <c r="I751" s="7">
        <v>47.221885</v>
      </c>
      <c r="J751" s="7">
        <v>-76.726467</v>
      </c>
      <c r="K751" s="7" t="s">
        <v>41</v>
      </c>
      <c r="L751" s="7" t="s">
        <v>223</v>
      </c>
      <c r="M751" s="7" t="s">
        <v>1045</v>
      </c>
      <c r="N751" s="7" t="s">
        <v>474</v>
      </c>
      <c r="O751" s="7" t="s">
        <v>31</v>
      </c>
      <c r="P751" s="7" t="s">
        <v>474</v>
      </c>
      <c r="Q751" s="7" t="s">
        <v>31</v>
      </c>
    </row>
    <row r="752" spans="1:17" s="7" customFormat="1" x14ac:dyDescent="0.35">
      <c r="A752" s="7">
        <v>45</v>
      </c>
      <c r="B752" s="7" t="s">
        <v>1040</v>
      </c>
      <c r="C752" s="7">
        <v>2023</v>
      </c>
      <c r="D752" s="7" t="s">
        <v>1041</v>
      </c>
      <c r="E752" s="7" t="s">
        <v>1042</v>
      </c>
      <c r="F752" s="7" t="s">
        <v>1043</v>
      </c>
      <c r="G752" s="7" t="s">
        <v>86</v>
      </c>
      <c r="H752" s="7" t="s">
        <v>1215</v>
      </c>
      <c r="I752" s="7">
        <v>45.439946999999997</v>
      </c>
      <c r="J752" s="7">
        <v>-76.348050999999998</v>
      </c>
      <c r="K752" s="7" t="s">
        <v>41</v>
      </c>
      <c r="L752" s="7" t="s">
        <v>223</v>
      </c>
      <c r="M752" s="7" t="s">
        <v>1045</v>
      </c>
      <c r="N752" s="7" t="s">
        <v>474</v>
      </c>
      <c r="O752" s="7" t="s">
        <v>31</v>
      </c>
      <c r="P752" s="7" t="s">
        <v>474</v>
      </c>
      <c r="Q752" s="7" t="s">
        <v>31</v>
      </c>
    </row>
    <row r="753" spans="1:17" s="7" customFormat="1" x14ac:dyDescent="0.35">
      <c r="A753" s="7">
        <v>45</v>
      </c>
      <c r="B753" s="7" t="s">
        <v>1040</v>
      </c>
      <c r="C753" s="7">
        <v>2023</v>
      </c>
      <c r="D753" s="7" t="s">
        <v>1041</v>
      </c>
      <c r="E753" s="7" t="s">
        <v>1042</v>
      </c>
      <c r="F753" s="7" t="s">
        <v>1043</v>
      </c>
      <c r="G753" s="7" t="s">
        <v>86</v>
      </c>
      <c r="H753" s="7" t="s">
        <v>1217</v>
      </c>
      <c r="I753" s="7">
        <v>45.412615000000002</v>
      </c>
      <c r="J753" s="7">
        <v>-76.352937999999995</v>
      </c>
      <c r="K753" s="7" t="s">
        <v>41</v>
      </c>
      <c r="L753" s="7" t="s">
        <v>223</v>
      </c>
      <c r="M753" s="7" t="s">
        <v>1045</v>
      </c>
      <c r="N753" s="7" t="s">
        <v>474</v>
      </c>
      <c r="O753" s="7" t="s">
        <v>31</v>
      </c>
      <c r="P753" s="7" t="s">
        <v>474</v>
      </c>
      <c r="Q753" s="7" t="s">
        <v>31</v>
      </c>
    </row>
    <row r="754" spans="1:17" s="7" customFormat="1" x14ac:dyDescent="0.35">
      <c r="A754" s="7">
        <v>45</v>
      </c>
      <c r="B754" s="7" t="s">
        <v>1040</v>
      </c>
      <c r="C754" s="7">
        <v>2023</v>
      </c>
      <c r="D754" s="7" t="s">
        <v>1041</v>
      </c>
      <c r="E754" s="7" t="s">
        <v>1042</v>
      </c>
      <c r="F754" s="7" t="s">
        <v>1043</v>
      </c>
      <c r="G754" s="7" t="s">
        <v>86</v>
      </c>
      <c r="H754" s="7" t="s">
        <v>1219</v>
      </c>
      <c r="I754" s="7">
        <v>45.391354</v>
      </c>
      <c r="J754" s="7">
        <v>-76.568797000000004</v>
      </c>
      <c r="K754" s="7" t="s">
        <v>41</v>
      </c>
      <c r="L754" s="7" t="s">
        <v>223</v>
      </c>
      <c r="M754" s="7" t="s">
        <v>1045</v>
      </c>
      <c r="N754" s="7" t="s">
        <v>474</v>
      </c>
      <c r="O754" s="7" t="s">
        <v>31</v>
      </c>
      <c r="P754" s="7" t="s">
        <v>474</v>
      </c>
      <c r="Q754" s="7" t="s">
        <v>31</v>
      </c>
    </row>
    <row r="755" spans="1:17" s="7" customFormat="1" x14ac:dyDescent="0.35">
      <c r="A755" s="7">
        <v>45</v>
      </c>
      <c r="B755" s="7" t="s">
        <v>1040</v>
      </c>
      <c r="C755" s="7">
        <v>2023</v>
      </c>
      <c r="D755" s="7" t="s">
        <v>1041</v>
      </c>
      <c r="E755" s="7" t="s">
        <v>1042</v>
      </c>
      <c r="F755" s="7" t="s">
        <v>1043</v>
      </c>
      <c r="G755" s="7" t="s">
        <v>86</v>
      </c>
      <c r="H755" s="7" t="s">
        <v>1221</v>
      </c>
      <c r="I755" s="7">
        <v>45.363439</v>
      </c>
      <c r="J755" s="7">
        <v>-77.617052999999999</v>
      </c>
      <c r="K755" s="7" t="s">
        <v>41</v>
      </c>
      <c r="L755" s="7" t="s">
        <v>223</v>
      </c>
      <c r="M755" s="7" t="s">
        <v>1045</v>
      </c>
      <c r="N755" s="7" t="s">
        <v>474</v>
      </c>
      <c r="O755" s="7" t="s">
        <v>31</v>
      </c>
      <c r="P755" s="7" t="s">
        <v>474</v>
      </c>
      <c r="Q755" s="7" t="s">
        <v>31</v>
      </c>
    </row>
    <row r="756" spans="1:17" s="7" customFormat="1" x14ac:dyDescent="0.35">
      <c r="A756" s="7">
        <v>45</v>
      </c>
      <c r="B756" s="7" t="s">
        <v>1040</v>
      </c>
      <c r="C756" s="7">
        <v>2023</v>
      </c>
      <c r="D756" s="7" t="s">
        <v>1041</v>
      </c>
      <c r="E756" s="7" t="s">
        <v>1042</v>
      </c>
      <c r="F756" s="7" t="s">
        <v>1043</v>
      </c>
      <c r="G756" s="7" t="s">
        <v>86</v>
      </c>
      <c r="H756" s="7" t="s">
        <v>1223</v>
      </c>
      <c r="I756" s="7">
        <v>45.503442</v>
      </c>
      <c r="J756" s="7">
        <v>-77.980283</v>
      </c>
      <c r="K756" s="7" t="s">
        <v>41</v>
      </c>
      <c r="L756" s="7" t="s">
        <v>223</v>
      </c>
      <c r="M756" s="7" t="s">
        <v>1045</v>
      </c>
      <c r="N756" s="7" t="s">
        <v>474</v>
      </c>
      <c r="O756" s="7" t="s">
        <v>31</v>
      </c>
      <c r="P756" s="7" t="s">
        <v>474</v>
      </c>
      <c r="Q756" s="7" t="s">
        <v>31</v>
      </c>
    </row>
    <row r="757" spans="1:17" s="7" customFormat="1" x14ac:dyDescent="0.35">
      <c r="A757" s="7">
        <v>45</v>
      </c>
      <c r="B757" s="7" t="s">
        <v>1040</v>
      </c>
      <c r="C757" s="7">
        <v>2023</v>
      </c>
      <c r="D757" s="7" t="s">
        <v>1041</v>
      </c>
      <c r="E757" s="7" t="s">
        <v>1042</v>
      </c>
      <c r="F757" s="7" t="s">
        <v>1043</v>
      </c>
      <c r="G757" s="7" t="s">
        <v>86</v>
      </c>
      <c r="H757" s="7" t="s">
        <v>1225</v>
      </c>
      <c r="I757" s="7">
        <v>45.514547</v>
      </c>
      <c r="J757" s="7">
        <v>-76.557021000000006</v>
      </c>
      <c r="K757" s="7" t="s">
        <v>41</v>
      </c>
      <c r="L757" s="7" t="s">
        <v>223</v>
      </c>
      <c r="M757" s="7" t="s">
        <v>1045</v>
      </c>
      <c r="N757" s="7" t="s">
        <v>474</v>
      </c>
      <c r="O757" s="7" t="s">
        <v>31</v>
      </c>
      <c r="P757" s="7" t="s">
        <v>474</v>
      </c>
      <c r="Q757" s="7" t="s">
        <v>31</v>
      </c>
    </row>
    <row r="758" spans="1:17" s="7" customFormat="1" x14ac:dyDescent="0.35">
      <c r="A758" s="7">
        <v>45</v>
      </c>
      <c r="B758" s="7" t="s">
        <v>1040</v>
      </c>
      <c r="C758" s="7">
        <v>2023</v>
      </c>
      <c r="D758" s="7" t="s">
        <v>1041</v>
      </c>
      <c r="E758" s="7" t="s">
        <v>1042</v>
      </c>
      <c r="F758" s="7" t="s">
        <v>1043</v>
      </c>
      <c r="G758" s="7" t="s">
        <v>86</v>
      </c>
      <c r="H758" s="7" t="s">
        <v>1227</v>
      </c>
      <c r="I758" s="7">
        <v>45.475011000000002</v>
      </c>
      <c r="J758" s="7">
        <v>-76.696661000000006</v>
      </c>
      <c r="K758" s="7" t="s">
        <v>41</v>
      </c>
      <c r="L758" s="7" t="s">
        <v>223</v>
      </c>
      <c r="M758" s="7" t="s">
        <v>1045</v>
      </c>
      <c r="N758" s="7" t="s">
        <v>474</v>
      </c>
      <c r="O758" s="7" t="s">
        <v>31</v>
      </c>
      <c r="P758" s="7" t="s">
        <v>474</v>
      </c>
      <c r="Q758" s="7" t="s">
        <v>31</v>
      </c>
    </row>
    <row r="759" spans="1:17" s="7" customFormat="1" x14ac:dyDescent="0.35">
      <c r="A759" s="7">
        <v>45</v>
      </c>
      <c r="B759" s="7" t="s">
        <v>1040</v>
      </c>
      <c r="C759" s="7">
        <v>2023</v>
      </c>
      <c r="D759" s="7" t="s">
        <v>1041</v>
      </c>
      <c r="E759" s="7" t="s">
        <v>1042</v>
      </c>
      <c r="F759" s="7" t="s">
        <v>1043</v>
      </c>
      <c r="G759" s="7" t="s">
        <v>86</v>
      </c>
      <c r="H759" s="7" t="s">
        <v>1229</v>
      </c>
      <c r="I759" s="7">
        <v>45.504351</v>
      </c>
      <c r="J759" s="7">
        <v>-77.010315000000006</v>
      </c>
      <c r="K759" s="7" t="s">
        <v>41</v>
      </c>
      <c r="L759" s="7" t="s">
        <v>223</v>
      </c>
      <c r="M759" s="7" t="s">
        <v>1045</v>
      </c>
      <c r="N759" s="7" t="s">
        <v>474</v>
      </c>
      <c r="O759" s="7" t="s">
        <v>31</v>
      </c>
      <c r="P759" s="7" t="s">
        <v>474</v>
      </c>
      <c r="Q759" s="7" t="s">
        <v>31</v>
      </c>
    </row>
    <row r="760" spans="1:17" s="7" customFormat="1" x14ac:dyDescent="0.35">
      <c r="A760" s="7">
        <v>45</v>
      </c>
      <c r="B760" s="7" t="s">
        <v>1040</v>
      </c>
      <c r="C760" s="7">
        <v>2023</v>
      </c>
      <c r="D760" s="7" t="s">
        <v>1041</v>
      </c>
      <c r="E760" s="7" t="s">
        <v>1042</v>
      </c>
      <c r="F760" s="7" t="s">
        <v>1043</v>
      </c>
      <c r="G760" s="7" t="s">
        <v>86</v>
      </c>
      <c r="H760" s="7" t="s">
        <v>1231</v>
      </c>
      <c r="I760" s="7">
        <v>45.59572</v>
      </c>
      <c r="J760" s="7">
        <v>-77.359825000000001</v>
      </c>
      <c r="K760" s="7" t="s">
        <v>41</v>
      </c>
      <c r="L760" s="7" t="s">
        <v>223</v>
      </c>
      <c r="M760" s="7" t="s">
        <v>1045</v>
      </c>
      <c r="N760" s="7" t="s">
        <v>474</v>
      </c>
      <c r="O760" s="7" t="s">
        <v>31</v>
      </c>
      <c r="P760" s="7" t="s">
        <v>474</v>
      </c>
      <c r="Q760" s="7" t="s">
        <v>31</v>
      </c>
    </row>
    <row r="761" spans="1:17" s="7" customFormat="1" x14ac:dyDescent="0.35">
      <c r="A761" s="7">
        <v>45</v>
      </c>
      <c r="B761" s="7" t="s">
        <v>1040</v>
      </c>
      <c r="C761" s="7">
        <v>2023</v>
      </c>
      <c r="D761" s="7" t="s">
        <v>1041</v>
      </c>
      <c r="E761" s="7" t="s">
        <v>1042</v>
      </c>
      <c r="F761" s="7" t="s">
        <v>1043</v>
      </c>
      <c r="G761" s="7" t="s">
        <v>86</v>
      </c>
      <c r="H761" s="7" t="s">
        <v>1233</v>
      </c>
      <c r="I761" s="7">
        <v>45.657209999999999</v>
      </c>
      <c r="J761" s="7">
        <v>-77.565089999999998</v>
      </c>
      <c r="K761" s="7" t="s">
        <v>41</v>
      </c>
      <c r="L761" s="7" t="s">
        <v>223</v>
      </c>
      <c r="M761" s="7" t="s">
        <v>1045</v>
      </c>
      <c r="N761" s="7" t="s">
        <v>474</v>
      </c>
      <c r="O761" s="7" t="s">
        <v>31</v>
      </c>
      <c r="P761" s="7" t="s">
        <v>474</v>
      </c>
      <c r="Q761" s="7" t="s">
        <v>31</v>
      </c>
    </row>
    <row r="762" spans="1:17" s="7" customFormat="1" x14ac:dyDescent="0.35">
      <c r="A762" s="7">
        <v>45</v>
      </c>
      <c r="B762" s="7" t="s">
        <v>1040</v>
      </c>
      <c r="C762" s="7">
        <v>2023</v>
      </c>
      <c r="D762" s="7" t="s">
        <v>1041</v>
      </c>
      <c r="E762" s="7" t="s">
        <v>1042</v>
      </c>
      <c r="F762" s="7" t="s">
        <v>1043</v>
      </c>
      <c r="G762" s="7" t="s">
        <v>86</v>
      </c>
      <c r="H762" s="7" t="s">
        <v>1235</v>
      </c>
      <c r="I762" s="7">
        <v>47.322850000000003</v>
      </c>
      <c r="J762" s="7">
        <v>-79.809351000000007</v>
      </c>
      <c r="K762" s="7" t="s">
        <v>41</v>
      </c>
      <c r="L762" s="7" t="s">
        <v>223</v>
      </c>
      <c r="M762" s="7" t="s">
        <v>1045</v>
      </c>
      <c r="N762" s="7" t="s">
        <v>474</v>
      </c>
      <c r="O762" s="7" t="s">
        <v>31</v>
      </c>
      <c r="P762" s="7" t="s">
        <v>474</v>
      </c>
      <c r="Q762" s="7" t="s">
        <v>31</v>
      </c>
    </row>
    <row r="763" spans="1:17" s="7" customFormat="1" x14ac:dyDescent="0.35">
      <c r="A763" s="7">
        <v>45</v>
      </c>
      <c r="B763" s="7" t="s">
        <v>1040</v>
      </c>
      <c r="C763" s="7">
        <v>2023</v>
      </c>
      <c r="D763" s="7" t="s">
        <v>1041</v>
      </c>
      <c r="E763" s="7" t="s">
        <v>1042</v>
      </c>
      <c r="F763" s="7" t="s">
        <v>1043</v>
      </c>
      <c r="G763" s="7" t="s">
        <v>86</v>
      </c>
      <c r="H763" s="7" t="s">
        <v>1237</v>
      </c>
      <c r="I763" s="7">
        <v>47.732002999999999</v>
      </c>
      <c r="J763" s="7">
        <v>-80.332611</v>
      </c>
      <c r="K763" s="7" t="s">
        <v>41</v>
      </c>
      <c r="L763" s="7" t="s">
        <v>223</v>
      </c>
      <c r="M763" s="7" t="s">
        <v>1045</v>
      </c>
      <c r="N763" s="7" t="s">
        <v>474</v>
      </c>
      <c r="O763" s="7" t="s">
        <v>31</v>
      </c>
      <c r="P763" s="7" t="s">
        <v>474</v>
      </c>
      <c r="Q763" s="7" t="s">
        <v>31</v>
      </c>
    </row>
    <row r="764" spans="1:17" s="7" customFormat="1" x14ac:dyDescent="0.35">
      <c r="A764" s="7">
        <v>45</v>
      </c>
      <c r="B764" s="7" t="s">
        <v>1040</v>
      </c>
      <c r="C764" s="7">
        <v>2023</v>
      </c>
      <c r="D764" s="7" t="s">
        <v>1041</v>
      </c>
      <c r="E764" s="7" t="s">
        <v>1042</v>
      </c>
      <c r="F764" s="7" t="s">
        <v>1043</v>
      </c>
      <c r="G764" s="7" t="s">
        <v>86</v>
      </c>
      <c r="H764" s="7" t="s">
        <v>1239</v>
      </c>
      <c r="I764" s="7">
        <v>47.939579000000002</v>
      </c>
      <c r="J764" s="7">
        <v>-80.650747999999993</v>
      </c>
      <c r="K764" s="7" t="s">
        <v>41</v>
      </c>
      <c r="L764" s="7" t="s">
        <v>223</v>
      </c>
      <c r="M764" s="7" t="s">
        <v>1045</v>
      </c>
      <c r="N764" s="7" t="s">
        <v>474</v>
      </c>
      <c r="O764" s="7" t="s">
        <v>31</v>
      </c>
      <c r="P764" s="7" t="s">
        <v>474</v>
      </c>
      <c r="Q764" s="7" t="s">
        <v>31</v>
      </c>
    </row>
    <row r="765" spans="1:17" s="7" customFormat="1" x14ac:dyDescent="0.35">
      <c r="A765" s="7">
        <v>45</v>
      </c>
      <c r="B765" s="7" t="s">
        <v>1040</v>
      </c>
      <c r="C765" s="7">
        <v>2023</v>
      </c>
      <c r="D765" s="7" t="s">
        <v>1041</v>
      </c>
      <c r="E765" s="7" t="s">
        <v>1042</v>
      </c>
      <c r="F765" s="7" t="s">
        <v>1043</v>
      </c>
      <c r="G765" s="7" t="s">
        <v>86</v>
      </c>
      <c r="H765" s="7" t="s">
        <v>1241</v>
      </c>
      <c r="I765" s="7">
        <v>48.005026000000001</v>
      </c>
      <c r="J765" s="7">
        <v>-80.741849999999999</v>
      </c>
      <c r="K765" s="7" t="s">
        <v>41</v>
      </c>
      <c r="L765" s="7" t="s">
        <v>223</v>
      </c>
      <c r="M765" s="7" t="s">
        <v>1045</v>
      </c>
      <c r="N765" s="7" t="s">
        <v>474</v>
      </c>
      <c r="O765" s="7" t="s">
        <v>31</v>
      </c>
      <c r="P765" s="7" t="s">
        <v>474</v>
      </c>
      <c r="Q765" s="7" t="s">
        <v>31</v>
      </c>
    </row>
    <row r="766" spans="1:17" s="7" customFormat="1" x14ac:dyDescent="0.35">
      <c r="A766" s="7">
        <v>45</v>
      </c>
      <c r="B766" s="7" t="s">
        <v>1040</v>
      </c>
      <c r="C766" s="7">
        <v>2023</v>
      </c>
      <c r="D766" s="7" t="s">
        <v>1041</v>
      </c>
      <c r="E766" s="7" t="s">
        <v>1042</v>
      </c>
      <c r="F766" s="7" t="s">
        <v>1043</v>
      </c>
      <c r="G766" s="7" t="s">
        <v>86</v>
      </c>
      <c r="H766" s="7" t="s">
        <v>1243</v>
      </c>
      <c r="I766" s="7">
        <v>47.651865000000001</v>
      </c>
      <c r="J766" s="7">
        <v>-80.776398999999998</v>
      </c>
      <c r="K766" s="7" t="s">
        <v>41</v>
      </c>
      <c r="L766" s="7" t="s">
        <v>223</v>
      </c>
      <c r="M766" s="7" t="s">
        <v>1045</v>
      </c>
      <c r="N766" s="7" t="s">
        <v>474</v>
      </c>
      <c r="O766" s="7" t="s">
        <v>31</v>
      </c>
      <c r="P766" s="7" t="s">
        <v>474</v>
      </c>
      <c r="Q766" s="7" t="s">
        <v>31</v>
      </c>
    </row>
    <row r="767" spans="1:17" s="7" customFormat="1" x14ac:dyDescent="0.35">
      <c r="A767" s="7">
        <v>45</v>
      </c>
      <c r="B767" s="7" t="s">
        <v>1040</v>
      </c>
      <c r="C767" s="7">
        <v>2023</v>
      </c>
      <c r="D767" s="7" t="s">
        <v>1041</v>
      </c>
      <c r="E767" s="7" t="s">
        <v>1042</v>
      </c>
      <c r="F767" s="7" t="s">
        <v>1043</v>
      </c>
      <c r="G767" s="7" t="s">
        <v>86</v>
      </c>
      <c r="H767" s="7" t="s">
        <v>1245</v>
      </c>
      <c r="I767" s="7">
        <v>47.608885999999998</v>
      </c>
      <c r="J767" s="7">
        <v>-79.540142000000003</v>
      </c>
      <c r="K767" s="7" t="s">
        <v>41</v>
      </c>
      <c r="L767" s="7" t="s">
        <v>223</v>
      </c>
      <c r="M767" s="7" t="s">
        <v>1045</v>
      </c>
      <c r="N767" s="7" t="s">
        <v>474</v>
      </c>
      <c r="O767" s="7" t="s">
        <v>31</v>
      </c>
      <c r="P767" s="7" t="s">
        <v>474</v>
      </c>
      <c r="Q767" s="7" t="s">
        <v>31</v>
      </c>
    </row>
    <row r="768" spans="1:17" s="7" customFormat="1" x14ac:dyDescent="0.35">
      <c r="A768" s="7">
        <v>45</v>
      </c>
      <c r="B768" s="7" t="s">
        <v>1040</v>
      </c>
      <c r="C768" s="7">
        <v>2023</v>
      </c>
      <c r="D768" s="7" t="s">
        <v>1041</v>
      </c>
      <c r="E768" s="7" t="s">
        <v>1042</v>
      </c>
      <c r="F768" s="7" t="s">
        <v>1043</v>
      </c>
      <c r="G768" s="7" t="s">
        <v>86</v>
      </c>
      <c r="H768" s="7" t="s">
        <v>1247</v>
      </c>
      <c r="I768" s="7">
        <v>47.699959</v>
      </c>
      <c r="J768" s="7">
        <v>-79.673721999999998</v>
      </c>
      <c r="K768" s="7" t="s">
        <v>41</v>
      </c>
      <c r="L768" s="7" t="s">
        <v>223</v>
      </c>
      <c r="M768" s="7" t="s">
        <v>1045</v>
      </c>
      <c r="N768" s="7" t="s">
        <v>474</v>
      </c>
      <c r="O768" s="7" t="s">
        <v>31</v>
      </c>
      <c r="P768" s="7" t="s">
        <v>474</v>
      </c>
      <c r="Q768" s="7" t="s">
        <v>31</v>
      </c>
    </row>
    <row r="769" spans="1:18" s="7" customFormat="1" x14ac:dyDescent="0.35">
      <c r="A769" s="7">
        <v>45</v>
      </c>
      <c r="B769" s="7" t="s">
        <v>1040</v>
      </c>
      <c r="C769" s="7">
        <v>2023</v>
      </c>
      <c r="D769" s="7" t="s">
        <v>1041</v>
      </c>
      <c r="E769" s="7" t="s">
        <v>1042</v>
      </c>
      <c r="F769" s="7" t="s">
        <v>1043</v>
      </c>
      <c r="G769" s="7" t="s">
        <v>86</v>
      </c>
      <c r="H769" s="7" t="s">
        <v>1249</v>
      </c>
      <c r="I769" s="7">
        <v>48.000138999999997</v>
      </c>
      <c r="J769" s="7">
        <v>-80.061083999999994</v>
      </c>
      <c r="K769" s="7" t="s">
        <v>41</v>
      </c>
      <c r="L769" s="7" t="s">
        <v>223</v>
      </c>
      <c r="M769" s="7" t="s">
        <v>1045</v>
      </c>
      <c r="N769" s="7" t="s">
        <v>474</v>
      </c>
      <c r="O769" s="7" t="s">
        <v>31</v>
      </c>
      <c r="P769" s="7" t="s">
        <v>474</v>
      </c>
      <c r="Q769" s="7" t="s">
        <v>31</v>
      </c>
    </row>
    <row r="770" spans="1:18" s="7" customFormat="1" x14ac:dyDescent="0.35">
      <c r="A770" s="7">
        <v>45</v>
      </c>
      <c r="B770" s="7" t="s">
        <v>1040</v>
      </c>
      <c r="C770" s="7">
        <v>2023</v>
      </c>
      <c r="D770" s="7" t="s">
        <v>1041</v>
      </c>
      <c r="E770" s="7" t="s">
        <v>1042</v>
      </c>
      <c r="F770" s="7" t="s">
        <v>1043</v>
      </c>
      <c r="G770" s="7" t="s">
        <v>86</v>
      </c>
      <c r="H770" s="7" t="s">
        <v>1251</v>
      </c>
      <c r="I770" s="7">
        <v>48.109498000000002</v>
      </c>
      <c r="J770" s="7">
        <v>-80.104714999999999</v>
      </c>
      <c r="K770" s="7" t="s">
        <v>41</v>
      </c>
      <c r="L770" s="7" t="s">
        <v>223</v>
      </c>
      <c r="M770" s="7" t="s">
        <v>1045</v>
      </c>
      <c r="N770" s="7" t="s">
        <v>474</v>
      </c>
      <c r="O770" s="7" t="s">
        <v>31</v>
      </c>
      <c r="P770" s="7" t="s">
        <v>474</v>
      </c>
      <c r="Q770" s="7" t="s">
        <v>31</v>
      </c>
    </row>
    <row r="771" spans="1:18" s="7" customFormat="1" x14ac:dyDescent="0.35">
      <c r="A771" s="7">
        <v>46</v>
      </c>
      <c r="B771" s="7" t="s">
        <v>1253</v>
      </c>
      <c r="C771" s="7">
        <v>2022</v>
      </c>
      <c r="D771" s="7" t="s">
        <v>420</v>
      </c>
      <c r="E771" s="7" t="s">
        <v>1254</v>
      </c>
      <c r="F771" s="7" t="s">
        <v>1255</v>
      </c>
      <c r="G771" s="7" t="s">
        <v>86</v>
      </c>
      <c r="H771" s="7" t="s">
        <v>1256</v>
      </c>
      <c r="I771" s="7">
        <v>43.566666669999996</v>
      </c>
      <c r="J771" s="10">
        <v>-82.484999999999999</v>
      </c>
      <c r="K771" s="7" t="s">
        <v>103</v>
      </c>
      <c r="L771" s="7" t="s">
        <v>28</v>
      </c>
      <c r="M771" s="7" t="s">
        <v>632</v>
      </c>
      <c r="N771" s="7" t="s">
        <v>245</v>
      </c>
      <c r="O771" s="7" t="s">
        <v>246</v>
      </c>
      <c r="P771" s="7" t="str">
        <f t="shared" ref="P771:P802" si="6">N771</f>
        <v>missing</v>
      </c>
      <c r="Q771" s="7" t="s">
        <v>31</v>
      </c>
      <c r="R771" s="7" t="s">
        <v>1257</v>
      </c>
    </row>
    <row r="772" spans="1:18" s="7" customFormat="1" x14ac:dyDescent="0.35">
      <c r="A772" s="7">
        <v>46</v>
      </c>
      <c r="B772" s="7" t="s">
        <v>1253</v>
      </c>
      <c r="C772" s="7">
        <v>2022</v>
      </c>
      <c r="D772" s="7" t="s">
        <v>420</v>
      </c>
      <c r="E772" s="7" t="s">
        <v>1254</v>
      </c>
      <c r="F772" s="7" t="s">
        <v>1255</v>
      </c>
      <c r="G772" s="7" t="s">
        <v>86</v>
      </c>
      <c r="H772" s="7" t="s">
        <v>1258</v>
      </c>
      <c r="I772" s="7">
        <v>43.633333329999999</v>
      </c>
      <c r="J772" s="10">
        <v>-82.216666700000005</v>
      </c>
      <c r="K772" s="7" t="s">
        <v>103</v>
      </c>
      <c r="L772" s="7" t="s">
        <v>28</v>
      </c>
      <c r="M772" s="7" t="s">
        <v>632</v>
      </c>
      <c r="N772" s="7" t="s">
        <v>245</v>
      </c>
      <c r="O772" s="7" t="s">
        <v>246</v>
      </c>
      <c r="P772" s="7" t="str">
        <f t="shared" si="6"/>
        <v>missing</v>
      </c>
      <c r="Q772" s="7" t="s">
        <v>31</v>
      </c>
      <c r="R772" s="7" t="s">
        <v>1257</v>
      </c>
    </row>
    <row r="773" spans="1:18" s="7" customFormat="1" x14ac:dyDescent="0.35">
      <c r="A773" s="7">
        <v>46</v>
      </c>
      <c r="B773" s="7" t="s">
        <v>1253</v>
      </c>
      <c r="C773" s="7">
        <v>2022</v>
      </c>
      <c r="D773" s="7" t="s">
        <v>420</v>
      </c>
      <c r="E773" s="7" t="s">
        <v>1254</v>
      </c>
      <c r="F773" s="7" t="s">
        <v>1255</v>
      </c>
      <c r="G773" s="7" t="s">
        <v>86</v>
      </c>
      <c r="H773" s="7" t="s">
        <v>1259</v>
      </c>
      <c r="I773" s="7">
        <v>43.749111110000001</v>
      </c>
      <c r="J773" s="10">
        <v>-81.737833300000005</v>
      </c>
      <c r="K773" s="7" t="s">
        <v>103</v>
      </c>
      <c r="L773" s="7" t="s">
        <v>28</v>
      </c>
      <c r="M773" s="7" t="s">
        <v>632</v>
      </c>
      <c r="N773" s="7" t="s">
        <v>245</v>
      </c>
      <c r="O773" s="7" t="s">
        <v>246</v>
      </c>
      <c r="P773" s="7" t="str">
        <f t="shared" si="6"/>
        <v>missing</v>
      </c>
      <c r="Q773" s="7" t="s">
        <v>31</v>
      </c>
      <c r="R773" s="7" t="s">
        <v>1257</v>
      </c>
    </row>
    <row r="774" spans="1:18" s="7" customFormat="1" x14ac:dyDescent="0.35">
      <c r="A774" s="7">
        <v>46</v>
      </c>
      <c r="B774" s="7" t="s">
        <v>1253</v>
      </c>
      <c r="C774" s="7">
        <v>2022</v>
      </c>
      <c r="D774" s="7" t="s">
        <v>420</v>
      </c>
      <c r="E774" s="7" t="s">
        <v>1254</v>
      </c>
      <c r="F774" s="7" t="s">
        <v>1255</v>
      </c>
      <c r="G774" s="7" t="s">
        <v>86</v>
      </c>
      <c r="H774" s="7" t="s">
        <v>1260</v>
      </c>
      <c r="I774" s="7">
        <v>43.825000000000003</v>
      </c>
      <c r="J774" s="10">
        <v>-83.817222200000003</v>
      </c>
      <c r="K774" s="7" t="s">
        <v>103</v>
      </c>
      <c r="L774" s="7" t="s">
        <v>28</v>
      </c>
      <c r="M774" s="7" t="s">
        <v>632</v>
      </c>
      <c r="N774" s="7" t="s">
        <v>245</v>
      </c>
      <c r="O774" s="7" t="s">
        <v>246</v>
      </c>
      <c r="P774" s="7" t="str">
        <f t="shared" si="6"/>
        <v>missing</v>
      </c>
      <c r="Q774" s="7" t="s">
        <v>31</v>
      </c>
      <c r="R774" s="7" t="s">
        <v>1257</v>
      </c>
    </row>
    <row r="775" spans="1:18" s="7" customFormat="1" x14ac:dyDescent="0.35">
      <c r="A775" s="7">
        <v>46</v>
      </c>
      <c r="B775" s="7" t="s">
        <v>1253</v>
      </c>
      <c r="C775" s="7">
        <v>2022</v>
      </c>
      <c r="D775" s="7" t="s">
        <v>420</v>
      </c>
      <c r="E775" s="7" t="s">
        <v>1254</v>
      </c>
      <c r="F775" s="7" t="s">
        <v>1255</v>
      </c>
      <c r="G775" s="7" t="s">
        <v>86</v>
      </c>
      <c r="H775" s="7" t="s">
        <v>1261</v>
      </c>
      <c r="I775" s="7">
        <v>43.89</v>
      </c>
      <c r="J775" s="10">
        <v>-82.056666699999994</v>
      </c>
      <c r="K775" s="7" t="s">
        <v>103</v>
      </c>
      <c r="L775" s="7" t="s">
        <v>28</v>
      </c>
      <c r="M775" s="7" t="s">
        <v>632</v>
      </c>
      <c r="N775" s="7" t="s">
        <v>245</v>
      </c>
      <c r="O775" s="7" t="s">
        <v>246</v>
      </c>
      <c r="P775" s="7" t="str">
        <f t="shared" si="6"/>
        <v>missing</v>
      </c>
      <c r="Q775" s="7" t="s">
        <v>31</v>
      </c>
      <c r="R775" s="7" t="s">
        <v>1257</v>
      </c>
    </row>
    <row r="776" spans="1:18" s="7" customFormat="1" x14ac:dyDescent="0.35">
      <c r="A776" s="7">
        <v>46</v>
      </c>
      <c r="B776" s="7" t="s">
        <v>1253</v>
      </c>
      <c r="C776" s="7">
        <v>2022</v>
      </c>
      <c r="D776" s="7" t="s">
        <v>420</v>
      </c>
      <c r="E776" s="7" t="s">
        <v>1254</v>
      </c>
      <c r="F776" s="7" t="s">
        <v>1255</v>
      </c>
      <c r="G776" s="7" t="s">
        <v>86</v>
      </c>
      <c r="H776" s="7" t="s">
        <v>1262</v>
      </c>
      <c r="I776" s="7">
        <v>43.908333329999998</v>
      </c>
      <c r="J776" s="10">
        <v>-83.741666699999996</v>
      </c>
      <c r="K776" s="7" t="s">
        <v>103</v>
      </c>
      <c r="L776" s="7" t="s">
        <v>28</v>
      </c>
      <c r="M776" s="7" t="s">
        <v>632</v>
      </c>
      <c r="N776" s="7" t="s">
        <v>245</v>
      </c>
      <c r="O776" s="7" t="s">
        <v>246</v>
      </c>
      <c r="P776" s="7" t="str">
        <f t="shared" si="6"/>
        <v>missing</v>
      </c>
      <c r="Q776" s="7" t="s">
        <v>31</v>
      </c>
      <c r="R776" s="7" t="s">
        <v>1257</v>
      </c>
    </row>
    <row r="777" spans="1:18" s="7" customFormat="1" x14ac:dyDescent="0.35">
      <c r="A777" s="7">
        <v>46</v>
      </c>
      <c r="B777" s="7" t="s">
        <v>1253</v>
      </c>
      <c r="C777" s="7">
        <v>2022</v>
      </c>
      <c r="D777" s="7" t="s">
        <v>420</v>
      </c>
      <c r="E777" s="7" t="s">
        <v>1254</v>
      </c>
      <c r="F777" s="7" t="s">
        <v>1255</v>
      </c>
      <c r="G777" s="7" t="s">
        <v>86</v>
      </c>
      <c r="H777" s="7" t="s">
        <v>1263</v>
      </c>
      <c r="I777" s="7">
        <v>43.976388890000003</v>
      </c>
      <c r="J777" s="10">
        <v>-83.575555600000001</v>
      </c>
      <c r="K777" s="7" t="s">
        <v>103</v>
      </c>
      <c r="L777" s="7" t="s">
        <v>28</v>
      </c>
      <c r="M777" s="7" t="s">
        <v>632</v>
      </c>
      <c r="N777" s="7" t="s">
        <v>245</v>
      </c>
      <c r="O777" s="7" t="s">
        <v>246</v>
      </c>
      <c r="P777" s="7" t="str">
        <f t="shared" si="6"/>
        <v>missing</v>
      </c>
      <c r="Q777" s="7" t="s">
        <v>31</v>
      </c>
      <c r="R777" s="7" t="s">
        <v>1257</v>
      </c>
    </row>
    <row r="778" spans="1:18" s="7" customFormat="1" x14ac:dyDescent="0.35">
      <c r="A778" s="7">
        <v>46</v>
      </c>
      <c r="B778" s="7" t="s">
        <v>1253</v>
      </c>
      <c r="C778" s="7">
        <v>2022</v>
      </c>
      <c r="D778" s="7" t="s">
        <v>420</v>
      </c>
      <c r="E778" s="7" t="s">
        <v>1254</v>
      </c>
      <c r="F778" s="7" t="s">
        <v>1255</v>
      </c>
      <c r="G778" s="7" t="s">
        <v>86</v>
      </c>
      <c r="H778" s="7" t="s">
        <v>1264</v>
      </c>
      <c r="I778" s="7">
        <v>44.11527778</v>
      </c>
      <c r="J778" s="10">
        <v>-83.529166700000005</v>
      </c>
      <c r="K778" s="7" t="s">
        <v>103</v>
      </c>
      <c r="L778" s="7" t="s">
        <v>28</v>
      </c>
      <c r="M778" s="7" t="s">
        <v>632</v>
      </c>
      <c r="N778" s="7" t="s">
        <v>245</v>
      </c>
      <c r="O778" s="7" t="s">
        <v>246</v>
      </c>
      <c r="P778" s="7" t="str">
        <f t="shared" si="6"/>
        <v>missing</v>
      </c>
      <c r="Q778" s="7" t="s">
        <v>31</v>
      </c>
      <c r="R778" s="7" t="s">
        <v>1257</v>
      </c>
    </row>
    <row r="779" spans="1:18" s="7" customFormat="1" x14ac:dyDescent="0.35">
      <c r="A779" s="7">
        <v>46</v>
      </c>
      <c r="B779" s="7" t="s">
        <v>1253</v>
      </c>
      <c r="C779" s="7">
        <v>2022</v>
      </c>
      <c r="D779" s="7" t="s">
        <v>420</v>
      </c>
      <c r="E779" s="7" t="s">
        <v>1254</v>
      </c>
      <c r="F779" s="7" t="s">
        <v>1255</v>
      </c>
      <c r="G779" s="7" t="s">
        <v>86</v>
      </c>
      <c r="H779" s="7" t="s">
        <v>1265</v>
      </c>
      <c r="I779" s="7">
        <v>44.126388890000001</v>
      </c>
      <c r="J779" s="10">
        <v>-83.170833299999998</v>
      </c>
      <c r="K779" s="7" t="s">
        <v>103</v>
      </c>
      <c r="L779" s="7" t="s">
        <v>28</v>
      </c>
      <c r="M779" s="7" t="s">
        <v>632</v>
      </c>
      <c r="N779" s="7" t="s">
        <v>245</v>
      </c>
      <c r="O779" s="7" t="s">
        <v>246</v>
      </c>
      <c r="P779" s="7" t="str">
        <f t="shared" si="6"/>
        <v>missing</v>
      </c>
      <c r="Q779" s="7" t="s">
        <v>31</v>
      </c>
      <c r="R779" s="7" t="s">
        <v>1257</v>
      </c>
    </row>
    <row r="780" spans="1:18" s="7" customFormat="1" x14ac:dyDescent="0.35">
      <c r="A780" s="7">
        <v>46</v>
      </c>
      <c r="B780" s="7" t="s">
        <v>1253</v>
      </c>
      <c r="C780" s="7">
        <v>2022</v>
      </c>
      <c r="D780" s="7" t="s">
        <v>420</v>
      </c>
      <c r="E780" s="7" t="s">
        <v>1254</v>
      </c>
      <c r="F780" s="7" t="s">
        <v>1255</v>
      </c>
      <c r="G780" s="7" t="s">
        <v>86</v>
      </c>
      <c r="H780" s="7" t="s">
        <v>1266</v>
      </c>
      <c r="I780" s="7">
        <v>44.198333329999997</v>
      </c>
      <c r="J780" s="10">
        <v>-82.503333299999994</v>
      </c>
      <c r="K780" s="7" t="s">
        <v>103</v>
      </c>
      <c r="L780" s="7" t="s">
        <v>28</v>
      </c>
      <c r="M780" s="7" t="s">
        <v>632</v>
      </c>
      <c r="N780" s="7" t="s">
        <v>245</v>
      </c>
      <c r="O780" s="7" t="s">
        <v>246</v>
      </c>
      <c r="P780" s="7" t="str">
        <f t="shared" si="6"/>
        <v>missing</v>
      </c>
      <c r="Q780" s="7" t="s">
        <v>31</v>
      </c>
      <c r="R780" s="7" t="s">
        <v>1257</v>
      </c>
    </row>
    <row r="781" spans="1:18" s="7" customFormat="1" x14ac:dyDescent="0.35">
      <c r="A781" s="7">
        <v>46</v>
      </c>
      <c r="B781" s="7" t="s">
        <v>1253</v>
      </c>
      <c r="C781" s="7">
        <v>2022</v>
      </c>
      <c r="D781" s="7" t="s">
        <v>420</v>
      </c>
      <c r="E781" s="7" t="s">
        <v>1254</v>
      </c>
      <c r="F781" s="7" t="s">
        <v>1255</v>
      </c>
      <c r="G781" s="7" t="s">
        <v>86</v>
      </c>
      <c r="H781" s="7" t="s">
        <v>1267</v>
      </c>
      <c r="I781" s="7">
        <v>44.212499999999999</v>
      </c>
      <c r="J781" s="10">
        <v>-83.370833300000001</v>
      </c>
      <c r="K781" s="7" t="s">
        <v>103</v>
      </c>
      <c r="L781" s="7" t="s">
        <v>28</v>
      </c>
      <c r="M781" s="7" t="s">
        <v>632</v>
      </c>
      <c r="N781" s="7" t="s">
        <v>245</v>
      </c>
      <c r="O781" s="7" t="s">
        <v>246</v>
      </c>
      <c r="P781" s="7" t="str">
        <f t="shared" si="6"/>
        <v>missing</v>
      </c>
      <c r="Q781" s="7" t="s">
        <v>31</v>
      </c>
      <c r="R781" s="7" t="s">
        <v>1257</v>
      </c>
    </row>
    <row r="782" spans="1:18" s="7" customFormat="1" x14ac:dyDescent="0.35">
      <c r="A782" s="7">
        <v>46</v>
      </c>
      <c r="B782" s="7" t="s">
        <v>1253</v>
      </c>
      <c r="C782" s="7">
        <v>2022</v>
      </c>
      <c r="D782" s="7" t="s">
        <v>420</v>
      </c>
      <c r="E782" s="7" t="s">
        <v>1254</v>
      </c>
      <c r="F782" s="7" t="s">
        <v>1255</v>
      </c>
      <c r="G782" s="7" t="s">
        <v>86</v>
      </c>
      <c r="H782" s="7" t="s">
        <v>1268</v>
      </c>
      <c r="I782" s="7">
        <v>44.216666670000002</v>
      </c>
      <c r="J782" s="10">
        <v>-83.083333300000007</v>
      </c>
      <c r="K782" s="7" t="s">
        <v>103</v>
      </c>
      <c r="L782" s="7" t="s">
        <v>28</v>
      </c>
      <c r="M782" s="7" t="s">
        <v>632</v>
      </c>
      <c r="N782" s="7" t="s">
        <v>245</v>
      </c>
      <c r="O782" s="7" t="s">
        <v>246</v>
      </c>
      <c r="P782" s="7" t="str">
        <f t="shared" si="6"/>
        <v>missing</v>
      </c>
      <c r="Q782" s="7" t="s">
        <v>31</v>
      </c>
      <c r="R782" s="7" t="s">
        <v>1257</v>
      </c>
    </row>
    <row r="783" spans="1:18" s="7" customFormat="1" x14ac:dyDescent="0.35">
      <c r="A783" s="7">
        <v>46</v>
      </c>
      <c r="B783" s="7" t="s">
        <v>1253</v>
      </c>
      <c r="C783" s="7">
        <v>2022</v>
      </c>
      <c r="D783" s="7" t="s">
        <v>420</v>
      </c>
      <c r="E783" s="7" t="s">
        <v>1254</v>
      </c>
      <c r="F783" s="7" t="s">
        <v>1255</v>
      </c>
      <c r="G783" s="7" t="s">
        <v>86</v>
      </c>
      <c r="H783" s="7" t="s">
        <v>1269</v>
      </c>
      <c r="I783" s="7">
        <v>44.333333330000002</v>
      </c>
      <c r="J783" s="10">
        <v>-83.3</v>
      </c>
      <c r="K783" s="7" t="s">
        <v>103</v>
      </c>
      <c r="L783" s="7" t="s">
        <v>28</v>
      </c>
      <c r="M783" s="7" t="s">
        <v>632</v>
      </c>
      <c r="N783" s="7" t="s">
        <v>245</v>
      </c>
      <c r="O783" s="7" t="s">
        <v>246</v>
      </c>
      <c r="P783" s="7" t="str">
        <f t="shared" si="6"/>
        <v>missing</v>
      </c>
      <c r="Q783" s="7" t="s">
        <v>31</v>
      </c>
      <c r="R783" s="7" t="s">
        <v>1257</v>
      </c>
    </row>
    <row r="784" spans="1:18" s="7" customFormat="1" x14ac:dyDescent="0.35">
      <c r="A784" s="7">
        <v>46</v>
      </c>
      <c r="B784" s="7" t="s">
        <v>1253</v>
      </c>
      <c r="C784" s="7">
        <v>2022</v>
      </c>
      <c r="D784" s="7" t="s">
        <v>420</v>
      </c>
      <c r="E784" s="7" t="s">
        <v>1254</v>
      </c>
      <c r="F784" s="7" t="s">
        <v>1255</v>
      </c>
      <c r="G784" s="7" t="s">
        <v>86</v>
      </c>
      <c r="H784" s="7" t="s">
        <v>1270</v>
      </c>
      <c r="I784" s="7">
        <v>44.366666670000001</v>
      </c>
      <c r="J784" s="10">
        <v>-81.833333300000007</v>
      </c>
      <c r="K784" s="7" t="s">
        <v>103</v>
      </c>
      <c r="L784" s="7" t="s">
        <v>28</v>
      </c>
      <c r="M784" s="7" t="s">
        <v>632</v>
      </c>
      <c r="N784" s="7" t="s">
        <v>245</v>
      </c>
      <c r="O784" s="7" t="s">
        <v>246</v>
      </c>
      <c r="P784" s="7" t="str">
        <f t="shared" si="6"/>
        <v>missing</v>
      </c>
      <c r="Q784" s="7" t="s">
        <v>31</v>
      </c>
      <c r="R784" s="7" t="s">
        <v>1257</v>
      </c>
    </row>
    <row r="785" spans="1:18" s="7" customFormat="1" x14ac:dyDescent="0.35">
      <c r="A785" s="7">
        <v>46</v>
      </c>
      <c r="B785" s="7" t="s">
        <v>1253</v>
      </c>
      <c r="C785" s="7">
        <v>2022</v>
      </c>
      <c r="D785" s="7" t="s">
        <v>420</v>
      </c>
      <c r="E785" s="7" t="s">
        <v>1254</v>
      </c>
      <c r="F785" s="7" t="s">
        <v>1255</v>
      </c>
      <c r="G785" s="7" t="s">
        <v>86</v>
      </c>
      <c r="H785" s="7" t="s">
        <v>1271</v>
      </c>
      <c r="I785" s="7">
        <v>44.45333333</v>
      </c>
      <c r="J785" s="10">
        <v>-82.341666700000005</v>
      </c>
      <c r="K785" s="7" t="s">
        <v>103</v>
      </c>
      <c r="L785" s="7" t="s">
        <v>28</v>
      </c>
      <c r="M785" s="7" t="s">
        <v>632</v>
      </c>
      <c r="N785" s="7" t="s">
        <v>245</v>
      </c>
      <c r="O785" s="7" t="s">
        <v>246</v>
      </c>
      <c r="P785" s="7" t="str">
        <f t="shared" si="6"/>
        <v>missing</v>
      </c>
      <c r="Q785" s="7" t="s">
        <v>31</v>
      </c>
      <c r="R785" s="7" t="s">
        <v>1257</v>
      </c>
    </row>
    <row r="786" spans="1:18" s="7" customFormat="1" x14ac:dyDescent="0.35">
      <c r="A786" s="7">
        <v>46</v>
      </c>
      <c r="B786" s="7" t="s">
        <v>1253</v>
      </c>
      <c r="C786" s="7">
        <v>2022</v>
      </c>
      <c r="D786" s="7" t="s">
        <v>420</v>
      </c>
      <c r="E786" s="7" t="s">
        <v>1254</v>
      </c>
      <c r="F786" s="7" t="s">
        <v>1255</v>
      </c>
      <c r="G786" s="7" t="s">
        <v>86</v>
      </c>
      <c r="H786" s="7" t="s">
        <v>1272</v>
      </c>
      <c r="I786" s="7">
        <v>44.466666670000002</v>
      </c>
      <c r="J786" s="10">
        <v>-81.453333299999997</v>
      </c>
      <c r="K786" s="7" t="s">
        <v>103</v>
      </c>
      <c r="L786" s="7" t="s">
        <v>28</v>
      </c>
      <c r="M786" s="7" t="s">
        <v>632</v>
      </c>
      <c r="N786" s="7" t="s">
        <v>245</v>
      </c>
      <c r="O786" s="7" t="s">
        <v>246</v>
      </c>
      <c r="P786" s="7" t="str">
        <f t="shared" si="6"/>
        <v>missing</v>
      </c>
      <c r="Q786" s="7" t="s">
        <v>31</v>
      </c>
      <c r="R786" s="7" t="s">
        <v>1257</v>
      </c>
    </row>
    <row r="787" spans="1:18" s="7" customFormat="1" x14ac:dyDescent="0.35">
      <c r="A787" s="7">
        <v>46</v>
      </c>
      <c r="B787" s="7" t="s">
        <v>1253</v>
      </c>
      <c r="C787" s="7">
        <v>2022</v>
      </c>
      <c r="D787" s="7" t="s">
        <v>420</v>
      </c>
      <c r="E787" s="7" t="s">
        <v>1254</v>
      </c>
      <c r="F787" s="7" t="s">
        <v>1255</v>
      </c>
      <c r="G787" s="7" t="s">
        <v>86</v>
      </c>
      <c r="H787" s="7" t="s">
        <v>1273</v>
      </c>
      <c r="I787" s="7">
        <v>44.5</v>
      </c>
      <c r="J787" s="10">
        <v>-82.833333300000007</v>
      </c>
      <c r="K787" s="7" t="s">
        <v>103</v>
      </c>
      <c r="L787" s="7" t="s">
        <v>28</v>
      </c>
      <c r="M787" s="7" t="s">
        <v>632</v>
      </c>
      <c r="N787" s="7" t="s">
        <v>245</v>
      </c>
      <c r="O787" s="7" t="s">
        <v>246</v>
      </c>
      <c r="P787" s="7" t="str">
        <f t="shared" si="6"/>
        <v>missing</v>
      </c>
      <c r="Q787" s="7" t="s">
        <v>31</v>
      </c>
      <c r="R787" s="7" t="s">
        <v>1257</v>
      </c>
    </row>
    <row r="788" spans="1:18" s="7" customFormat="1" ht="15.75" customHeight="1" x14ac:dyDescent="0.35">
      <c r="A788" s="7">
        <v>46</v>
      </c>
      <c r="B788" s="7" t="s">
        <v>1253</v>
      </c>
      <c r="C788" s="7">
        <v>2022</v>
      </c>
      <c r="D788" s="7" t="s">
        <v>420</v>
      </c>
      <c r="E788" s="7" t="s">
        <v>1254</v>
      </c>
      <c r="F788" s="7" t="s">
        <v>1255</v>
      </c>
      <c r="G788" s="7" t="s">
        <v>86</v>
      </c>
      <c r="H788" s="7" t="s">
        <v>1274</v>
      </c>
      <c r="I788" s="7">
        <v>44.514166670000002</v>
      </c>
      <c r="J788" s="10">
        <v>-81.382527800000005</v>
      </c>
      <c r="K788" s="7" t="s">
        <v>103</v>
      </c>
      <c r="L788" s="7" t="s">
        <v>28</v>
      </c>
      <c r="M788" s="7" t="s">
        <v>632</v>
      </c>
      <c r="N788" s="7" t="s">
        <v>245</v>
      </c>
      <c r="O788" s="7" t="s">
        <v>246</v>
      </c>
      <c r="P788" s="7" t="str">
        <f t="shared" si="6"/>
        <v>missing</v>
      </c>
      <c r="Q788" s="7" t="s">
        <v>31</v>
      </c>
      <c r="R788" s="7" t="s">
        <v>1257</v>
      </c>
    </row>
    <row r="789" spans="1:18" s="7" customFormat="1" ht="15.75" customHeight="1" x14ac:dyDescent="0.35">
      <c r="A789" s="7">
        <v>46</v>
      </c>
      <c r="B789" s="7" t="s">
        <v>1253</v>
      </c>
      <c r="C789" s="7">
        <v>2022</v>
      </c>
      <c r="D789" s="7" t="s">
        <v>420</v>
      </c>
      <c r="E789" s="7" t="s">
        <v>1254</v>
      </c>
      <c r="F789" s="7" t="s">
        <v>1255</v>
      </c>
      <c r="G789" s="7" t="s">
        <v>86</v>
      </c>
      <c r="H789" s="7" t="s">
        <v>1275</v>
      </c>
      <c r="I789" s="7">
        <v>44.603027779999998</v>
      </c>
      <c r="J789" s="10">
        <v>-80.071083299999998</v>
      </c>
      <c r="K789" s="7" t="s">
        <v>103</v>
      </c>
      <c r="L789" s="7" t="s">
        <v>28</v>
      </c>
      <c r="M789" s="7" t="s">
        <v>632</v>
      </c>
      <c r="N789" s="7" t="s">
        <v>245</v>
      </c>
      <c r="O789" s="7" t="s">
        <v>246</v>
      </c>
      <c r="P789" s="7" t="str">
        <f t="shared" si="6"/>
        <v>missing</v>
      </c>
      <c r="Q789" s="7" t="s">
        <v>31</v>
      </c>
      <c r="R789" s="7" t="s">
        <v>1257</v>
      </c>
    </row>
    <row r="790" spans="1:18" s="7" customFormat="1" ht="15.75" customHeight="1" x14ac:dyDescent="0.35">
      <c r="A790" s="7">
        <v>46</v>
      </c>
      <c r="B790" s="7" t="s">
        <v>1253</v>
      </c>
      <c r="C790" s="7">
        <v>2022</v>
      </c>
      <c r="D790" s="7" t="s">
        <v>420</v>
      </c>
      <c r="E790" s="7" t="s">
        <v>1254</v>
      </c>
      <c r="F790" s="7" t="s">
        <v>1255</v>
      </c>
      <c r="G790" s="7" t="s">
        <v>86</v>
      </c>
      <c r="H790" s="7" t="s">
        <v>1276</v>
      </c>
      <c r="I790" s="7">
        <v>44.603083329999997</v>
      </c>
      <c r="J790" s="10">
        <v>-80.927194400000005</v>
      </c>
      <c r="K790" s="7" t="s">
        <v>103</v>
      </c>
      <c r="L790" s="7" t="s">
        <v>28</v>
      </c>
      <c r="M790" s="7" t="s">
        <v>632</v>
      </c>
      <c r="N790" s="7" t="s">
        <v>245</v>
      </c>
      <c r="O790" s="7" t="s">
        <v>246</v>
      </c>
      <c r="P790" s="7" t="str">
        <f t="shared" si="6"/>
        <v>missing</v>
      </c>
      <c r="Q790" s="7" t="s">
        <v>31</v>
      </c>
      <c r="R790" s="7" t="s">
        <v>1257</v>
      </c>
    </row>
    <row r="791" spans="1:18" s="7" customFormat="1" ht="15.75" customHeight="1" x14ac:dyDescent="0.35">
      <c r="A791" s="7">
        <v>46</v>
      </c>
      <c r="B791" s="7" t="s">
        <v>1253</v>
      </c>
      <c r="C791" s="7">
        <v>2022</v>
      </c>
      <c r="D791" s="7" t="s">
        <v>420</v>
      </c>
      <c r="E791" s="7" t="s">
        <v>1254</v>
      </c>
      <c r="F791" s="7" t="s">
        <v>1255</v>
      </c>
      <c r="G791" s="7" t="s">
        <v>86</v>
      </c>
      <c r="H791" s="7" t="s">
        <v>1277</v>
      </c>
      <c r="I791" s="7">
        <v>44.645833330000002</v>
      </c>
      <c r="J791" s="10">
        <v>-80.166666699999993</v>
      </c>
      <c r="K791" s="7" t="s">
        <v>103</v>
      </c>
      <c r="L791" s="7" t="s">
        <v>28</v>
      </c>
      <c r="M791" s="7" t="s">
        <v>632</v>
      </c>
      <c r="N791" s="7" t="s">
        <v>245</v>
      </c>
      <c r="O791" s="7" t="s">
        <v>246</v>
      </c>
      <c r="P791" s="7" t="str">
        <f t="shared" si="6"/>
        <v>missing</v>
      </c>
      <c r="Q791" s="7" t="s">
        <v>31</v>
      </c>
      <c r="R791" s="7" t="s">
        <v>1257</v>
      </c>
    </row>
    <row r="792" spans="1:18" s="7" customFormat="1" ht="15.75" customHeight="1" x14ac:dyDescent="0.35">
      <c r="A792" s="7">
        <v>46</v>
      </c>
      <c r="B792" s="7" t="s">
        <v>1253</v>
      </c>
      <c r="C792" s="7">
        <v>2022</v>
      </c>
      <c r="D792" s="7" t="s">
        <v>420</v>
      </c>
      <c r="E792" s="7" t="s">
        <v>1254</v>
      </c>
      <c r="F792" s="7" t="s">
        <v>1255</v>
      </c>
      <c r="G792" s="7" t="s">
        <v>86</v>
      </c>
      <c r="H792" s="7" t="s">
        <v>1278</v>
      </c>
      <c r="I792" s="7">
        <v>44.717500000000001</v>
      </c>
      <c r="J792" s="10">
        <v>-80.856666700000005</v>
      </c>
      <c r="K792" s="7" t="s">
        <v>103</v>
      </c>
      <c r="L792" s="7" t="s">
        <v>28</v>
      </c>
      <c r="M792" s="7" t="s">
        <v>632</v>
      </c>
      <c r="N792" s="7" t="s">
        <v>245</v>
      </c>
      <c r="O792" s="7" t="s">
        <v>246</v>
      </c>
      <c r="P792" s="7" t="str">
        <f t="shared" si="6"/>
        <v>missing</v>
      </c>
      <c r="Q792" s="7" t="s">
        <v>31</v>
      </c>
      <c r="R792" s="7" t="s">
        <v>1257</v>
      </c>
    </row>
    <row r="793" spans="1:18" s="7" customFormat="1" ht="15.75" customHeight="1" x14ac:dyDescent="0.35">
      <c r="A793" s="7">
        <v>46</v>
      </c>
      <c r="B793" s="7" t="s">
        <v>1253</v>
      </c>
      <c r="C793" s="7">
        <v>2022</v>
      </c>
      <c r="D793" s="7" t="s">
        <v>420</v>
      </c>
      <c r="E793" s="7" t="s">
        <v>1254</v>
      </c>
      <c r="F793" s="7" t="s">
        <v>1255</v>
      </c>
      <c r="G793" s="7" t="s">
        <v>86</v>
      </c>
      <c r="H793" s="7" t="s">
        <v>1279</v>
      </c>
      <c r="I793" s="7">
        <v>44.725000000000001</v>
      </c>
      <c r="J793" s="10">
        <v>-80.616666699999996</v>
      </c>
      <c r="K793" s="7" t="s">
        <v>103</v>
      </c>
      <c r="L793" s="7" t="s">
        <v>28</v>
      </c>
      <c r="M793" s="7" t="s">
        <v>632</v>
      </c>
      <c r="N793" s="7" t="s">
        <v>245</v>
      </c>
      <c r="O793" s="7" t="s">
        <v>246</v>
      </c>
      <c r="P793" s="7" t="str">
        <f t="shared" si="6"/>
        <v>missing</v>
      </c>
      <c r="Q793" s="7" t="s">
        <v>31</v>
      </c>
      <c r="R793" s="7" t="s">
        <v>1257</v>
      </c>
    </row>
    <row r="794" spans="1:18" s="7" customFormat="1" ht="15.75" customHeight="1" x14ac:dyDescent="0.35">
      <c r="A794" s="7">
        <v>46</v>
      </c>
      <c r="B794" s="7" t="s">
        <v>1253</v>
      </c>
      <c r="C794" s="7">
        <v>2022</v>
      </c>
      <c r="D794" s="7" t="s">
        <v>420</v>
      </c>
      <c r="E794" s="7" t="s">
        <v>1254</v>
      </c>
      <c r="F794" s="7" t="s">
        <v>1255</v>
      </c>
      <c r="G794" s="7" t="s">
        <v>86</v>
      </c>
      <c r="H794" s="7" t="s">
        <v>1280</v>
      </c>
      <c r="I794" s="7">
        <v>44.736666669999998</v>
      </c>
      <c r="J794" s="10">
        <v>-80.435000000000002</v>
      </c>
      <c r="K794" s="7" t="s">
        <v>103</v>
      </c>
      <c r="L794" s="7" t="s">
        <v>28</v>
      </c>
      <c r="M794" s="7" t="s">
        <v>632</v>
      </c>
      <c r="N794" s="7" t="s">
        <v>245</v>
      </c>
      <c r="O794" s="7" t="s">
        <v>246</v>
      </c>
      <c r="P794" s="7" t="str">
        <f t="shared" si="6"/>
        <v>missing</v>
      </c>
      <c r="Q794" s="7" t="s">
        <v>31</v>
      </c>
      <c r="R794" s="7" t="s">
        <v>1257</v>
      </c>
    </row>
    <row r="795" spans="1:18" s="7" customFormat="1" ht="15.75" customHeight="1" x14ac:dyDescent="0.35">
      <c r="A795" s="7">
        <v>46</v>
      </c>
      <c r="B795" s="7" t="s">
        <v>1253</v>
      </c>
      <c r="C795" s="7">
        <v>2022</v>
      </c>
      <c r="D795" s="7" t="s">
        <v>420</v>
      </c>
      <c r="E795" s="7" t="s">
        <v>1254</v>
      </c>
      <c r="F795" s="7" t="s">
        <v>1255</v>
      </c>
      <c r="G795" s="7" t="s">
        <v>86</v>
      </c>
      <c r="H795" s="7" t="s">
        <v>1281</v>
      </c>
      <c r="I795" s="7">
        <v>44.74</v>
      </c>
      <c r="J795" s="10">
        <v>-82.057222199999998</v>
      </c>
      <c r="K795" s="7" t="s">
        <v>103</v>
      </c>
      <c r="L795" s="7" t="s">
        <v>28</v>
      </c>
      <c r="M795" s="7" t="s">
        <v>632</v>
      </c>
      <c r="N795" s="7" t="s">
        <v>245</v>
      </c>
      <c r="O795" s="7" t="s">
        <v>246</v>
      </c>
      <c r="P795" s="7" t="str">
        <f t="shared" si="6"/>
        <v>missing</v>
      </c>
      <c r="Q795" s="7" t="s">
        <v>31</v>
      </c>
      <c r="R795" s="7" t="s">
        <v>1257</v>
      </c>
    </row>
    <row r="796" spans="1:18" s="7" customFormat="1" ht="15.75" customHeight="1" x14ac:dyDescent="0.35">
      <c r="A796" s="7">
        <v>46</v>
      </c>
      <c r="B796" s="7" t="s">
        <v>1253</v>
      </c>
      <c r="C796" s="7">
        <v>2022</v>
      </c>
      <c r="D796" s="7" t="s">
        <v>420</v>
      </c>
      <c r="E796" s="7" t="s">
        <v>1254</v>
      </c>
      <c r="F796" s="7" t="s">
        <v>1255</v>
      </c>
      <c r="G796" s="7" t="s">
        <v>86</v>
      </c>
      <c r="H796" s="7" t="s">
        <v>1282</v>
      </c>
      <c r="I796" s="7">
        <v>44.788972219999998</v>
      </c>
      <c r="J796" s="10">
        <v>-79.850361100000001</v>
      </c>
      <c r="K796" s="7" t="s">
        <v>103</v>
      </c>
      <c r="L796" s="7" t="s">
        <v>28</v>
      </c>
      <c r="M796" s="7" t="s">
        <v>632</v>
      </c>
      <c r="N796" s="7" t="s">
        <v>245</v>
      </c>
      <c r="O796" s="7" t="s">
        <v>246</v>
      </c>
      <c r="P796" s="7" t="str">
        <f t="shared" si="6"/>
        <v>missing</v>
      </c>
      <c r="Q796" s="7" t="s">
        <v>31</v>
      </c>
      <c r="R796" s="7" t="s">
        <v>1257</v>
      </c>
    </row>
    <row r="797" spans="1:18" s="7" customFormat="1" ht="15.75" customHeight="1" x14ac:dyDescent="0.35">
      <c r="A797" s="7">
        <v>46</v>
      </c>
      <c r="B797" s="7" t="s">
        <v>1253</v>
      </c>
      <c r="C797" s="7">
        <v>2022</v>
      </c>
      <c r="D797" s="7" t="s">
        <v>420</v>
      </c>
      <c r="E797" s="7" t="s">
        <v>1254</v>
      </c>
      <c r="F797" s="7" t="s">
        <v>1255</v>
      </c>
      <c r="G797" s="7" t="s">
        <v>86</v>
      </c>
      <c r="H797" s="7" t="s">
        <v>1283</v>
      </c>
      <c r="I797" s="7">
        <v>44.79666667</v>
      </c>
      <c r="J797" s="10">
        <v>-80.243333300000003</v>
      </c>
      <c r="K797" s="7" t="s">
        <v>103</v>
      </c>
      <c r="L797" s="7" t="s">
        <v>28</v>
      </c>
      <c r="M797" s="7" t="s">
        <v>632</v>
      </c>
      <c r="N797" s="7" t="s">
        <v>245</v>
      </c>
      <c r="O797" s="7" t="s">
        <v>246</v>
      </c>
      <c r="P797" s="7" t="str">
        <f t="shared" si="6"/>
        <v>missing</v>
      </c>
      <c r="Q797" s="7" t="s">
        <v>31</v>
      </c>
      <c r="R797" s="7" t="s">
        <v>1257</v>
      </c>
    </row>
    <row r="798" spans="1:18" s="7" customFormat="1" ht="15.75" customHeight="1" x14ac:dyDescent="0.35">
      <c r="A798" s="7">
        <v>46</v>
      </c>
      <c r="B798" s="7" t="s">
        <v>1253</v>
      </c>
      <c r="C798" s="7">
        <v>2022</v>
      </c>
      <c r="D798" s="7" t="s">
        <v>420</v>
      </c>
      <c r="E798" s="7" t="s">
        <v>1254</v>
      </c>
      <c r="F798" s="7" t="s">
        <v>1255</v>
      </c>
      <c r="G798" s="7" t="s">
        <v>86</v>
      </c>
      <c r="H798" s="7" t="s">
        <v>1284</v>
      </c>
      <c r="I798" s="7">
        <v>44.871666670000003</v>
      </c>
      <c r="J798" s="10">
        <v>-79.9680556</v>
      </c>
      <c r="K798" s="7" t="s">
        <v>103</v>
      </c>
      <c r="L798" s="7" t="s">
        <v>28</v>
      </c>
      <c r="M798" s="7" t="s">
        <v>632</v>
      </c>
      <c r="N798" s="7" t="s">
        <v>245</v>
      </c>
      <c r="O798" s="7" t="s">
        <v>246</v>
      </c>
      <c r="P798" s="7" t="str">
        <f t="shared" si="6"/>
        <v>missing</v>
      </c>
      <c r="Q798" s="7" t="s">
        <v>31</v>
      </c>
      <c r="R798" s="7" t="s">
        <v>1257</v>
      </c>
    </row>
    <row r="799" spans="1:18" s="7" customFormat="1" ht="15.75" customHeight="1" x14ac:dyDescent="0.35">
      <c r="A799" s="7">
        <v>46</v>
      </c>
      <c r="B799" s="7" t="s">
        <v>1253</v>
      </c>
      <c r="C799" s="7">
        <v>2022</v>
      </c>
      <c r="D799" s="7" t="s">
        <v>420</v>
      </c>
      <c r="E799" s="7" t="s">
        <v>1254</v>
      </c>
      <c r="F799" s="7" t="s">
        <v>1255</v>
      </c>
      <c r="G799" s="7" t="s">
        <v>86</v>
      </c>
      <c r="H799" s="7" t="s">
        <v>1285</v>
      </c>
      <c r="I799" s="7">
        <v>44.92</v>
      </c>
      <c r="J799" s="10">
        <v>-80.875</v>
      </c>
      <c r="K799" s="7" t="s">
        <v>103</v>
      </c>
      <c r="L799" s="7" t="s">
        <v>28</v>
      </c>
      <c r="M799" s="7" t="s">
        <v>632</v>
      </c>
      <c r="N799" s="7" t="s">
        <v>245</v>
      </c>
      <c r="O799" s="7" t="s">
        <v>246</v>
      </c>
      <c r="P799" s="7" t="str">
        <f t="shared" si="6"/>
        <v>missing</v>
      </c>
      <c r="Q799" s="7" t="s">
        <v>31</v>
      </c>
      <c r="R799" s="7" t="s">
        <v>1257</v>
      </c>
    </row>
    <row r="800" spans="1:18" s="7" customFormat="1" ht="15.75" customHeight="1" x14ac:dyDescent="0.35">
      <c r="A800" s="7">
        <v>46</v>
      </c>
      <c r="B800" s="7" t="s">
        <v>1253</v>
      </c>
      <c r="C800" s="7">
        <v>2022</v>
      </c>
      <c r="D800" s="7" t="s">
        <v>420</v>
      </c>
      <c r="E800" s="7" t="s">
        <v>1254</v>
      </c>
      <c r="F800" s="7" t="s">
        <v>1255</v>
      </c>
      <c r="G800" s="7" t="s">
        <v>86</v>
      </c>
      <c r="H800" s="7" t="s">
        <v>1286</v>
      </c>
      <c r="I800" s="7">
        <v>44.920833330000001</v>
      </c>
      <c r="J800" s="10">
        <v>-80.6058333</v>
      </c>
      <c r="K800" s="7" t="s">
        <v>103</v>
      </c>
      <c r="L800" s="7" t="s">
        <v>28</v>
      </c>
      <c r="M800" s="7" t="s">
        <v>632</v>
      </c>
      <c r="N800" s="7" t="s">
        <v>245</v>
      </c>
      <c r="O800" s="7" t="s">
        <v>246</v>
      </c>
      <c r="P800" s="7" t="str">
        <f t="shared" si="6"/>
        <v>missing</v>
      </c>
      <c r="Q800" s="7" t="s">
        <v>31</v>
      </c>
      <c r="R800" s="7" t="s">
        <v>1257</v>
      </c>
    </row>
    <row r="801" spans="1:18" s="7" customFormat="1" ht="15.75" customHeight="1" x14ac:dyDescent="0.35">
      <c r="A801" s="7">
        <v>46</v>
      </c>
      <c r="B801" s="7" t="s">
        <v>1253</v>
      </c>
      <c r="C801" s="7">
        <v>2022</v>
      </c>
      <c r="D801" s="7" t="s">
        <v>420</v>
      </c>
      <c r="E801" s="7" t="s">
        <v>1254</v>
      </c>
      <c r="F801" s="7" t="s">
        <v>1255</v>
      </c>
      <c r="G801" s="7" t="s">
        <v>86</v>
      </c>
      <c r="H801" s="7" t="s">
        <v>1287</v>
      </c>
      <c r="I801" s="7">
        <v>44.952777779999998</v>
      </c>
      <c r="J801" s="10">
        <v>-80.148888900000003</v>
      </c>
      <c r="K801" s="7" t="s">
        <v>103</v>
      </c>
      <c r="L801" s="7" t="s">
        <v>28</v>
      </c>
      <c r="M801" s="7" t="s">
        <v>632</v>
      </c>
      <c r="N801" s="7" t="s">
        <v>245</v>
      </c>
      <c r="O801" s="7" t="s">
        <v>246</v>
      </c>
      <c r="P801" s="7" t="str">
        <f t="shared" si="6"/>
        <v>missing</v>
      </c>
      <c r="Q801" s="7" t="s">
        <v>31</v>
      </c>
      <c r="R801" s="7" t="s">
        <v>1257</v>
      </c>
    </row>
    <row r="802" spans="1:18" s="7" customFormat="1" ht="15.75" customHeight="1" x14ac:dyDescent="0.35">
      <c r="A802" s="7">
        <v>46</v>
      </c>
      <c r="B802" s="7" t="s">
        <v>1253</v>
      </c>
      <c r="C802" s="7">
        <v>2022</v>
      </c>
      <c r="D802" s="7" t="s">
        <v>420</v>
      </c>
      <c r="E802" s="7" t="s">
        <v>1254</v>
      </c>
      <c r="F802" s="7" t="s">
        <v>1255</v>
      </c>
      <c r="G802" s="7" t="s">
        <v>86</v>
      </c>
      <c r="H802" s="7" t="s">
        <v>1288</v>
      </c>
      <c r="I802" s="7">
        <v>45.013333330000002</v>
      </c>
      <c r="J802" s="10">
        <v>-82.008333300000004</v>
      </c>
      <c r="K802" s="7" t="s">
        <v>103</v>
      </c>
      <c r="L802" s="7" t="s">
        <v>28</v>
      </c>
      <c r="M802" s="7" t="s">
        <v>632</v>
      </c>
      <c r="N802" s="7" t="s">
        <v>245</v>
      </c>
      <c r="O802" s="7" t="s">
        <v>246</v>
      </c>
      <c r="P802" s="7" t="str">
        <f t="shared" si="6"/>
        <v>missing</v>
      </c>
      <c r="Q802" s="7" t="s">
        <v>31</v>
      </c>
      <c r="R802" s="7" t="s">
        <v>1257</v>
      </c>
    </row>
    <row r="803" spans="1:18" s="7" customFormat="1" ht="15.75" customHeight="1" x14ac:dyDescent="0.35">
      <c r="A803" s="7">
        <v>46</v>
      </c>
      <c r="B803" s="7" t="s">
        <v>1253</v>
      </c>
      <c r="C803" s="7">
        <v>2022</v>
      </c>
      <c r="D803" s="7" t="s">
        <v>420</v>
      </c>
      <c r="E803" s="7" t="s">
        <v>1254</v>
      </c>
      <c r="F803" s="7" t="s">
        <v>1255</v>
      </c>
      <c r="G803" s="7" t="s">
        <v>86</v>
      </c>
      <c r="H803" s="7" t="s">
        <v>1289</v>
      </c>
      <c r="I803" s="7">
        <v>45.016666669999999</v>
      </c>
      <c r="J803" s="10">
        <v>-82.685000000000002</v>
      </c>
      <c r="K803" s="7" t="s">
        <v>103</v>
      </c>
      <c r="L803" s="7" t="s">
        <v>28</v>
      </c>
      <c r="M803" s="7" t="s">
        <v>632</v>
      </c>
      <c r="N803" s="7" t="s">
        <v>245</v>
      </c>
      <c r="O803" s="7" t="s">
        <v>246</v>
      </c>
      <c r="P803" s="7" t="str">
        <f t="shared" ref="P803:P834" si="7">N803</f>
        <v>missing</v>
      </c>
      <c r="Q803" s="7" t="s">
        <v>31</v>
      </c>
      <c r="R803" s="7" t="s">
        <v>1257</v>
      </c>
    </row>
    <row r="804" spans="1:18" s="7" customFormat="1" ht="15.75" customHeight="1" x14ac:dyDescent="0.35">
      <c r="A804" s="7">
        <v>46</v>
      </c>
      <c r="B804" s="7" t="s">
        <v>1253</v>
      </c>
      <c r="C804" s="7">
        <v>2022</v>
      </c>
      <c r="D804" s="7" t="s">
        <v>420</v>
      </c>
      <c r="E804" s="7" t="s">
        <v>1254</v>
      </c>
      <c r="F804" s="7" t="s">
        <v>1255</v>
      </c>
      <c r="G804" s="7" t="s">
        <v>86</v>
      </c>
      <c r="H804" s="7" t="s">
        <v>1290</v>
      </c>
      <c r="I804" s="7">
        <v>45.04</v>
      </c>
      <c r="J804" s="10">
        <v>-83.378333299999994</v>
      </c>
      <c r="K804" s="7" t="s">
        <v>103</v>
      </c>
      <c r="L804" s="7" t="s">
        <v>28</v>
      </c>
      <c r="M804" s="7" t="s">
        <v>632</v>
      </c>
      <c r="N804" s="7" t="s">
        <v>245</v>
      </c>
      <c r="O804" s="7" t="s">
        <v>246</v>
      </c>
      <c r="P804" s="7" t="str">
        <f t="shared" si="7"/>
        <v>missing</v>
      </c>
      <c r="Q804" s="7" t="s">
        <v>31</v>
      </c>
      <c r="R804" s="7" t="s">
        <v>1257</v>
      </c>
    </row>
    <row r="805" spans="1:18" s="7" customFormat="1" ht="15.75" customHeight="1" x14ac:dyDescent="0.35">
      <c r="A805" s="7">
        <v>46</v>
      </c>
      <c r="B805" s="7" t="s">
        <v>1253</v>
      </c>
      <c r="C805" s="7">
        <v>2022</v>
      </c>
      <c r="D805" s="7" t="s">
        <v>420</v>
      </c>
      <c r="E805" s="7" t="s">
        <v>1254</v>
      </c>
      <c r="F805" s="7" t="s">
        <v>1255</v>
      </c>
      <c r="G805" s="7" t="s">
        <v>86</v>
      </c>
      <c r="H805" s="7" t="s">
        <v>1291</v>
      </c>
      <c r="I805" s="7">
        <v>45.066666669999996</v>
      </c>
      <c r="J805" s="10">
        <v>-81.253888900000007</v>
      </c>
      <c r="K805" s="7" t="s">
        <v>103</v>
      </c>
      <c r="L805" s="7" t="s">
        <v>28</v>
      </c>
      <c r="M805" s="7" t="s">
        <v>632</v>
      </c>
      <c r="N805" s="7" t="s">
        <v>245</v>
      </c>
      <c r="O805" s="7" t="s">
        <v>246</v>
      </c>
      <c r="P805" s="7" t="str">
        <f t="shared" si="7"/>
        <v>missing</v>
      </c>
      <c r="Q805" s="7" t="s">
        <v>31</v>
      </c>
      <c r="R805" s="7" t="s">
        <v>1257</v>
      </c>
    </row>
    <row r="806" spans="1:18" s="7" customFormat="1" ht="15.75" customHeight="1" x14ac:dyDescent="0.35">
      <c r="A806" s="7">
        <v>46</v>
      </c>
      <c r="B806" s="7" t="s">
        <v>1253</v>
      </c>
      <c r="C806" s="7">
        <v>2022</v>
      </c>
      <c r="D806" s="7" t="s">
        <v>420</v>
      </c>
      <c r="E806" s="7" t="s">
        <v>1254</v>
      </c>
      <c r="F806" s="7" t="s">
        <v>1255</v>
      </c>
      <c r="G806" s="7" t="s">
        <v>86</v>
      </c>
      <c r="H806" s="7" t="s">
        <v>1292</v>
      </c>
      <c r="I806" s="7">
        <v>45.166666669999998</v>
      </c>
      <c r="J806" s="10">
        <v>-80.296666700000003</v>
      </c>
      <c r="K806" s="7" t="s">
        <v>103</v>
      </c>
      <c r="L806" s="7" t="s">
        <v>28</v>
      </c>
      <c r="M806" s="7" t="s">
        <v>632</v>
      </c>
      <c r="N806" s="7" t="s">
        <v>245</v>
      </c>
      <c r="O806" s="7" t="s">
        <v>246</v>
      </c>
      <c r="P806" s="7" t="str">
        <f t="shared" si="7"/>
        <v>missing</v>
      </c>
      <c r="Q806" s="7" t="s">
        <v>31</v>
      </c>
      <c r="R806" s="7" t="s">
        <v>1257</v>
      </c>
    </row>
    <row r="807" spans="1:18" s="7" customFormat="1" ht="15.75" customHeight="1" x14ac:dyDescent="0.35">
      <c r="A807" s="7">
        <v>46</v>
      </c>
      <c r="B807" s="7" t="s">
        <v>1253</v>
      </c>
      <c r="C807" s="7">
        <v>2022</v>
      </c>
      <c r="D807" s="7" t="s">
        <v>420</v>
      </c>
      <c r="E807" s="7" t="s">
        <v>1254</v>
      </c>
      <c r="F807" s="7" t="s">
        <v>1255</v>
      </c>
      <c r="G807" s="7" t="s">
        <v>86</v>
      </c>
      <c r="H807" s="7" t="s">
        <v>1293</v>
      </c>
      <c r="I807" s="7">
        <v>45.221666669999998</v>
      </c>
      <c r="J807" s="10">
        <v>-81.819999999999993</v>
      </c>
      <c r="K807" s="7" t="s">
        <v>103</v>
      </c>
      <c r="L807" s="7" t="s">
        <v>28</v>
      </c>
      <c r="M807" s="7" t="s">
        <v>632</v>
      </c>
      <c r="N807" s="7" t="s">
        <v>245</v>
      </c>
      <c r="O807" s="7" t="s">
        <v>246</v>
      </c>
      <c r="P807" s="7" t="str">
        <f t="shared" si="7"/>
        <v>missing</v>
      </c>
      <c r="Q807" s="7" t="s">
        <v>31</v>
      </c>
      <c r="R807" s="7" t="s">
        <v>1257</v>
      </c>
    </row>
    <row r="808" spans="1:18" s="7" customFormat="1" ht="15.75" customHeight="1" x14ac:dyDescent="0.35">
      <c r="A808" s="7">
        <v>46</v>
      </c>
      <c r="B808" s="7" t="s">
        <v>1253</v>
      </c>
      <c r="C808" s="7">
        <v>2022</v>
      </c>
      <c r="D808" s="7" t="s">
        <v>420</v>
      </c>
      <c r="E808" s="7" t="s">
        <v>1254</v>
      </c>
      <c r="F808" s="7" t="s">
        <v>1255</v>
      </c>
      <c r="G808" s="7" t="s">
        <v>86</v>
      </c>
      <c r="H808" s="7" t="s">
        <v>1294</v>
      </c>
      <c r="I808" s="7">
        <v>45.238333330000003</v>
      </c>
      <c r="J808" s="10">
        <v>-81.44</v>
      </c>
      <c r="K808" s="7" t="s">
        <v>103</v>
      </c>
      <c r="L808" s="7" t="s">
        <v>28</v>
      </c>
      <c r="M808" s="7" t="s">
        <v>632</v>
      </c>
      <c r="N808" s="7" t="s">
        <v>245</v>
      </c>
      <c r="O808" s="7" t="s">
        <v>246</v>
      </c>
      <c r="P808" s="7" t="str">
        <f t="shared" si="7"/>
        <v>missing</v>
      </c>
      <c r="Q808" s="7" t="s">
        <v>31</v>
      </c>
      <c r="R808" s="7" t="s">
        <v>1257</v>
      </c>
    </row>
    <row r="809" spans="1:18" s="7" customFormat="1" ht="15.75" customHeight="1" x14ac:dyDescent="0.35">
      <c r="A809" s="7">
        <v>46</v>
      </c>
      <c r="B809" s="7" t="s">
        <v>1253</v>
      </c>
      <c r="C809" s="7">
        <v>2022</v>
      </c>
      <c r="D809" s="7" t="s">
        <v>420</v>
      </c>
      <c r="E809" s="7" t="s">
        <v>1254</v>
      </c>
      <c r="F809" s="7" t="s">
        <v>1255</v>
      </c>
      <c r="G809" s="7" t="s">
        <v>86</v>
      </c>
      <c r="H809" s="7" t="s">
        <v>1295</v>
      </c>
      <c r="I809" s="7">
        <v>45.244999999999997</v>
      </c>
      <c r="J809" s="10">
        <v>-80.875</v>
      </c>
      <c r="K809" s="7" t="s">
        <v>103</v>
      </c>
      <c r="L809" s="7" t="s">
        <v>28</v>
      </c>
      <c r="M809" s="7" t="s">
        <v>632</v>
      </c>
      <c r="N809" s="7" t="s">
        <v>245</v>
      </c>
      <c r="O809" s="7" t="s">
        <v>246</v>
      </c>
      <c r="P809" s="7" t="str">
        <f t="shared" si="7"/>
        <v>missing</v>
      </c>
      <c r="Q809" s="7" t="s">
        <v>31</v>
      </c>
      <c r="R809" s="7" t="s">
        <v>1257</v>
      </c>
    </row>
    <row r="810" spans="1:18" s="7" customFormat="1" ht="15.75" customHeight="1" x14ac:dyDescent="0.35">
      <c r="A810" s="7">
        <v>46</v>
      </c>
      <c r="B810" s="7" t="s">
        <v>1253</v>
      </c>
      <c r="C810" s="7">
        <v>2022</v>
      </c>
      <c r="D810" s="7" t="s">
        <v>420</v>
      </c>
      <c r="E810" s="7" t="s">
        <v>1254</v>
      </c>
      <c r="F810" s="7" t="s">
        <v>1255</v>
      </c>
      <c r="G810" s="7" t="s">
        <v>86</v>
      </c>
      <c r="H810" s="7" t="s">
        <v>1296</v>
      </c>
      <c r="I810" s="7">
        <v>45.325000000000003</v>
      </c>
      <c r="J810" s="10">
        <v>-80.116666699999996</v>
      </c>
      <c r="K810" s="7" t="s">
        <v>103</v>
      </c>
      <c r="L810" s="7" t="s">
        <v>28</v>
      </c>
      <c r="M810" s="7" t="s">
        <v>632</v>
      </c>
      <c r="N810" s="7" t="s">
        <v>245</v>
      </c>
      <c r="O810" s="7" t="s">
        <v>246</v>
      </c>
      <c r="P810" s="7" t="str">
        <f t="shared" si="7"/>
        <v>missing</v>
      </c>
      <c r="Q810" s="7" t="s">
        <v>31</v>
      </c>
      <c r="R810" s="7" t="s">
        <v>1257</v>
      </c>
    </row>
    <row r="811" spans="1:18" s="7" customFormat="1" ht="15.75" customHeight="1" x14ac:dyDescent="0.35">
      <c r="A811" s="7">
        <v>46</v>
      </c>
      <c r="B811" s="7" t="s">
        <v>1253</v>
      </c>
      <c r="C811" s="7">
        <v>2022</v>
      </c>
      <c r="D811" s="7" t="s">
        <v>420</v>
      </c>
      <c r="E811" s="7" t="s">
        <v>1254</v>
      </c>
      <c r="F811" s="7" t="s">
        <v>1255</v>
      </c>
      <c r="G811" s="7" t="s">
        <v>86</v>
      </c>
      <c r="H811" s="7" t="s">
        <v>1297</v>
      </c>
      <c r="I811" s="7">
        <v>45.336277780000003</v>
      </c>
      <c r="J811" s="10">
        <v>-80.060500000000005</v>
      </c>
      <c r="K811" s="7" t="s">
        <v>103</v>
      </c>
      <c r="L811" s="7" t="s">
        <v>28</v>
      </c>
      <c r="M811" s="7" t="s">
        <v>632</v>
      </c>
      <c r="N811" s="7" t="s">
        <v>245</v>
      </c>
      <c r="O811" s="7" t="s">
        <v>246</v>
      </c>
      <c r="P811" s="7" t="str">
        <f t="shared" si="7"/>
        <v>missing</v>
      </c>
      <c r="Q811" s="7" t="s">
        <v>31</v>
      </c>
      <c r="R811" s="7" t="s">
        <v>1257</v>
      </c>
    </row>
    <row r="812" spans="1:18" s="7" customFormat="1" ht="15.75" customHeight="1" x14ac:dyDescent="0.35">
      <c r="A812" s="7">
        <v>46</v>
      </c>
      <c r="B812" s="7" t="s">
        <v>1253</v>
      </c>
      <c r="C812" s="7">
        <v>2022</v>
      </c>
      <c r="D812" s="7" t="s">
        <v>420</v>
      </c>
      <c r="E812" s="7" t="s">
        <v>1254</v>
      </c>
      <c r="F812" s="7" t="s">
        <v>1255</v>
      </c>
      <c r="G812" s="7" t="s">
        <v>86</v>
      </c>
      <c r="H812" s="7" t="s">
        <v>1298</v>
      </c>
      <c r="I812" s="7">
        <v>45.336861110000001</v>
      </c>
      <c r="J812" s="10">
        <v>-80.281638900000004</v>
      </c>
      <c r="K812" s="7" t="s">
        <v>103</v>
      </c>
      <c r="L812" s="7" t="s">
        <v>28</v>
      </c>
      <c r="M812" s="7" t="s">
        <v>632</v>
      </c>
      <c r="N812" s="7" t="s">
        <v>245</v>
      </c>
      <c r="O812" s="7" t="s">
        <v>246</v>
      </c>
      <c r="P812" s="7" t="str">
        <f t="shared" si="7"/>
        <v>missing</v>
      </c>
      <c r="Q812" s="7" t="s">
        <v>31</v>
      </c>
      <c r="R812" s="7" t="s">
        <v>1257</v>
      </c>
    </row>
    <row r="813" spans="1:18" s="7" customFormat="1" ht="15.75" customHeight="1" x14ac:dyDescent="0.35">
      <c r="A813" s="7">
        <v>46</v>
      </c>
      <c r="B813" s="7" t="s">
        <v>1253</v>
      </c>
      <c r="C813" s="7">
        <v>2022</v>
      </c>
      <c r="D813" s="7" t="s">
        <v>420</v>
      </c>
      <c r="E813" s="7" t="s">
        <v>1254</v>
      </c>
      <c r="F813" s="7" t="s">
        <v>1255</v>
      </c>
      <c r="G813" s="7" t="s">
        <v>86</v>
      </c>
      <c r="H813" s="7" t="s">
        <v>1299</v>
      </c>
      <c r="I813" s="7">
        <v>45.365000000000002</v>
      </c>
      <c r="J813" s="10">
        <v>-81.19</v>
      </c>
      <c r="K813" s="7" t="s">
        <v>103</v>
      </c>
      <c r="L813" s="7" t="s">
        <v>28</v>
      </c>
      <c r="M813" s="7" t="s">
        <v>632</v>
      </c>
      <c r="N813" s="7" t="s">
        <v>245</v>
      </c>
      <c r="O813" s="7" t="s">
        <v>246</v>
      </c>
      <c r="P813" s="7" t="str">
        <f t="shared" si="7"/>
        <v>missing</v>
      </c>
      <c r="Q813" s="7" t="s">
        <v>31</v>
      </c>
      <c r="R813" s="7" t="s">
        <v>1257</v>
      </c>
    </row>
    <row r="814" spans="1:18" s="7" customFormat="1" ht="15.75" customHeight="1" x14ac:dyDescent="0.35">
      <c r="A814" s="7">
        <v>46</v>
      </c>
      <c r="B814" s="7" t="s">
        <v>1253</v>
      </c>
      <c r="C814" s="7">
        <v>2022</v>
      </c>
      <c r="D814" s="7" t="s">
        <v>420</v>
      </c>
      <c r="E814" s="7" t="s">
        <v>1254</v>
      </c>
      <c r="F814" s="7" t="s">
        <v>1255</v>
      </c>
      <c r="G814" s="7" t="s">
        <v>86</v>
      </c>
      <c r="H814" s="7" t="s">
        <v>1300</v>
      </c>
      <c r="I814" s="7">
        <v>45.370277780000002</v>
      </c>
      <c r="J814" s="10">
        <v>-81.584999999999994</v>
      </c>
      <c r="K814" s="7" t="s">
        <v>103</v>
      </c>
      <c r="L814" s="7" t="s">
        <v>28</v>
      </c>
      <c r="M814" s="7" t="s">
        <v>632</v>
      </c>
      <c r="N814" s="7" t="s">
        <v>245</v>
      </c>
      <c r="O814" s="7" t="s">
        <v>246</v>
      </c>
      <c r="P814" s="7" t="str">
        <f t="shared" si="7"/>
        <v>missing</v>
      </c>
      <c r="Q814" s="7" t="s">
        <v>31</v>
      </c>
      <c r="R814" s="7" t="s">
        <v>1257</v>
      </c>
    </row>
    <row r="815" spans="1:18" s="7" customFormat="1" ht="15.75" customHeight="1" x14ac:dyDescent="0.35">
      <c r="A815" s="7">
        <v>46</v>
      </c>
      <c r="B815" s="7" t="s">
        <v>1253</v>
      </c>
      <c r="C815" s="7">
        <v>2022</v>
      </c>
      <c r="D815" s="7" t="s">
        <v>420</v>
      </c>
      <c r="E815" s="7" t="s">
        <v>1254</v>
      </c>
      <c r="F815" s="7" t="s">
        <v>1255</v>
      </c>
      <c r="G815" s="7" t="s">
        <v>86</v>
      </c>
      <c r="H815" s="7" t="s">
        <v>1301</v>
      </c>
      <c r="I815" s="7">
        <v>45.516666669999999</v>
      </c>
      <c r="J815" s="10">
        <v>-83.416666699999993</v>
      </c>
      <c r="K815" s="7" t="s">
        <v>103</v>
      </c>
      <c r="L815" s="7" t="s">
        <v>28</v>
      </c>
      <c r="M815" s="7" t="s">
        <v>632</v>
      </c>
      <c r="N815" s="7" t="s">
        <v>245</v>
      </c>
      <c r="O815" s="7" t="s">
        <v>246</v>
      </c>
      <c r="P815" s="7" t="str">
        <f t="shared" si="7"/>
        <v>missing</v>
      </c>
      <c r="Q815" s="7" t="s">
        <v>31</v>
      </c>
      <c r="R815" s="7" t="s">
        <v>1257</v>
      </c>
    </row>
    <row r="816" spans="1:18" s="7" customFormat="1" ht="15.75" customHeight="1" x14ac:dyDescent="0.35">
      <c r="A816" s="7">
        <v>46</v>
      </c>
      <c r="B816" s="7" t="s">
        <v>1253</v>
      </c>
      <c r="C816" s="7">
        <v>2022</v>
      </c>
      <c r="D816" s="7" t="s">
        <v>420</v>
      </c>
      <c r="E816" s="7" t="s">
        <v>1254</v>
      </c>
      <c r="F816" s="7" t="s">
        <v>1255</v>
      </c>
      <c r="G816" s="7" t="s">
        <v>86</v>
      </c>
      <c r="H816" s="7" t="s">
        <v>1302</v>
      </c>
      <c r="I816" s="7">
        <v>45.516666669999999</v>
      </c>
      <c r="J816" s="10">
        <v>-84.083333300000007</v>
      </c>
      <c r="K816" s="7" t="s">
        <v>103</v>
      </c>
      <c r="L816" s="7" t="s">
        <v>28</v>
      </c>
      <c r="M816" s="7" t="s">
        <v>632</v>
      </c>
      <c r="N816" s="7" t="s">
        <v>245</v>
      </c>
      <c r="O816" s="7" t="s">
        <v>246</v>
      </c>
      <c r="P816" s="7" t="str">
        <f t="shared" si="7"/>
        <v>missing</v>
      </c>
      <c r="Q816" s="7" t="s">
        <v>31</v>
      </c>
      <c r="R816" s="7" t="s">
        <v>1257</v>
      </c>
    </row>
    <row r="817" spans="1:18" s="7" customFormat="1" ht="15.75" customHeight="1" x14ac:dyDescent="0.35">
      <c r="A817" s="7">
        <v>46</v>
      </c>
      <c r="B817" s="7" t="s">
        <v>1253</v>
      </c>
      <c r="C817" s="7">
        <v>2022</v>
      </c>
      <c r="D817" s="7" t="s">
        <v>420</v>
      </c>
      <c r="E817" s="7" t="s">
        <v>1254</v>
      </c>
      <c r="F817" s="7" t="s">
        <v>1255</v>
      </c>
      <c r="G817" s="7" t="s">
        <v>86</v>
      </c>
      <c r="H817" s="7" t="s">
        <v>1303</v>
      </c>
      <c r="I817" s="7">
        <v>45.527500000000003</v>
      </c>
      <c r="J817" s="10">
        <v>-81.669444400000003</v>
      </c>
      <c r="K817" s="7" t="s">
        <v>103</v>
      </c>
      <c r="L817" s="7" t="s">
        <v>28</v>
      </c>
      <c r="M817" s="7" t="s">
        <v>632</v>
      </c>
      <c r="N817" s="7" t="s">
        <v>245</v>
      </c>
      <c r="O817" s="7" t="s">
        <v>246</v>
      </c>
      <c r="P817" s="7" t="str">
        <f t="shared" si="7"/>
        <v>missing</v>
      </c>
      <c r="Q817" s="7" t="s">
        <v>31</v>
      </c>
      <c r="R817" s="7" t="s">
        <v>1257</v>
      </c>
    </row>
    <row r="818" spans="1:18" s="7" customFormat="1" ht="15.75" customHeight="1" x14ac:dyDescent="0.35">
      <c r="A818" s="7">
        <v>46</v>
      </c>
      <c r="B818" s="7" t="s">
        <v>1253</v>
      </c>
      <c r="C818" s="7">
        <v>2022</v>
      </c>
      <c r="D818" s="7" t="s">
        <v>420</v>
      </c>
      <c r="E818" s="7" t="s">
        <v>1254</v>
      </c>
      <c r="F818" s="7" t="s">
        <v>1255</v>
      </c>
      <c r="G818" s="7" t="s">
        <v>86</v>
      </c>
      <c r="H818" s="7" t="s">
        <v>1304</v>
      </c>
      <c r="I818" s="7">
        <v>45.534999999999997</v>
      </c>
      <c r="J818" s="10">
        <v>-82.034999999999997</v>
      </c>
      <c r="K818" s="7" t="s">
        <v>103</v>
      </c>
      <c r="L818" s="7" t="s">
        <v>28</v>
      </c>
      <c r="M818" s="7" t="s">
        <v>632</v>
      </c>
      <c r="N818" s="7" t="s">
        <v>245</v>
      </c>
      <c r="O818" s="7" t="s">
        <v>246</v>
      </c>
      <c r="P818" s="7" t="str">
        <f t="shared" si="7"/>
        <v>missing</v>
      </c>
      <c r="Q818" s="7" t="s">
        <v>31</v>
      </c>
      <c r="R818" s="7" t="s">
        <v>1257</v>
      </c>
    </row>
    <row r="819" spans="1:18" s="7" customFormat="1" ht="15.75" customHeight="1" x14ac:dyDescent="0.35">
      <c r="A819" s="7">
        <v>46</v>
      </c>
      <c r="B819" s="7" t="s">
        <v>1253</v>
      </c>
      <c r="C819" s="7">
        <v>2022</v>
      </c>
      <c r="D819" s="7" t="s">
        <v>420</v>
      </c>
      <c r="E819" s="7" t="s">
        <v>1254</v>
      </c>
      <c r="F819" s="7" t="s">
        <v>1255</v>
      </c>
      <c r="G819" s="7" t="s">
        <v>86</v>
      </c>
      <c r="H819" s="7" t="s">
        <v>1305</v>
      </c>
      <c r="I819" s="7">
        <v>45.583333330000002</v>
      </c>
      <c r="J819" s="10">
        <v>-81.083333300000007</v>
      </c>
      <c r="K819" s="7" t="s">
        <v>103</v>
      </c>
      <c r="L819" s="7" t="s">
        <v>28</v>
      </c>
      <c r="M819" s="7" t="s">
        <v>632</v>
      </c>
      <c r="N819" s="7" t="s">
        <v>245</v>
      </c>
      <c r="O819" s="7" t="s">
        <v>246</v>
      </c>
      <c r="P819" s="7" t="str">
        <f t="shared" si="7"/>
        <v>missing</v>
      </c>
      <c r="Q819" s="7" t="s">
        <v>31</v>
      </c>
      <c r="R819" s="7" t="s">
        <v>1257</v>
      </c>
    </row>
    <row r="820" spans="1:18" s="7" customFormat="1" ht="15.75" customHeight="1" x14ac:dyDescent="0.35">
      <c r="A820" s="7">
        <v>46</v>
      </c>
      <c r="B820" s="7" t="s">
        <v>1253</v>
      </c>
      <c r="C820" s="7">
        <v>2022</v>
      </c>
      <c r="D820" s="7" t="s">
        <v>420</v>
      </c>
      <c r="E820" s="7" t="s">
        <v>1254</v>
      </c>
      <c r="F820" s="7" t="s">
        <v>1255</v>
      </c>
      <c r="G820" s="7" t="s">
        <v>86</v>
      </c>
      <c r="H820" s="7" t="s">
        <v>1306</v>
      </c>
      <c r="I820" s="7">
        <v>45.651666669999997</v>
      </c>
      <c r="J820" s="10">
        <v>-82.648333300000004</v>
      </c>
      <c r="K820" s="7" t="s">
        <v>103</v>
      </c>
      <c r="L820" s="7" t="s">
        <v>28</v>
      </c>
      <c r="M820" s="7" t="s">
        <v>632</v>
      </c>
      <c r="N820" s="7" t="s">
        <v>245</v>
      </c>
      <c r="O820" s="7" t="s">
        <v>246</v>
      </c>
      <c r="P820" s="7" t="str">
        <f t="shared" si="7"/>
        <v>missing</v>
      </c>
      <c r="Q820" s="7" t="s">
        <v>31</v>
      </c>
      <c r="R820" s="7" t="s">
        <v>1257</v>
      </c>
    </row>
    <row r="821" spans="1:18" s="7" customFormat="1" ht="15.75" customHeight="1" x14ac:dyDescent="0.35">
      <c r="A821" s="7">
        <v>46</v>
      </c>
      <c r="B821" s="7" t="s">
        <v>1253</v>
      </c>
      <c r="C821" s="7">
        <v>2022</v>
      </c>
      <c r="D821" s="7" t="s">
        <v>420</v>
      </c>
      <c r="E821" s="7" t="s">
        <v>1254</v>
      </c>
      <c r="F821" s="7" t="s">
        <v>1255</v>
      </c>
      <c r="G821" s="7" t="s">
        <v>86</v>
      </c>
      <c r="H821" s="7" t="s">
        <v>1307</v>
      </c>
      <c r="I821" s="7">
        <v>45.674999999999997</v>
      </c>
      <c r="J821" s="10">
        <v>-84.186666700000004</v>
      </c>
      <c r="K821" s="7" t="s">
        <v>103</v>
      </c>
      <c r="L821" s="7" t="s">
        <v>28</v>
      </c>
      <c r="M821" s="7" t="s">
        <v>632</v>
      </c>
      <c r="N821" s="7" t="s">
        <v>245</v>
      </c>
      <c r="O821" s="7" t="s">
        <v>246</v>
      </c>
      <c r="P821" s="7" t="str">
        <f t="shared" si="7"/>
        <v>missing</v>
      </c>
      <c r="Q821" s="7" t="s">
        <v>31</v>
      </c>
      <c r="R821" s="7" t="s">
        <v>1257</v>
      </c>
    </row>
    <row r="822" spans="1:18" s="7" customFormat="1" ht="15.75" customHeight="1" x14ac:dyDescent="0.35">
      <c r="A822" s="7">
        <v>46</v>
      </c>
      <c r="B822" s="7" t="s">
        <v>1253</v>
      </c>
      <c r="C822" s="7">
        <v>2022</v>
      </c>
      <c r="D822" s="7" t="s">
        <v>420</v>
      </c>
      <c r="E822" s="7" t="s">
        <v>1254</v>
      </c>
      <c r="F822" s="7" t="s">
        <v>1255</v>
      </c>
      <c r="G822" s="7" t="s">
        <v>86</v>
      </c>
      <c r="H822" s="7" t="s">
        <v>1308</v>
      </c>
      <c r="I822" s="7">
        <v>45.678888890000003</v>
      </c>
      <c r="J822" s="10">
        <v>-80.838888900000001</v>
      </c>
      <c r="K822" s="7" t="s">
        <v>103</v>
      </c>
      <c r="L822" s="7" t="s">
        <v>28</v>
      </c>
      <c r="M822" s="7" t="s">
        <v>632</v>
      </c>
      <c r="N822" s="7" t="s">
        <v>245</v>
      </c>
      <c r="O822" s="7" t="s">
        <v>246</v>
      </c>
      <c r="P822" s="7" t="str">
        <f t="shared" si="7"/>
        <v>missing</v>
      </c>
      <c r="Q822" s="7" t="s">
        <v>31</v>
      </c>
      <c r="R822" s="7" t="s">
        <v>1257</v>
      </c>
    </row>
    <row r="823" spans="1:18" s="7" customFormat="1" ht="15.75" customHeight="1" x14ac:dyDescent="0.35">
      <c r="A823" s="7">
        <v>46</v>
      </c>
      <c r="B823" s="7" t="s">
        <v>1253</v>
      </c>
      <c r="C823" s="7">
        <v>2022</v>
      </c>
      <c r="D823" s="7" t="s">
        <v>420</v>
      </c>
      <c r="E823" s="7" t="s">
        <v>1254</v>
      </c>
      <c r="F823" s="7" t="s">
        <v>1255</v>
      </c>
      <c r="G823" s="7" t="s">
        <v>86</v>
      </c>
      <c r="H823" s="7" t="s">
        <v>1309</v>
      </c>
      <c r="I823" s="7">
        <v>45.70333333</v>
      </c>
      <c r="J823" s="10">
        <v>-84.511666700000006</v>
      </c>
      <c r="K823" s="7" t="s">
        <v>103</v>
      </c>
      <c r="L823" s="7" t="s">
        <v>28</v>
      </c>
      <c r="M823" s="7" t="s">
        <v>632</v>
      </c>
      <c r="N823" s="7" t="s">
        <v>245</v>
      </c>
      <c r="O823" s="7" t="s">
        <v>246</v>
      </c>
      <c r="P823" s="7" t="str">
        <f t="shared" si="7"/>
        <v>missing</v>
      </c>
      <c r="Q823" s="7" t="s">
        <v>31</v>
      </c>
      <c r="R823" s="7" t="s">
        <v>1257</v>
      </c>
    </row>
    <row r="824" spans="1:18" s="7" customFormat="1" ht="15.75" customHeight="1" x14ac:dyDescent="0.35">
      <c r="A824" s="7">
        <v>46</v>
      </c>
      <c r="B824" s="7" t="s">
        <v>1253</v>
      </c>
      <c r="C824" s="7">
        <v>2022</v>
      </c>
      <c r="D824" s="7" t="s">
        <v>420</v>
      </c>
      <c r="E824" s="7" t="s">
        <v>1254</v>
      </c>
      <c r="F824" s="7" t="s">
        <v>1255</v>
      </c>
      <c r="G824" s="7" t="s">
        <v>86</v>
      </c>
      <c r="H824" s="7" t="s">
        <v>1310</v>
      </c>
      <c r="I824" s="7">
        <v>45.708333330000002</v>
      </c>
      <c r="J824" s="10">
        <v>-81.62</v>
      </c>
      <c r="K824" s="7" t="s">
        <v>103</v>
      </c>
      <c r="L824" s="7" t="s">
        <v>28</v>
      </c>
      <c r="M824" s="7" t="s">
        <v>632</v>
      </c>
      <c r="N824" s="7" t="s">
        <v>245</v>
      </c>
      <c r="O824" s="7" t="s">
        <v>246</v>
      </c>
      <c r="P824" s="7" t="str">
        <f t="shared" si="7"/>
        <v>missing</v>
      </c>
      <c r="Q824" s="7" t="s">
        <v>31</v>
      </c>
      <c r="R824" s="7" t="s">
        <v>1257</v>
      </c>
    </row>
    <row r="825" spans="1:18" s="7" customFormat="1" ht="15.75" customHeight="1" x14ac:dyDescent="0.35">
      <c r="A825" s="7">
        <v>46</v>
      </c>
      <c r="B825" s="7" t="s">
        <v>1253</v>
      </c>
      <c r="C825" s="7">
        <v>2022</v>
      </c>
      <c r="D825" s="7" t="s">
        <v>420</v>
      </c>
      <c r="E825" s="7" t="s">
        <v>1254</v>
      </c>
      <c r="F825" s="7" t="s">
        <v>1255</v>
      </c>
      <c r="G825" s="7" t="s">
        <v>86</v>
      </c>
      <c r="H825" s="7" t="s">
        <v>1311</v>
      </c>
      <c r="I825" s="7">
        <v>45.75</v>
      </c>
      <c r="J825" s="10">
        <v>-83.916666699999993</v>
      </c>
      <c r="K825" s="7" t="s">
        <v>103</v>
      </c>
      <c r="L825" s="7" t="s">
        <v>28</v>
      </c>
      <c r="M825" s="7" t="s">
        <v>632</v>
      </c>
      <c r="N825" s="7" t="s">
        <v>245</v>
      </c>
      <c r="O825" s="7" t="s">
        <v>246</v>
      </c>
      <c r="P825" s="7" t="str">
        <f t="shared" si="7"/>
        <v>missing</v>
      </c>
      <c r="Q825" s="7" t="s">
        <v>31</v>
      </c>
      <c r="R825" s="7" t="s">
        <v>1257</v>
      </c>
    </row>
    <row r="826" spans="1:18" s="7" customFormat="1" ht="15.75" customHeight="1" x14ac:dyDescent="0.35">
      <c r="A826" s="7">
        <v>46</v>
      </c>
      <c r="B826" s="7" t="s">
        <v>1253</v>
      </c>
      <c r="C826" s="7">
        <v>2022</v>
      </c>
      <c r="D826" s="7" t="s">
        <v>420</v>
      </c>
      <c r="E826" s="7" t="s">
        <v>1254</v>
      </c>
      <c r="F826" s="7" t="s">
        <v>1255</v>
      </c>
      <c r="G826" s="7" t="s">
        <v>86</v>
      </c>
      <c r="H826" s="7" t="s">
        <v>1312</v>
      </c>
      <c r="I826" s="7">
        <v>45.761666669999997</v>
      </c>
      <c r="J826" s="10">
        <v>-81.794722199999995</v>
      </c>
      <c r="K826" s="7" t="s">
        <v>103</v>
      </c>
      <c r="L826" s="7" t="s">
        <v>28</v>
      </c>
      <c r="M826" s="7" t="s">
        <v>632</v>
      </c>
      <c r="N826" s="7" t="s">
        <v>245</v>
      </c>
      <c r="O826" s="7" t="s">
        <v>246</v>
      </c>
      <c r="P826" s="7" t="str">
        <f t="shared" si="7"/>
        <v>missing</v>
      </c>
      <c r="Q826" s="7" t="s">
        <v>31</v>
      </c>
      <c r="R826" s="7" t="s">
        <v>1257</v>
      </c>
    </row>
    <row r="827" spans="1:18" s="7" customFormat="1" ht="15.75" customHeight="1" x14ac:dyDescent="0.35">
      <c r="A827" s="7">
        <v>46</v>
      </c>
      <c r="B827" s="7" t="s">
        <v>1253</v>
      </c>
      <c r="C827" s="7">
        <v>2022</v>
      </c>
      <c r="D827" s="7" t="s">
        <v>420</v>
      </c>
      <c r="E827" s="7" t="s">
        <v>1254</v>
      </c>
      <c r="F827" s="7" t="s">
        <v>1255</v>
      </c>
      <c r="G827" s="7" t="s">
        <v>86</v>
      </c>
      <c r="H827" s="7" t="s">
        <v>1313</v>
      </c>
      <c r="I827" s="7">
        <v>45.844999999999999</v>
      </c>
      <c r="J827" s="10">
        <v>-84.566666699999999</v>
      </c>
      <c r="K827" s="7" t="s">
        <v>103</v>
      </c>
      <c r="L827" s="7" t="s">
        <v>28</v>
      </c>
      <c r="M827" s="7" t="s">
        <v>632</v>
      </c>
      <c r="N827" s="7" t="s">
        <v>245</v>
      </c>
      <c r="O827" s="7" t="s">
        <v>246</v>
      </c>
      <c r="P827" s="7" t="str">
        <f t="shared" si="7"/>
        <v>missing</v>
      </c>
      <c r="Q827" s="7" t="s">
        <v>31</v>
      </c>
      <c r="R827" s="7" t="s">
        <v>1257</v>
      </c>
    </row>
    <row r="828" spans="1:18" s="7" customFormat="1" ht="15.75" customHeight="1" x14ac:dyDescent="0.35">
      <c r="A828" s="7">
        <v>46</v>
      </c>
      <c r="B828" s="7" t="s">
        <v>1253</v>
      </c>
      <c r="C828" s="7">
        <v>2022</v>
      </c>
      <c r="D828" s="7" t="s">
        <v>420</v>
      </c>
      <c r="E828" s="7" t="s">
        <v>1254</v>
      </c>
      <c r="F828" s="7" t="s">
        <v>1255</v>
      </c>
      <c r="G828" s="7" t="s">
        <v>86</v>
      </c>
      <c r="H828" s="7" t="s">
        <v>1314</v>
      </c>
      <c r="I828" s="7">
        <v>45.863333330000003</v>
      </c>
      <c r="J828" s="10">
        <v>-84.295000000000002</v>
      </c>
      <c r="K828" s="7" t="s">
        <v>103</v>
      </c>
      <c r="L828" s="7" t="s">
        <v>28</v>
      </c>
      <c r="M828" s="7" t="s">
        <v>632</v>
      </c>
      <c r="N828" s="7" t="s">
        <v>245</v>
      </c>
      <c r="O828" s="7" t="s">
        <v>246</v>
      </c>
      <c r="P828" s="7" t="str">
        <f t="shared" si="7"/>
        <v>missing</v>
      </c>
      <c r="Q828" s="7" t="s">
        <v>31</v>
      </c>
      <c r="R828" s="7" t="s">
        <v>1257</v>
      </c>
    </row>
    <row r="829" spans="1:18" s="7" customFormat="1" ht="15.75" customHeight="1" x14ac:dyDescent="0.35">
      <c r="A829" s="7">
        <v>46</v>
      </c>
      <c r="B829" s="7" t="s">
        <v>1253</v>
      </c>
      <c r="C829" s="7">
        <v>2022</v>
      </c>
      <c r="D829" s="7" t="s">
        <v>420</v>
      </c>
      <c r="E829" s="7" t="s">
        <v>1254</v>
      </c>
      <c r="F829" s="7" t="s">
        <v>1255</v>
      </c>
      <c r="G829" s="7" t="s">
        <v>86</v>
      </c>
      <c r="H829" s="7" t="s">
        <v>1315</v>
      </c>
      <c r="I829" s="7">
        <v>45.866666670000001</v>
      </c>
      <c r="J829" s="10">
        <v>-83.266666700000002</v>
      </c>
      <c r="K829" s="7" t="s">
        <v>103</v>
      </c>
      <c r="L829" s="7" t="s">
        <v>28</v>
      </c>
      <c r="M829" s="7" t="s">
        <v>632</v>
      </c>
      <c r="N829" s="7" t="s">
        <v>245</v>
      </c>
      <c r="O829" s="7" t="s">
        <v>246</v>
      </c>
      <c r="P829" s="7" t="str">
        <f t="shared" si="7"/>
        <v>missing</v>
      </c>
      <c r="Q829" s="7" t="s">
        <v>31</v>
      </c>
      <c r="R829" s="7" t="s">
        <v>1257</v>
      </c>
    </row>
    <row r="830" spans="1:18" s="7" customFormat="1" ht="15.75" customHeight="1" x14ac:dyDescent="0.35">
      <c r="A830" s="7">
        <v>46</v>
      </c>
      <c r="B830" s="7" t="s">
        <v>1253</v>
      </c>
      <c r="C830" s="7">
        <v>2022</v>
      </c>
      <c r="D830" s="7" t="s">
        <v>420</v>
      </c>
      <c r="E830" s="7" t="s">
        <v>1254</v>
      </c>
      <c r="F830" s="7" t="s">
        <v>1255</v>
      </c>
      <c r="G830" s="7" t="s">
        <v>86</v>
      </c>
      <c r="H830" s="7" t="s">
        <v>1316</v>
      </c>
      <c r="I830" s="7">
        <v>45.873333330000001</v>
      </c>
      <c r="J830" s="10">
        <v>-81.258333300000004</v>
      </c>
      <c r="K830" s="7" t="s">
        <v>103</v>
      </c>
      <c r="L830" s="7" t="s">
        <v>28</v>
      </c>
      <c r="M830" s="7" t="s">
        <v>632</v>
      </c>
      <c r="N830" s="7" t="s">
        <v>245</v>
      </c>
      <c r="O830" s="7" t="s">
        <v>246</v>
      </c>
      <c r="P830" s="7" t="str">
        <f t="shared" si="7"/>
        <v>missing</v>
      </c>
      <c r="Q830" s="7" t="s">
        <v>31</v>
      </c>
      <c r="R830" s="7" t="s">
        <v>1257</v>
      </c>
    </row>
    <row r="831" spans="1:18" s="7" customFormat="1" ht="15.75" customHeight="1" x14ac:dyDescent="0.35">
      <c r="A831" s="7">
        <v>46</v>
      </c>
      <c r="B831" s="7" t="s">
        <v>1253</v>
      </c>
      <c r="C831" s="7">
        <v>2022</v>
      </c>
      <c r="D831" s="7" t="s">
        <v>420</v>
      </c>
      <c r="E831" s="7" t="s">
        <v>1254</v>
      </c>
      <c r="F831" s="7" t="s">
        <v>1255</v>
      </c>
      <c r="G831" s="7" t="s">
        <v>86</v>
      </c>
      <c r="H831" s="7" t="s">
        <v>1317</v>
      </c>
      <c r="I831" s="7">
        <v>45.912777779999999</v>
      </c>
      <c r="J831" s="10">
        <v>-81.594999999999999</v>
      </c>
      <c r="K831" s="7" t="s">
        <v>103</v>
      </c>
      <c r="L831" s="7" t="s">
        <v>28</v>
      </c>
      <c r="M831" s="7" t="s">
        <v>632</v>
      </c>
      <c r="N831" s="7" t="s">
        <v>245</v>
      </c>
      <c r="O831" s="7" t="s">
        <v>246</v>
      </c>
      <c r="P831" s="7" t="str">
        <f t="shared" si="7"/>
        <v>missing</v>
      </c>
      <c r="Q831" s="7" t="s">
        <v>31</v>
      </c>
      <c r="R831" s="7" t="s">
        <v>1257</v>
      </c>
    </row>
    <row r="832" spans="1:18" s="7" customFormat="1" ht="15.75" customHeight="1" x14ac:dyDescent="0.35">
      <c r="A832" s="7">
        <v>46</v>
      </c>
      <c r="B832" s="7" t="s">
        <v>1253</v>
      </c>
      <c r="C832" s="7">
        <v>2022</v>
      </c>
      <c r="D832" s="7" t="s">
        <v>420</v>
      </c>
      <c r="E832" s="7" t="s">
        <v>1254</v>
      </c>
      <c r="F832" s="7" t="s">
        <v>1255</v>
      </c>
      <c r="G832" s="7" t="s">
        <v>86</v>
      </c>
      <c r="H832" s="7" t="s">
        <v>1318</v>
      </c>
      <c r="I832" s="7">
        <v>45.916666669999998</v>
      </c>
      <c r="J832" s="10">
        <v>-82.161111099999999</v>
      </c>
      <c r="K832" s="7" t="s">
        <v>103</v>
      </c>
      <c r="L832" s="7" t="s">
        <v>28</v>
      </c>
      <c r="M832" s="7" t="s">
        <v>632</v>
      </c>
      <c r="N832" s="7" t="s">
        <v>245</v>
      </c>
      <c r="O832" s="7" t="s">
        <v>246</v>
      </c>
      <c r="P832" s="7" t="str">
        <f t="shared" si="7"/>
        <v>missing</v>
      </c>
      <c r="Q832" s="7" t="s">
        <v>31</v>
      </c>
      <c r="R832" s="7" t="s">
        <v>1257</v>
      </c>
    </row>
    <row r="833" spans="1:18" s="7" customFormat="1" ht="15.75" customHeight="1" x14ac:dyDescent="0.35">
      <c r="A833" s="7">
        <v>46</v>
      </c>
      <c r="B833" s="7" t="s">
        <v>1253</v>
      </c>
      <c r="C833" s="7">
        <v>2022</v>
      </c>
      <c r="D833" s="7" t="s">
        <v>420</v>
      </c>
      <c r="E833" s="7" t="s">
        <v>1254</v>
      </c>
      <c r="F833" s="7" t="s">
        <v>1255</v>
      </c>
      <c r="G833" s="7" t="s">
        <v>86</v>
      </c>
      <c r="H833" s="7" t="s">
        <v>1319</v>
      </c>
      <c r="I833" s="7">
        <v>45.935000000000002</v>
      </c>
      <c r="J833" s="10">
        <v>-83.9</v>
      </c>
      <c r="K833" s="7" t="s">
        <v>103</v>
      </c>
      <c r="L833" s="7" t="s">
        <v>28</v>
      </c>
      <c r="M833" s="7" t="s">
        <v>632</v>
      </c>
      <c r="N833" s="7" t="s">
        <v>245</v>
      </c>
      <c r="O833" s="7" t="s">
        <v>246</v>
      </c>
      <c r="P833" s="7" t="str">
        <f t="shared" si="7"/>
        <v>missing</v>
      </c>
      <c r="Q833" s="7" t="s">
        <v>31</v>
      </c>
      <c r="R833" s="7" t="s">
        <v>1257</v>
      </c>
    </row>
    <row r="834" spans="1:18" s="7" customFormat="1" ht="15.75" customHeight="1" x14ac:dyDescent="0.35">
      <c r="A834" s="7">
        <v>46</v>
      </c>
      <c r="B834" s="7" t="s">
        <v>1253</v>
      </c>
      <c r="C834" s="7">
        <v>2022</v>
      </c>
      <c r="D834" s="7" t="s">
        <v>420</v>
      </c>
      <c r="E834" s="7" t="s">
        <v>1254</v>
      </c>
      <c r="F834" s="7" t="s">
        <v>1255</v>
      </c>
      <c r="G834" s="7" t="s">
        <v>86</v>
      </c>
      <c r="H834" s="7" t="s">
        <v>1320</v>
      </c>
      <c r="I834" s="7">
        <v>45.936666670000001</v>
      </c>
      <c r="J834" s="10">
        <v>-82.758333300000004</v>
      </c>
      <c r="K834" s="7" t="s">
        <v>103</v>
      </c>
      <c r="L834" s="7" t="s">
        <v>28</v>
      </c>
      <c r="M834" s="7" t="s">
        <v>632</v>
      </c>
      <c r="N834" s="7" t="s">
        <v>245</v>
      </c>
      <c r="O834" s="7" t="s">
        <v>246</v>
      </c>
      <c r="P834" s="7" t="str">
        <f t="shared" si="7"/>
        <v>missing</v>
      </c>
      <c r="Q834" s="7" t="s">
        <v>31</v>
      </c>
      <c r="R834" s="7" t="s">
        <v>1257</v>
      </c>
    </row>
    <row r="835" spans="1:18" s="7" customFormat="1" ht="15.75" customHeight="1" x14ac:dyDescent="0.35">
      <c r="A835" s="7">
        <v>46</v>
      </c>
      <c r="B835" s="7" t="s">
        <v>1253</v>
      </c>
      <c r="C835" s="7">
        <v>2022</v>
      </c>
      <c r="D835" s="7" t="s">
        <v>420</v>
      </c>
      <c r="E835" s="7" t="s">
        <v>1254</v>
      </c>
      <c r="F835" s="7" t="s">
        <v>1255</v>
      </c>
      <c r="G835" s="7" t="s">
        <v>86</v>
      </c>
      <c r="H835" s="7" t="s">
        <v>1321</v>
      </c>
      <c r="I835" s="7">
        <v>45.97</v>
      </c>
      <c r="J835" s="10">
        <v>-83.198333300000002</v>
      </c>
      <c r="K835" s="7" t="s">
        <v>103</v>
      </c>
      <c r="L835" s="7" t="s">
        <v>28</v>
      </c>
      <c r="M835" s="7" t="s">
        <v>632</v>
      </c>
      <c r="N835" s="7" t="s">
        <v>245</v>
      </c>
      <c r="O835" s="7" t="s">
        <v>246</v>
      </c>
      <c r="P835" s="7" t="str">
        <f t="shared" ref="P835:P854" si="8">N835</f>
        <v>missing</v>
      </c>
      <c r="Q835" s="7" t="s">
        <v>31</v>
      </c>
      <c r="R835" s="7" t="s">
        <v>1257</v>
      </c>
    </row>
    <row r="836" spans="1:18" s="7" customFormat="1" ht="15.75" customHeight="1" x14ac:dyDescent="0.35">
      <c r="A836" s="7">
        <v>46</v>
      </c>
      <c r="B836" s="7" t="s">
        <v>1253</v>
      </c>
      <c r="C836" s="7">
        <v>2022</v>
      </c>
      <c r="D836" s="7" t="s">
        <v>420</v>
      </c>
      <c r="E836" s="7" t="s">
        <v>1254</v>
      </c>
      <c r="F836" s="7" t="s">
        <v>1255</v>
      </c>
      <c r="G836" s="7" t="s">
        <v>86</v>
      </c>
      <c r="H836" s="7" t="s">
        <v>1322</v>
      </c>
      <c r="I836" s="7">
        <v>46</v>
      </c>
      <c r="J836" s="10">
        <v>-82.55</v>
      </c>
      <c r="K836" s="7" t="s">
        <v>103</v>
      </c>
      <c r="L836" s="7" t="s">
        <v>28</v>
      </c>
      <c r="M836" s="7" t="s">
        <v>632</v>
      </c>
      <c r="N836" s="7" t="s">
        <v>245</v>
      </c>
      <c r="O836" s="7" t="s">
        <v>246</v>
      </c>
      <c r="P836" s="7" t="str">
        <f t="shared" si="8"/>
        <v>missing</v>
      </c>
      <c r="Q836" s="7" t="s">
        <v>31</v>
      </c>
      <c r="R836" s="7" t="s">
        <v>1257</v>
      </c>
    </row>
    <row r="837" spans="1:18" s="7" customFormat="1" ht="15.75" customHeight="1" x14ac:dyDescent="0.35">
      <c r="A837" s="7">
        <v>46</v>
      </c>
      <c r="B837" s="7" t="s">
        <v>1253</v>
      </c>
      <c r="C837" s="7">
        <v>2022</v>
      </c>
      <c r="D837" s="7" t="s">
        <v>420</v>
      </c>
      <c r="E837" s="7" t="s">
        <v>1254</v>
      </c>
      <c r="F837" s="7" t="s">
        <v>1255</v>
      </c>
      <c r="G837" s="7" t="s">
        <v>86</v>
      </c>
      <c r="H837" s="7" t="s">
        <v>1323</v>
      </c>
      <c r="I837" s="7">
        <v>46</v>
      </c>
      <c r="J837" s="10">
        <v>-83.433333300000001</v>
      </c>
      <c r="K837" s="7" t="s">
        <v>103</v>
      </c>
      <c r="L837" s="7" t="s">
        <v>28</v>
      </c>
      <c r="M837" s="7" t="s">
        <v>632</v>
      </c>
      <c r="N837" s="7" t="s">
        <v>245</v>
      </c>
      <c r="O837" s="7" t="s">
        <v>246</v>
      </c>
      <c r="P837" s="7" t="str">
        <f t="shared" si="8"/>
        <v>missing</v>
      </c>
      <c r="Q837" s="7" t="s">
        <v>31</v>
      </c>
      <c r="R837" s="7" t="s">
        <v>1257</v>
      </c>
    </row>
    <row r="838" spans="1:18" s="7" customFormat="1" ht="15.75" customHeight="1" x14ac:dyDescent="0.35">
      <c r="A838" s="7">
        <v>46</v>
      </c>
      <c r="B838" s="7" t="s">
        <v>1253</v>
      </c>
      <c r="C838" s="7">
        <v>2022</v>
      </c>
      <c r="D838" s="7" t="s">
        <v>420</v>
      </c>
      <c r="E838" s="7" t="s">
        <v>1254</v>
      </c>
      <c r="F838" s="7" t="s">
        <v>1255</v>
      </c>
      <c r="G838" s="7" t="s">
        <v>86</v>
      </c>
      <c r="H838" s="7" t="s">
        <v>1324</v>
      </c>
      <c r="I838" s="7">
        <v>46.041666669999998</v>
      </c>
      <c r="J838" s="10">
        <v>-83.853333300000003</v>
      </c>
      <c r="K838" s="7" t="s">
        <v>103</v>
      </c>
      <c r="L838" s="7" t="s">
        <v>28</v>
      </c>
      <c r="M838" s="7" t="s">
        <v>632</v>
      </c>
      <c r="N838" s="7" t="s">
        <v>245</v>
      </c>
      <c r="O838" s="7" t="s">
        <v>246</v>
      </c>
      <c r="P838" s="7" t="str">
        <f t="shared" si="8"/>
        <v>missing</v>
      </c>
      <c r="Q838" s="7" t="s">
        <v>31</v>
      </c>
      <c r="R838" s="7" t="s">
        <v>1257</v>
      </c>
    </row>
    <row r="839" spans="1:18" s="7" customFormat="1" ht="15.75" customHeight="1" x14ac:dyDescent="0.35">
      <c r="A839" s="7">
        <v>46</v>
      </c>
      <c r="B839" s="7" t="s">
        <v>1253</v>
      </c>
      <c r="C839" s="7">
        <v>2022</v>
      </c>
      <c r="D839" s="7" t="s">
        <v>420</v>
      </c>
      <c r="E839" s="7" t="s">
        <v>1254</v>
      </c>
      <c r="F839" s="7" t="s">
        <v>1255</v>
      </c>
      <c r="G839" s="7" t="s">
        <v>86</v>
      </c>
      <c r="H839" s="7" t="s">
        <v>1325</v>
      </c>
      <c r="I839" s="7">
        <v>46.055555560000002</v>
      </c>
      <c r="J839" s="10">
        <v>-82</v>
      </c>
      <c r="K839" s="7" t="s">
        <v>103</v>
      </c>
      <c r="L839" s="7" t="s">
        <v>28</v>
      </c>
      <c r="M839" s="7" t="s">
        <v>632</v>
      </c>
      <c r="N839" s="7" t="s">
        <v>245</v>
      </c>
      <c r="O839" s="7" t="s">
        <v>246</v>
      </c>
      <c r="P839" s="7" t="str">
        <f t="shared" si="8"/>
        <v>missing</v>
      </c>
      <c r="Q839" s="7" t="s">
        <v>31</v>
      </c>
      <c r="R839" s="7" t="s">
        <v>1257</v>
      </c>
    </row>
    <row r="840" spans="1:18" s="7" customFormat="1" ht="15.75" customHeight="1" x14ac:dyDescent="0.35">
      <c r="A840" s="7">
        <v>46</v>
      </c>
      <c r="B840" s="7" t="s">
        <v>1253</v>
      </c>
      <c r="C840" s="7">
        <v>2022</v>
      </c>
      <c r="D840" s="7" t="s">
        <v>420</v>
      </c>
      <c r="E840" s="7" t="s">
        <v>1254</v>
      </c>
      <c r="F840" s="7" t="s">
        <v>1255</v>
      </c>
      <c r="G840" s="7" t="s">
        <v>86</v>
      </c>
      <c r="H840" s="7" t="s">
        <v>1326</v>
      </c>
      <c r="I840" s="7">
        <v>46.061111109999999</v>
      </c>
      <c r="J840" s="10">
        <v>-82.197222199999999</v>
      </c>
      <c r="K840" s="7" t="s">
        <v>103</v>
      </c>
      <c r="L840" s="7" t="s">
        <v>28</v>
      </c>
      <c r="M840" s="7" t="s">
        <v>632</v>
      </c>
      <c r="N840" s="7" t="s">
        <v>245</v>
      </c>
      <c r="O840" s="7" t="s">
        <v>246</v>
      </c>
      <c r="P840" s="7" t="str">
        <f t="shared" si="8"/>
        <v>missing</v>
      </c>
      <c r="Q840" s="7" t="s">
        <v>31</v>
      </c>
      <c r="R840" s="7" t="s">
        <v>1257</v>
      </c>
    </row>
    <row r="841" spans="1:18" s="7" customFormat="1" ht="15.75" customHeight="1" x14ac:dyDescent="0.35">
      <c r="A841" s="7">
        <v>46</v>
      </c>
      <c r="B841" s="7" t="s">
        <v>1253</v>
      </c>
      <c r="C841" s="7">
        <v>2022</v>
      </c>
      <c r="D841" s="7" t="s">
        <v>420</v>
      </c>
      <c r="E841" s="7" t="s">
        <v>1254</v>
      </c>
      <c r="F841" s="7" t="s">
        <v>1255</v>
      </c>
      <c r="G841" s="7" t="s">
        <v>86</v>
      </c>
      <c r="H841" s="7" t="s">
        <v>1327</v>
      </c>
      <c r="I841" s="7">
        <v>46.07833333</v>
      </c>
      <c r="J841" s="10">
        <v>-84.0283333</v>
      </c>
      <c r="K841" s="7" t="s">
        <v>103</v>
      </c>
      <c r="L841" s="7" t="s">
        <v>28</v>
      </c>
      <c r="M841" s="7" t="s">
        <v>632</v>
      </c>
      <c r="N841" s="7" t="s">
        <v>245</v>
      </c>
      <c r="O841" s="7" t="s">
        <v>246</v>
      </c>
      <c r="P841" s="7" t="str">
        <f t="shared" si="8"/>
        <v>missing</v>
      </c>
      <c r="Q841" s="7" t="s">
        <v>31</v>
      </c>
      <c r="R841" s="7" t="s">
        <v>1257</v>
      </c>
    </row>
    <row r="842" spans="1:18" s="7" customFormat="1" ht="15.75" customHeight="1" x14ac:dyDescent="0.35">
      <c r="A842" s="7">
        <v>46</v>
      </c>
      <c r="B842" s="7" t="s">
        <v>1253</v>
      </c>
      <c r="C842" s="7">
        <v>2022</v>
      </c>
      <c r="D842" s="7" t="s">
        <v>420</v>
      </c>
      <c r="E842" s="7" t="s">
        <v>1254</v>
      </c>
      <c r="F842" s="7" t="s">
        <v>1255</v>
      </c>
      <c r="G842" s="7" t="s">
        <v>86</v>
      </c>
      <c r="H842" s="7" t="s">
        <v>1328</v>
      </c>
      <c r="I842" s="7">
        <v>46.091666670000002</v>
      </c>
      <c r="J842" s="10">
        <v>-82.556666699999994</v>
      </c>
      <c r="K842" s="7" t="s">
        <v>103</v>
      </c>
      <c r="L842" s="7" t="s">
        <v>28</v>
      </c>
      <c r="M842" s="7" t="s">
        <v>632</v>
      </c>
      <c r="N842" s="7" t="s">
        <v>245</v>
      </c>
      <c r="O842" s="7" t="s">
        <v>246</v>
      </c>
      <c r="P842" s="7" t="str">
        <f t="shared" si="8"/>
        <v>missing</v>
      </c>
      <c r="Q842" s="7" t="s">
        <v>31</v>
      </c>
      <c r="R842" s="7" t="s">
        <v>1257</v>
      </c>
    </row>
    <row r="843" spans="1:18" s="7" customFormat="1" ht="15.75" customHeight="1" x14ac:dyDescent="0.35">
      <c r="A843" s="7">
        <v>46</v>
      </c>
      <c r="B843" s="7" t="s">
        <v>1253</v>
      </c>
      <c r="C843" s="7">
        <v>2022</v>
      </c>
      <c r="D843" s="7" t="s">
        <v>420</v>
      </c>
      <c r="E843" s="7" t="s">
        <v>1254</v>
      </c>
      <c r="F843" s="7" t="s">
        <v>1255</v>
      </c>
      <c r="G843" s="7" t="s">
        <v>86</v>
      </c>
      <c r="H843" s="7" t="s">
        <v>1329</v>
      </c>
      <c r="I843" s="7">
        <v>46.123333330000001</v>
      </c>
      <c r="J843" s="10">
        <v>-82.885833300000002</v>
      </c>
      <c r="K843" s="7" t="s">
        <v>103</v>
      </c>
      <c r="L843" s="7" t="s">
        <v>28</v>
      </c>
      <c r="M843" s="7" t="s">
        <v>632</v>
      </c>
      <c r="N843" s="7" t="s">
        <v>245</v>
      </c>
      <c r="O843" s="7" t="s">
        <v>246</v>
      </c>
      <c r="P843" s="7" t="str">
        <f t="shared" si="8"/>
        <v>missing</v>
      </c>
      <c r="Q843" s="7" t="s">
        <v>31</v>
      </c>
      <c r="R843" s="7" t="s">
        <v>1257</v>
      </c>
    </row>
    <row r="844" spans="1:18" s="7" customFormat="1" ht="15.75" customHeight="1" x14ac:dyDescent="0.35">
      <c r="A844" s="7">
        <v>46</v>
      </c>
      <c r="B844" s="7" t="s">
        <v>1253</v>
      </c>
      <c r="C844" s="7">
        <v>2022</v>
      </c>
      <c r="D844" s="7" t="s">
        <v>420</v>
      </c>
      <c r="E844" s="7" t="s">
        <v>1254</v>
      </c>
      <c r="F844" s="7" t="s">
        <v>1255</v>
      </c>
      <c r="G844" s="7" t="s">
        <v>86</v>
      </c>
      <c r="H844" s="7" t="s">
        <v>1330</v>
      </c>
      <c r="I844" s="7">
        <v>46.136666669999997</v>
      </c>
      <c r="J844" s="10">
        <v>-83.671666700000003</v>
      </c>
      <c r="K844" s="7" t="s">
        <v>103</v>
      </c>
      <c r="L844" s="7" t="s">
        <v>28</v>
      </c>
      <c r="M844" s="7" t="s">
        <v>632</v>
      </c>
      <c r="N844" s="7" t="s">
        <v>245</v>
      </c>
      <c r="O844" s="7" t="s">
        <v>246</v>
      </c>
      <c r="P844" s="7" t="str">
        <f t="shared" si="8"/>
        <v>missing</v>
      </c>
      <c r="Q844" s="7" t="s">
        <v>31</v>
      </c>
      <c r="R844" s="7" t="s">
        <v>1257</v>
      </c>
    </row>
    <row r="845" spans="1:18" s="7" customFormat="1" ht="15.75" customHeight="1" x14ac:dyDescent="0.35">
      <c r="A845" s="7">
        <v>46</v>
      </c>
      <c r="B845" s="7" t="s">
        <v>1253</v>
      </c>
      <c r="C845" s="7">
        <v>2022</v>
      </c>
      <c r="D845" s="7" t="s">
        <v>420</v>
      </c>
      <c r="E845" s="7" t="s">
        <v>1254</v>
      </c>
      <c r="F845" s="7" t="s">
        <v>1255</v>
      </c>
      <c r="G845" s="7" t="s">
        <v>86</v>
      </c>
      <c r="H845" s="7" t="s">
        <v>1331</v>
      </c>
      <c r="I845" s="7">
        <v>46.186666670000001</v>
      </c>
      <c r="J845" s="10">
        <v>-83.355000000000004</v>
      </c>
      <c r="K845" s="7" t="s">
        <v>103</v>
      </c>
      <c r="L845" s="7" t="s">
        <v>28</v>
      </c>
      <c r="M845" s="7" t="s">
        <v>632</v>
      </c>
      <c r="N845" s="7" t="s">
        <v>245</v>
      </c>
      <c r="O845" s="7" t="s">
        <v>246</v>
      </c>
      <c r="P845" s="7" t="str">
        <f t="shared" si="8"/>
        <v>missing</v>
      </c>
      <c r="Q845" s="7" t="s">
        <v>31</v>
      </c>
      <c r="R845" s="7" t="s">
        <v>1257</v>
      </c>
    </row>
    <row r="846" spans="1:18" s="7" customFormat="1" ht="15.75" customHeight="1" x14ac:dyDescent="0.35">
      <c r="A846" s="7">
        <v>46</v>
      </c>
      <c r="B846" s="7" t="s">
        <v>1253</v>
      </c>
      <c r="C846" s="7">
        <v>2022</v>
      </c>
      <c r="D846" s="7" t="s">
        <v>420</v>
      </c>
      <c r="E846" s="7" t="s">
        <v>1254</v>
      </c>
      <c r="F846" s="7" t="s">
        <v>1255</v>
      </c>
      <c r="G846" s="7" t="s">
        <v>86</v>
      </c>
      <c r="H846" s="7" t="s">
        <v>1332</v>
      </c>
      <c r="I846" s="7">
        <v>46.233333330000001</v>
      </c>
      <c r="J846" s="10">
        <v>-83.746666700000006</v>
      </c>
      <c r="K846" s="7" t="s">
        <v>103</v>
      </c>
      <c r="L846" s="7" t="s">
        <v>28</v>
      </c>
      <c r="M846" s="7" t="s">
        <v>632</v>
      </c>
      <c r="N846" s="7" t="s">
        <v>245</v>
      </c>
      <c r="O846" s="7" t="s">
        <v>246</v>
      </c>
      <c r="P846" s="7" t="str">
        <f t="shared" si="8"/>
        <v>missing</v>
      </c>
      <c r="Q846" s="7" t="s">
        <v>31</v>
      </c>
      <c r="R846" s="7" t="s">
        <v>1257</v>
      </c>
    </row>
    <row r="847" spans="1:18" s="7" customFormat="1" ht="15.75" customHeight="1" x14ac:dyDescent="0.35">
      <c r="A847" s="7">
        <v>47</v>
      </c>
      <c r="B847" s="7" t="s">
        <v>1333</v>
      </c>
      <c r="C847" s="7">
        <v>2022</v>
      </c>
      <c r="D847" s="7" t="s">
        <v>1334</v>
      </c>
      <c r="E847" s="7" t="s">
        <v>1335</v>
      </c>
      <c r="F847" s="7" t="s">
        <v>1336</v>
      </c>
      <c r="G847" s="7" t="s">
        <v>161</v>
      </c>
      <c r="H847" s="7" t="s">
        <v>1337</v>
      </c>
      <c r="I847" s="59">
        <v>45.399895000000001</v>
      </c>
      <c r="J847" s="10">
        <v>-73.899874999999994</v>
      </c>
      <c r="K847" s="7" t="s">
        <v>41</v>
      </c>
      <c r="L847" s="7" t="s">
        <v>223</v>
      </c>
      <c r="M847" s="7" t="s">
        <v>1338</v>
      </c>
      <c r="N847" s="7">
        <v>2230</v>
      </c>
      <c r="O847" s="7" t="s">
        <v>31</v>
      </c>
      <c r="P847" s="7">
        <f t="shared" si="8"/>
        <v>2230</v>
      </c>
      <c r="Q847" s="7" t="s">
        <v>31</v>
      </c>
      <c r="R847" s="7" t="s">
        <v>1339</v>
      </c>
    </row>
    <row r="848" spans="1:18" s="7" customFormat="1" ht="15.75" customHeight="1" x14ac:dyDescent="0.35">
      <c r="A848" s="7">
        <v>47</v>
      </c>
      <c r="B848" s="7" t="s">
        <v>1333</v>
      </c>
      <c r="C848" s="7">
        <v>2022</v>
      </c>
      <c r="D848" s="7" t="s">
        <v>1334</v>
      </c>
      <c r="E848" s="7" t="s">
        <v>1335</v>
      </c>
      <c r="F848" s="7" t="s">
        <v>1336</v>
      </c>
      <c r="G848" s="7" t="s">
        <v>161</v>
      </c>
      <c r="H848" s="7" t="s">
        <v>1340</v>
      </c>
      <c r="I848" s="59">
        <v>45.33</v>
      </c>
      <c r="J848" s="10">
        <v>-73.930000000000007</v>
      </c>
      <c r="K848" s="7" t="s">
        <v>41</v>
      </c>
      <c r="L848" s="7" t="s">
        <v>223</v>
      </c>
      <c r="M848" s="7" t="s">
        <v>1338</v>
      </c>
      <c r="N848" s="7">
        <v>1173</v>
      </c>
      <c r="O848" s="7" t="s">
        <v>31</v>
      </c>
      <c r="P848" s="7">
        <f t="shared" si="8"/>
        <v>1173</v>
      </c>
      <c r="Q848" s="7" t="s">
        <v>31</v>
      </c>
      <c r="R848" s="7" t="s">
        <v>1339</v>
      </c>
    </row>
    <row r="849" spans="1:18" s="7" customFormat="1" ht="15.75" customHeight="1" x14ac:dyDescent="0.35">
      <c r="A849" s="7">
        <v>47</v>
      </c>
      <c r="B849" s="7" t="s">
        <v>1333</v>
      </c>
      <c r="C849" s="7">
        <v>2022</v>
      </c>
      <c r="D849" s="7" t="s">
        <v>1334</v>
      </c>
      <c r="E849" s="7" t="s">
        <v>1335</v>
      </c>
      <c r="F849" s="7" t="s">
        <v>1336</v>
      </c>
      <c r="G849" s="7" t="s">
        <v>161</v>
      </c>
      <c r="H849" s="7" t="s">
        <v>1341</v>
      </c>
      <c r="I849" s="59">
        <v>46.2</v>
      </c>
      <c r="J849" s="10">
        <v>-72.81</v>
      </c>
      <c r="K849" s="7" t="s">
        <v>41</v>
      </c>
      <c r="L849" s="7" t="s">
        <v>223</v>
      </c>
      <c r="M849" s="7" t="s">
        <v>1338</v>
      </c>
      <c r="N849" s="7">
        <v>879</v>
      </c>
      <c r="O849" s="7" t="s">
        <v>31</v>
      </c>
      <c r="P849" s="7">
        <f t="shared" si="8"/>
        <v>879</v>
      </c>
      <c r="Q849" s="7" t="s">
        <v>31</v>
      </c>
      <c r="R849" s="7" t="s">
        <v>1339</v>
      </c>
    </row>
    <row r="850" spans="1:18" s="7" customFormat="1" ht="15.75" customHeight="1" x14ac:dyDescent="0.35">
      <c r="A850" s="7">
        <v>47</v>
      </c>
      <c r="B850" s="7" t="s">
        <v>1333</v>
      </c>
      <c r="C850" s="7">
        <v>2022</v>
      </c>
      <c r="D850" s="7" t="s">
        <v>1334</v>
      </c>
      <c r="E850" s="7" t="s">
        <v>1335</v>
      </c>
      <c r="F850" s="7" t="s">
        <v>1336</v>
      </c>
      <c r="G850" s="7" t="s">
        <v>161</v>
      </c>
      <c r="H850" s="7" t="s">
        <v>1342</v>
      </c>
      <c r="I850" s="59">
        <v>46.83</v>
      </c>
      <c r="J850" s="10">
        <v>-71.180000000000007</v>
      </c>
      <c r="K850" s="7" t="s">
        <v>41</v>
      </c>
      <c r="L850" s="7" t="s">
        <v>223</v>
      </c>
      <c r="M850" s="7" t="s">
        <v>1338</v>
      </c>
      <c r="N850" s="7">
        <v>730</v>
      </c>
      <c r="O850" s="7" t="s">
        <v>31</v>
      </c>
      <c r="P850" s="7">
        <f t="shared" si="8"/>
        <v>730</v>
      </c>
      <c r="Q850" s="7" t="s">
        <v>31</v>
      </c>
      <c r="R850" s="7" t="s">
        <v>1339</v>
      </c>
    </row>
    <row r="851" spans="1:18" s="7" customFormat="1" ht="15.75" customHeight="1" x14ac:dyDescent="0.35">
      <c r="A851" s="7">
        <v>47</v>
      </c>
      <c r="B851" s="7" t="s">
        <v>1333</v>
      </c>
      <c r="C851" s="7">
        <v>2022</v>
      </c>
      <c r="D851" s="7" t="s">
        <v>1334</v>
      </c>
      <c r="E851" s="7" t="s">
        <v>1335</v>
      </c>
      <c r="F851" s="7" t="s">
        <v>1336</v>
      </c>
      <c r="G851" s="7" t="s">
        <v>161</v>
      </c>
      <c r="H851" s="7" t="s">
        <v>1343</v>
      </c>
      <c r="I851" s="59">
        <v>47.4</v>
      </c>
      <c r="J851" s="10">
        <v>-70.459999999999994</v>
      </c>
      <c r="K851" s="7" t="s">
        <v>41</v>
      </c>
      <c r="L851" s="7" t="s">
        <v>163</v>
      </c>
      <c r="M851" s="7" t="s">
        <v>1338</v>
      </c>
      <c r="N851" s="7">
        <v>1142</v>
      </c>
      <c r="O851" s="7" t="s">
        <v>31</v>
      </c>
      <c r="P851" s="7">
        <f t="shared" si="8"/>
        <v>1142</v>
      </c>
      <c r="Q851" s="7" t="s">
        <v>31</v>
      </c>
      <c r="R851" s="7" t="s">
        <v>1339</v>
      </c>
    </row>
    <row r="852" spans="1:18" s="7" customFormat="1" ht="15.75" customHeight="1" x14ac:dyDescent="0.35">
      <c r="A852" s="7">
        <v>47</v>
      </c>
      <c r="B852" s="7" t="s">
        <v>1333</v>
      </c>
      <c r="C852" s="7">
        <v>2022</v>
      </c>
      <c r="D852" s="7" t="s">
        <v>1334</v>
      </c>
      <c r="E852" s="7" t="s">
        <v>1335</v>
      </c>
      <c r="F852" s="7" t="s">
        <v>1336</v>
      </c>
      <c r="G852" s="7" t="s">
        <v>161</v>
      </c>
      <c r="H852" s="7" t="s">
        <v>1344</v>
      </c>
      <c r="I852" s="59">
        <v>47.36</v>
      </c>
      <c r="J852" s="10">
        <v>-70.12</v>
      </c>
      <c r="K852" s="7" t="s">
        <v>41</v>
      </c>
      <c r="L852" s="7" t="s">
        <v>163</v>
      </c>
      <c r="M852" s="7" t="s">
        <v>1338</v>
      </c>
      <c r="N852" s="7">
        <v>2306</v>
      </c>
      <c r="O852" s="7" t="s">
        <v>31</v>
      </c>
      <c r="P852" s="7">
        <f t="shared" si="8"/>
        <v>2306</v>
      </c>
      <c r="Q852" s="7" t="s">
        <v>31</v>
      </c>
      <c r="R852" s="7" t="s">
        <v>1339</v>
      </c>
    </row>
    <row r="853" spans="1:18" s="7" customFormat="1" ht="15.75" customHeight="1" x14ac:dyDescent="0.35">
      <c r="A853" s="7">
        <v>47</v>
      </c>
      <c r="B853" s="7" t="s">
        <v>1333</v>
      </c>
      <c r="C853" s="7">
        <v>2022</v>
      </c>
      <c r="D853" s="7" t="s">
        <v>1334</v>
      </c>
      <c r="E853" s="7" t="s">
        <v>1335</v>
      </c>
      <c r="F853" s="7" t="s">
        <v>1336</v>
      </c>
      <c r="G853" s="7" t="s">
        <v>161</v>
      </c>
      <c r="H853" s="7" t="s">
        <v>1345</v>
      </c>
      <c r="I853" s="59">
        <v>48.04</v>
      </c>
      <c r="J853" s="10">
        <v>-69.64</v>
      </c>
      <c r="K853" s="7" t="s">
        <v>41</v>
      </c>
      <c r="L853" s="7" t="s">
        <v>163</v>
      </c>
      <c r="M853" s="7" t="s">
        <v>1338</v>
      </c>
      <c r="N853" s="7">
        <v>2015</v>
      </c>
      <c r="O853" s="7" t="s">
        <v>31</v>
      </c>
      <c r="P853" s="7">
        <f t="shared" si="8"/>
        <v>2015</v>
      </c>
      <c r="Q853" s="7" t="s">
        <v>31</v>
      </c>
      <c r="R853" s="7" t="s">
        <v>1339</v>
      </c>
    </row>
    <row r="854" spans="1:18" s="7" customFormat="1" ht="15.75" customHeight="1" x14ac:dyDescent="0.35">
      <c r="A854" s="7">
        <v>47</v>
      </c>
      <c r="B854" s="7" t="s">
        <v>1333</v>
      </c>
      <c r="C854" s="7">
        <v>2022</v>
      </c>
      <c r="D854" s="7" t="s">
        <v>1334</v>
      </c>
      <c r="E854" s="7" t="s">
        <v>1335</v>
      </c>
      <c r="F854" s="7" t="s">
        <v>1336</v>
      </c>
      <c r="G854" s="7" t="s">
        <v>161</v>
      </c>
      <c r="H854" s="7" t="s">
        <v>1346</v>
      </c>
      <c r="I854" s="59">
        <v>47.97</v>
      </c>
      <c r="J854" s="10">
        <v>-69.56</v>
      </c>
      <c r="K854" s="7" t="s">
        <v>41</v>
      </c>
      <c r="L854" s="7" t="s">
        <v>163</v>
      </c>
      <c r="M854" s="7" t="s">
        <v>1338</v>
      </c>
      <c r="N854" s="7">
        <v>1490</v>
      </c>
      <c r="O854" s="7" t="s">
        <v>31</v>
      </c>
      <c r="P854" s="7">
        <f t="shared" si="8"/>
        <v>1490</v>
      </c>
      <c r="Q854" s="7" t="s">
        <v>31</v>
      </c>
      <c r="R854" s="7" t="s">
        <v>1339</v>
      </c>
    </row>
    <row r="855" spans="1:18" s="7" customFormat="1" ht="15.75" customHeight="1" x14ac:dyDescent="0.35">
      <c r="A855" s="7">
        <v>48</v>
      </c>
      <c r="B855" s="7" t="s">
        <v>1347</v>
      </c>
      <c r="C855" s="7">
        <v>2025</v>
      </c>
      <c r="D855" s="7" t="s">
        <v>1348</v>
      </c>
      <c r="E855" s="8" t="s">
        <v>1349</v>
      </c>
      <c r="F855" s="7" t="s">
        <v>1350</v>
      </c>
      <c r="G855" s="7" t="s">
        <v>86</v>
      </c>
      <c r="H855" s="7" t="s">
        <v>1351</v>
      </c>
      <c r="I855" s="7">
        <v>43.585223999999997</v>
      </c>
      <c r="J855" s="7">
        <v>-80.482315</v>
      </c>
      <c r="K855" s="7" t="s">
        <v>41</v>
      </c>
      <c r="L855" s="7" t="s">
        <v>223</v>
      </c>
      <c r="M855" s="7" t="s">
        <v>1352</v>
      </c>
      <c r="N855" s="7">
        <v>906.4</v>
      </c>
      <c r="O855" s="7" t="s">
        <v>31</v>
      </c>
      <c r="P855" s="7">
        <v>906.4</v>
      </c>
      <c r="Q855" s="7" t="s">
        <v>31</v>
      </c>
      <c r="R855" s="7" t="s">
        <v>166</v>
      </c>
    </row>
    <row r="856" spans="1:18" s="7" customFormat="1" ht="15.75" customHeight="1" x14ac:dyDescent="0.35">
      <c r="A856" s="7">
        <v>48</v>
      </c>
      <c r="B856" s="7" t="s">
        <v>1347</v>
      </c>
      <c r="C856" s="7">
        <v>2025</v>
      </c>
      <c r="D856" s="7" t="s">
        <v>1348</v>
      </c>
      <c r="E856" s="7" t="s">
        <v>1349</v>
      </c>
      <c r="F856" s="7" t="s">
        <v>1350</v>
      </c>
      <c r="G856" s="7" t="s">
        <v>86</v>
      </c>
      <c r="H856" s="7" t="s">
        <v>1354</v>
      </c>
      <c r="I856" s="7">
        <v>43.069066999999997</v>
      </c>
      <c r="J856" s="7">
        <v>-79.945093</v>
      </c>
      <c r="K856" s="7" t="s">
        <v>41</v>
      </c>
      <c r="L856" s="7" t="s">
        <v>223</v>
      </c>
      <c r="M856" s="7" t="s">
        <v>1352</v>
      </c>
      <c r="N856" s="7">
        <v>820.7</v>
      </c>
      <c r="O856" s="7" t="s">
        <v>31</v>
      </c>
      <c r="P856" s="7">
        <v>820.7</v>
      </c>
      <c r="Q856" s="7" t="s">
        <v>31</v>
      </c>
      <c r="R856" s="7" t="s">
        <v>166</v>
      </c>
    </row>
    <row r="857" spans="1:18" s="7" customFormat="1" ht="15.75" customHeight="1" x14ac:dyDescent="0.35">
      <c r="A857" s="7">
        <v>48</v>
      </c>
      <c r="B857" s="7" t="s">
        <v>1347</v>
      </c>
      <c r="C857" s="7">
        <v>2025</v>
      </c>
      <c r="D857" s="7" t="s">
        <v>1348</v>
      </c>
      <c r="E857" s="7" t="s">
        <v>1349</v>
      </c>
      <c r="F857" s="7" t="s">
        <v>1350</v>
      </c>
      <c r="G857" s="7" t="s">
        <v>86</v>
      </c>
      <c r="H857" s="7" t="s">
        <v>1355</v>
      </c>
      <c r="I857" s="7">
        <v>43.068924000000003</v>
      </c>
      <c r="J857" s="7">
        <v>-79.944989000000007</v>
      </c>
      <c r="K857" s="7" t="s">
        <v>41</v>
      </c>
      <c r="L857" s="7" t="s">
        <v>223</v>
      </c>
      <c r="M857" s="7" t="s">
        <v>1352</v>
      </c>
      <c r="N857" s="7">
        <v>1459.8</v>
      </c>
      <c r="O857" s="7" t="s">
        <v>31</v>
      </c>
      <c r="P857" s="7">
        <v>1459.8</v>
      </c>
      <c r="Q857" s="7" t="s">
        <v>31</v>
      </c>
      <c r="R857" s="7" t="s">
        <v>166</v>
      </c>
    </row>
    <row r="858" spans="1:18" s="7" customFormat="1" ht="15.75" customHeight="1" x14ac:dyDescent="0.35">
      <c r="A858" s="7">
        <v>48</v>
      </c>
      <c r="B858" s="7" t="s">
        <v>1347</v>
      </c>
      <c r="C858" s="7">
        <v>2025</v>
      </c>
      <c r="D858" s="7" t="s">
        <v>1348</v>
      </c>
      <c r="E858" s="7" t="s">
        <v>1349</v>
      </c>
      <c r="F858" s="7" t="s">
        <v>1350</v>
      </c>
      <c r="G858" s="7" t="s">
        <v>86</v>
      </c>
      <c r="H858" s="7" t="s">
        <v>1356</v>
      </c>
      <c r="I858" s="54">
        <v>43.020569999999999</v>
      </c>
      <c r="J858" s="60">
        <v>-79.891954999999996</v>
      </c>
      <c r="K858" s="7" t="s">
        <v>41</v>
      </c>
      <c r="L858" s="7" t="s">
        <v>223</v>
      </c>
      <c r="M858" s="7" t="s">
        <v>1352</v>
      </c>
      <c r="N858" s="7">
        <v>840.3</v>
      </c>
      <c r="O858" s="7" t="s">
        <v>31</v>
      </c>
      <c r="P858" s="7">
        <v>840.3</v>
      </c>
      <c r="Q858" s="7" t="s">
        <v>31</v>
      </c>
      <c r="R858" s="7" t="s">
        <v>166</v>
      </c>
    </row>
    <row r="859" spans="1:18" s="7" customFormat="1" ht="15.75" customHeight="1" x14ac:dyDescent="0.35">
      <c r="A859" s="7">
        <v>48</v>
      </c>
      <c r="B859" s="7" t="s">
        <v>1347</v>
      </c>
      <c r="C859" s="7">
        <v>2025</v>
      </c>
      <c r="D859" s="7" t="s">
        <v>1348</v>
      </c>
      <c r="E859" s="7" t="s">
        <v>1349</v>
      </c>
      <c r="F859" s="7" t="s">
        <v>1350</v>
      </c>
      <c r="G859" s="7" t="s">
        <v>86</v>
      </c>
      <c r="H859" s="7" t="s">
        <v>1357</v>
      </c>
      <c r="I859" s="7">
        <v>43.424281999999998</v>
      </c>
      <c r="J859" s="7">
        <v>-80.329398999999995</v>
      </c>
      <c r="K859" s="7" t="s">
        <v>41</v>
      </c>
      <c r="L859" s="7" t="s">
        <v>223</v>
      </c>
      <c r="M859" s="7" t="s">
        <v>1352</v>
      </c>
      <c r="N859" s="7">
        <v>1053.3</v>
      </c>
      <c r="O859" s="7" t="s">
        <v>31</v>
      </c>
      <c r="P859" s="7">
        <v>1053.3</v>
      </c>
      <c r="Q859" s="7" t="s">
        <v>31</v>
      </c>
      <c r="R859" s="7" t="s">
        <v>166</v>
      </c>
    </row>
    <row r="860" spans="1:18" s="7" customFormat="1" ht="15.75" customHeight="1" x14ac:dyDescent="0.35">
      <c r="A860" s="7">
        <v>48</v>
      </c>
      <c r="B860" s="7" t="s">
        <v>1347</v>
      </c>
      <c r="C860" s="7">
        <v>2025</v>
      </c>
      <c r="D860" s="7" t="s">
        <v>1348</v>
      </c>
      <c r="E860" s="7" t="s">
        <v>1349</v>
      </c>
      <c r="F860" s="7" t="s">
        <v>1350</v>
      </c>
      <c r="G860" s="7" t="s">
        <v>86</v>
      </c>
      <c r="H860" s="7" t="s">
        <v>1358</v>
      </c>
      <c r="I860" s="7">
        <v>43.424014999999997</v>
      </c>
      <c r="J860" s="7">
        <v>-80.329723000000001</v>
      </c>
      <c r="K860" s="7" t="s">
        <v>41</v>
      </c>
      <c r="L860" s="7" t="s">
        <v>223</v>
      </c>
      <c r="M860" s="7" t="s">
        <v>1352</v>
      </c>
      <c r="N860" s="7">
        <v>1287.9000000000001</v>
      </c>
      <c r="O860" s="7" t="s">
        <v>31</v>
      </c>
      <c r="P860" s="7">
        <v>1287.9000000000001</v>
      </c>
      <c r="Q860" s="7" t="s">
        <v>31</v>
      </c>
      <c r="R860" s="7" t="s">
        <v>166</v>
      </c>
    </row>
    <row r="861" spans="1:18" s="7" customFormat="1" ht="15.75" customHeight="1" x14ac:dyDescent="0.35">
      <c r="A861" s="7">
        <v>48</v>
      </c>
      <c r="B861" s="7" t="s">
        <v>1347</v>
      </c>
      <c r="C861" s="7">
        <v>2025</v>
      </c>
      <c r="D861" s="7" t="s">
        <v>1348</v>
      </c>
      <c r="E861" s="2" t="s">
        <v>1349</v>
      </c>
      <c r="F861" s="7" t="s">
        <v>1350</v>
      </c>
      <c r="G861" s="7" t="s">
        <v>86</v>
      </c>
      <c r="H861" s="7" t="s">
        <v>1359</v>
      </c>
      <c r="I861" s="7">
        <v>43.281640000000003</v>
      </c>
      <c r="J861" s="7">
        <v>-80.464954000000006</v>
      </c>
      <c r="K861" s="7" t="s">
        <v>41</v>
      </c>
      <c r="L861" s="7" t="s">
        <v>223</v>
      </c>
      <c r="M861" s="7" t="s">
        <v>1352</v>
      </c>
      <c r="N861" s="7">
        <v>848.4</v>
      </c>
      <c r="O861" s="7" t="s">
        <v>31</v>
      </c>
      <c r="P861" s="7">
        <v>848.4</v>
      </c>
      <c r="Q861" s="7" t="s">
        <v>31</v>
      </c>
      <c r="R861" s="7" t="s">
        <v>166</v>
      </c>
    </row>
    <row r="862" spans="1:18" s="7" customFormat="1" ht="15.75" customHeight="1" x14ac:dyDescent="0.35">
      <c r="A862" s="7">
        <v>48</v>
      </c>
      <c r="B862" s="7" t="s">
        <v>1347</v>
      </c>
      <c r="C862" s="7">
        <v>2025</v>
      </c>
      <c r="D862" s="7" t="s">
        <v>1348</v>
      </c>
      <c r="E862" s="7" t="s">
        <v>1349</v>
      </c>
      <c r="F862" s="7" t="s">
        <v>1350</v>
      </c>
      <c r="G862" s="7" t="s">
        <v>86</v>
      </c>
      <c r="H862" s="7" t="s">
        <v>1360</v>
      </c>
      <c r="I862" s="7">
        <v>43.281506999999998</v>
      </c>
      <c r="J862" s="52">
        <v>-80.465179000000006</v>
      </c>
      <c r="K862" s="7" t="s">
        <v>41</v>
      </c>
      <c r="L862" s="7" t="s">
        <v>223</v>
      </c>
      <c r="M862" s="7" t="s">
        <v>1352</v>
      </c>
      <c r="N862" s="7">
        <v>830.2</v>
      </c>
      <c r="O862" s="7" t="s">
        <v>31</v>
      </c>
      <c r="P862" s="7">
        <v>830.2</v>
      </c>
      <c r="Q862" s="7" t="s">
        <v>31</v>
      </c>
      <c r="R862" s="7" t="s">
        <v>166</v>
      </c>
    </row>
    <row r="863" spans="1:18" s="7" customFormat="1" ht="15.75" customHeight="1" x14ac:dyDescent="0.35">
      <c r="A863" s="7">
        <v>49</v>
      </c>
      <c r="B863" s="7" t="s">
        <v>1361</v>
      </c>
      <c r="C863" s="7">
        <v>2021</v>
      </c>
      <c r="D863" s="7" t="s">
        <v>468</v>
      </c>
      <c r="E863" s="7" t="s">
        <v>1362</v>
      </c>
      <c r="F863" s="7" t="s">
        <v>1363</v>
      </c>
      <c r="G863" s="7" t="s">
        <v>86</v>
      </c>
      <c r="H863" s="7" t="s">
        <v>1364</v>
      </c>
      <c r="I863" s="10">
        <v>46.674999999999997</v>
      </c>
      <c r="J863" s="10">
        <v>-84.564250000000001</v>
      </c>
      <c r="K863" s="7" t="s">
        <v>41</v>
      </c>
      <c r="L863" s="7" t="s">
        <v>28</v>
      </c>
      <c r="M863" s="7" t="s">
        <v>1365</v>
      </c>
      <c r="N863" s="7">
        <v>750</v>
      </c>
      <c r="O863" s="7" t="s">
        <v>31</v>
      </c>
      <c r="P863" s="7">
        <f t="shared" ref="P863:P891" si="9">N864</f>
        <v>750</v>
      </c>
      <c r="Q863" s="7" t="s">
        <v>31</v>
      </c>
    </row>
    <row r="864" spans="1:18" s="7" customFormat="1" ht="15.75" customHeight="1" x14ac:dyDescent="0.35">
      <c r="A864" s="7">
        <v>49</v>
      </c>
      <c r="B864" s="7" t="s">
        <v>1361</v>
      </c>
      <c r="C864" s="7">
        <v>2021</v>
      </c>
      <c r="D864" s="7" t="s">
        <v>468</v>
      </c>
      <c r="E864" s="7" t="s">
        <v>1362</v>
      </c>
      <c r="F864" s="7" t="s">
        <v>1363</v>
      </c>
      <c r="G864" s="7" t="s">
        <v>86</v>
      </c>
      <c r="H864" s="7" t="s">
        <v>1367</v>
      </c>
      <c r="I864" s="10">
        <v>46.770667000000003</v>
      </c>
      <c r="J864" s="10">
        <v>-84.599082999999993</v>
      </c>
      <c r="K864" s="7" t="s">
        <v>41</v>
      </c>
      <c r="L864" s="7" t="s">
        <v>28</v>
      </c>
      <c r="M864" s="7" t="s">
        <v>1365</v>
      </c>
      <c r="N864" s="7">
        <v>750</v>
      </c>
      <c r="O864" s="7" t="s">
        <v>31</v>
      </c>
      <c r="P864" s="7">
        <f t="shared" si="9"/>
        <v>750</v>
      </c>
      <c r="Q864" s="7" t="s">
        <v>31</v>
      </c>
    </row>
    <row r="865" spans="1:17" s="7" customFormat="1" ht="15.75" customHeight="1" x14ac:dyDescent="0.35">
      <c r="A865" s="7">
        <v>49</v>
      </c>
      <c r="B865" s="7" t="s">
        <v>1361</v>
      </c>
      <c r="C865" s="7">
        <v>2021</v>
      </c>
      <c r="D865" s="7" t="s">
        <v>468</v>
      </c>
      <c r="E865" s="7" t="s">
        <v>1362</v>
      </c>
      <c r="F865" s="7" t="s">
        <v>1363</v>
      </c>
      <c r="G865" s="7" t="s">
        <v>86</v>
      </c>
      <c r="H865" s="7" t="s">
        <v>1368</v>
      </c>
      <c r="I865" s="10">
        <v>46.940666999999998</v>
      </c>
      <c r="J865" s="10">
        <v>-84.727000000000004</v>
      </c>
      <c r="K865" s="7" t="s">
        <v>41</v>
      </c>
      <c r="L865" s="7" t="s">
        <v>28</v>
      </c>
      <c r="M865" s="7" t="s">
        <v>1365</v>
      </c>
      <c r="N865" s="7">
        <v>750</v>
      </c>
      <c r="O865" s="7" t="s">
        <v>31</v>
      </c>
      <c r="P865" s="7">
        <f t="shared" si="9"/>
        <v>750</v>
      </c>
      <c r="Q865" s="7" t="s">
        <v>31</v>
      </c>
    </row>
    <row r="866" spans="1:17" s="7" customFormat="1" ht="15.75" customHeight="1" x14ac:dyDescent="0.35">
      <c r="A866" s="7">
        <v>49</v>
      </c>
      <c r="B866" s="7" t="s">
        <v>1361</v>
      </c>
      <c r="C866" s="7">
        <v>2021</v>
      </c>
      <c r="D866" s="7" t="s">
        <v>468</v>
      </c>
      <c r="E866" s="7" t="s">
        <v>1362</v>
      </c>
      <c r="F866" s="7" t="s">
        <v>1363</v>
      </c>
      <c r="G866" s="7" t="s">
        <v>86</v>
      </c>
      <c r="H866" s="7" t="s">
        <v>1369</v>
      </c>
      <c r="I866" s="10">
        <v>47.22025</v>
      </c>
      <c r="J866" s="10">
        <v>-85.102417000000003</v>
      </c>
      <c r="K866" s="7" t="s">
        <v>41</v>
      </c>
      <c r="L866" s="7" t="s">
        <v>28</v>
      </c>
      <c r="M866" s="7" t="s">
        <v>1365</v>
      </c>
      <c r="N866" s="7">
        <v>750</v>
      </c>
      <c r="O866" s="7" t="s">
        <v>31</v>
      </c>
      <c r="P866" s="7">
        <f t="shared" si="9"/>
        <v>750</v>
      </c>
      <c r="Q866" s="7" t="s">
        <v>31</v>
      </c>
    </row>
    <row r="867" spans="1:17" s="7" customFormat="1" ht="15.75" customHeight="1" x14ac:dyDescent="0.35">
      <c r="A867" s="7">
        <v>49</v>
      </c>
      <c r="B867" s="7" t="s">
        <v>1361</v>
      </c>
      <c r="C867" s="7">
        <v>2021</v>
      </c>
      <c r="D867" s="7" t="s">
        <v>468</v>
      </c>
      <c r="E867" s="7" t="s">
        <v>1362</v>
      </c>
      <c r="F867" s="7" t="s">
        <v>1363</v>
      </c>
      <c r="G867" s="7" t="s">
        <v>86</v>
      </c>
      <c r="H867" s="7" t="s">
        <v>1370</v>
      </c>
      <c r="I867" s="10">
        <v>47.316082999999999</v>
      </c>
      <c r="J867" s="10">
        <v>-84.648584</v>
      </c>
      <c r="K867" s="7" t="s">
        <v>41</v>
      </c>
      <c r="L867" s="7" t="s">
        <v>28</v>
      </c>
      <c r="M867" s="7" t="s">
        <v>1365</v>
      </c>
      <c r="N867" s="7">
        <v>750</v>
      </c>
      <c r="O867" s="7" t="s">
        <v>31</v>
      </c>
      <c r="P867" s="7">
        <f t="shared" si="9"/>
        <v>750</v>
      </c>
      <c r="Q867" s="7" t="s">
        <v>31</v>
      </c>
    </row>
    <row r="868" spans="1:17" s="7" customFormat="1" x14ac:dyDescent="0.35">
      <c r="A868" s="7">
        <v>49</v>
      </c>
      <c r="B868" s="7" t="s">
        <v>1361</v>
      </c>
      <c r="C868" s="7">
        <v>2021</v>
      </c>
      <c r="D868" s="7" t="s">
        <v>468</v>
      </c>
      <c r="E868" s="7" t="s">
        <v>1362</v>
      </c>
      <c r="F868" s="7" t="s">
        <v>1363</v>
      </c>
      <c r="G868" s="7" t="s">
        <v>86</v>
      </c>
      <c r="H868" s="7" t="s">
        <v>1371</v>
      </c>
      <c r="I868" s="10">
        <v>47.412916000000003</v>
      </c>
      <c r="J868" s="10">
        <v>-85.666167000000002</v>
      </c>
      <c r="K868" s="7" t="s">
        <v>41</v>
      </c>
      <c r="L868" s="7" t="s">
        <v>28</v>
      </c>
      <c r="M868" s="7" t="s">
        <v>1365</v>
      </c>
      <c r="N868" s="7">
        <v>750</v>
      </c>
      <c r="O868" s="7" t="s">
        <v>31</v>
      </c>
      <c r="P868" s="7">
        <f t="shared" si="9"/>
        <v>750</v>
      </c>
      <c r="Q868" s="7" t="s">
        <v>31</v>
      </c>
    </row>
    <row r="869" spans="1:17" s="7" customFormat="1" x14ac:dyDescent="0.35">
      <c r="A869" s="7">
        <v>49</v>
      </c>
      <c r="B869" s="7" t="s">
        <v>1361</v>
      </c>
      <c r="C869" s="7">
        <v>2021</v>
      </c>
      <c r="D869" s="7" t="s">
        <v>468</v>
      </c>
      <c r="E869" s="7" t="s">
        <v>1362</v>
      </c>
      <c r="F869" s="7" t="s">
        <v>1363</v>
      </c>
      <c r="G869" s="7" t="s">
        <v>86</v>
      </c>
      <c r="H869" s="7" t="s">
        <v>1372</v>
      </c>
      <c r="I869" s="10">
        <v>47.456916999999997</v>
      </c>
      <c r="J869" s="10">
        <v>-85.265165999999994</v>
      </c>
      <c r="K869" s="7" t="s">
        <v>41</v>
      </c>
      <c r="L869" s="7" t="s">
        <v>28</v>
      </c>
      <c r="M869" s="7" t="s">
        <v>1365</v>
      </c>
      <c r="N869" s="7">
        <v>750</v>
      </c>
      <c r="O869" s="7" t="s">
        <v>31</v>
      </c>
      <c r="P869" s="7">
        <f t="shared" si="9"/>
        <v>750</v>
      </c>
      <c r="Q869" s="7" t="s">
        <v>31</v>
      </c>
    </row>
    <row r="870" spans="1:17" s="7" customFormat="1" x14ac:dyDescent="0.35">
      <c r="A870" s="7">
        <v>49</v>
      </c>
      <c r="B870" s="7" t="s">
        <v>1361</v>
      </c>
      <c r="C870" s="7">
        <v>2021</v>
      </c>
      <c r="D870" s="7" t="s">
        <v>468</v>
      </c>
      <c r="E870" s="7" t="s">
        <v>1362</v>
      </c>
      <c r="F870" s="7" t="s">
        <v>1363</v>
      </c>
      <c r="G870" s="7" t="s">
        <v>86</v>
      </c>
      <c r="H870" s="7" t="s">
        <v>1373</v>
      </c>
      <c r="I870" s="10">
        <v>47.551833000000002</v>
      </c>
      <c r="J870" s="10">
        <v>-84.962999999999994</v>
      </c>
      <c r="K870" s="7" t="s">
        <v>41</v>
      </c>
      <c r="L870" s="7" t="s">
        <v>28</v>
      </c>
      <c r="M870" s="7" t="s">
        <v>1365</v>
      </c>
      <c r="N870" s="7">
        <v>750</v>
      </c>
      <c r="O870" s="7" t="s">
        <v>31</v>
      </c>
      <c r="P870" s="7">
        <f t="shared" si="9"/>
        <v>750</v>
      </c>
      <c r="Q870" s="7" t="s">
        <v>31</v>
      </c>
    </row>
    <row r="871" spans="1:17" s="7" customFormat="1" x14ac:dyDescent="0.35">
      <c r="A871" s="7">
        <v>49</v>
      </c>
      <c r="B871" s="7" t="s">
        <v>1361</v>
      </c>
      <c r="C871" s="7">
        <v>2021</v>
      </c>
      <c r="D871" s="7" t="s">
        <v>468</v>
      </c>
      <c r="E871" s="7" t="s">
        <v>1362</v>
      </c>
      <c r="F871" s="7" t="s">
        <v>1363</v>
      </c>
      <c r="G871" s="7" t="s">
        <v>86</v>
      </c>
      <c r="H871" s="7" t="s">
        <v>1374</v>
      </c>
      <c r="I871" s="10">
        <v>47.594915999999998</v>
      </c>
      <c r="J871" s="10">
        <v>-86.224917000000005</v>
      </c>
      <c r="K871" s="7" t="s">
        <v>41</v>
      </c>
      <c r="L871" s="7" t="s">
        <v>28</v>
      </c>
      <c r="M871" s="7" t="s">
        <v>1365</v>
      </c>
      <c r="N871" s="7">
        <v>750</v>
      </c>
      <c r="O871" s="7" t="s">
        <v>31</v>
      </c>
      <c r="P871" s="7">
        <f t="shared" si="9"/>
        <v>750</v>
      </c>
      <c r="Q871" s="7" t="s">
        <v>31</v>
      </c>
    </row>
    <row r="872" spans="1:17" s="7" customFormat="1" x14ac:dyDescent="0.35">
      <c r="A872" s="7">
        <v>49</v>
      </c>
      <c r="B872" s="7" t="s">
        <v>1361</v>
      </c>
      <c r="C872" s="7">
        <v>2021</v>
      </c>
      <c r="D872" s="7" t="s">
        <v>468</v>
      </c>
      <c r="E872" s="7" t="s">
        <v>1362</v>
      </c>
      <c r="F872" s="7" t="s">
        <v>1363</v>
      </c>
      <c r="G872" s="7" t="s">
        <v>86</v>
      </c>
      <c r="H872" s="7" t="s">
        <v>1375</v>
      </c>
      <c r="I872" s="10">
        <v>47.634082999999997</v>
      </c>
      <c r="J872" s="10">
        <v>-86.109834000000006</v>
      </c>
      <c r="K872" s="7" t="s">
        <v>41</v>
      </c>
      <c r="L872" s="7" t="s">
        <v>28</v>
      </c>
      <c r="M872" s="7" t="s">
        <v>1365</v>
      </c>
      <c r="N872" s="7">
        <v>750</v>
      </c>
      <c r="O872" s="7" t="s">
        <v>31</v>
      </c>
      <c r="P872" s="7">
        <f t="shared" si="9"/>
        <v>750</v>
      </c>
      <c r="Q872" s="7" t="s">
        <v>31</v>
      </c>
    </row>
    <row r="873" spans="1:17" s="7" customFormat="1" x14ac:dyDescent="0.35">
      <c r="A873" s="7">
        <v>49</v>
      </c>
      <c r="B873" s="7" t="s">
        <v>1361</v>
      </c>
      <c r="C873" s="7">
        <v>2021</v>
      </c>
      <c r="D873" s="7" t="s">
        <v>468</v>
      </c>
      <c r="E873" s="7" t="s">
        <v>1362</v>
      </c>
      <c r="F873" s="7" t="s">
        <v>1363</v>
      </c>
      <c r="G873" s="7" t="s">
        <v>86</v>
      </c>
      <c r="H873" s="7" t="s">
        <v>1376</v>
      </c>
      <c r="I873" s="10">
        <v>47.649417</v>
      </c>
      <c r="J873" s="10">
        <v>-85.559832999999998</v>
      </c>
      <c r="K873" s="7" t="s">
        <v>41</v>
      </c>
      <c r="L873" s="7" t="s">
        <v>28</v>
      </c>
      <c r="M873" s="7" t="s">
        <v>1365</v>
      </c>
      <c r="N873" s="7">
        <v>750</v>
      </c>
      <c r="O873" s="7" t="s">
        <v>31</v>
      </c>
      <c r="P873" s="7">
        <f t="shared" si="9"/>
        <v>750</v>
      </c>
      <c r="Q873" s="7" t="s">
        <v>31</v>
      </c>
    </row>
    <row r="874" spans="1:17" s="7" customFormat="1" x14ac:dyDescent="0.35">
      <c r="A874" s="7">
        <v>49</v>
      </c>
      <c r="B874" s="7" t="s">
        <v>1361</v>
      </c>
      <c r="C874" s="7">
        <v>2021</v>
      </c>
      <c r="D874" s="7" t="s">
        <v>468</v>
      </c>
      <c r="E874" s="7" t="s">
        <v>1362</v>
      </c>
      <c r="F874" s="7" t="s">
        <v>1363</v>
      </c>
      <c r="G874" s="7" t="s">
        <v>86</v>
      </c>
      <c r="H874" s="7" t="s">
        <v>1377</v>
      </c>
      <c r="I874" s="10">
        <v>47.701500000000003</v>
      </c>
      <c r="J874" s="10">
        <v>-85.957999999999998</v>
      </c>
      <c r="K874" s="7" t="s">
        <v>41</v>
      </c>
      <c r="L874" s="7" t="s">
        <v>28</v>
      </c>
      <c r="M874" s="7" t="s">
        <v>1365</v>
      </c>
      <c r="N874" s="7">
        <v>750</v>
      </c>
      <c r="O874" s="7" t="s">
        <v>31</v>
      </c>
      <c r="P874" s="7">
        <f t="shared" si="9"/>
        <v>750</v>
      </c>
      <c r="Q874" s="7" t="s">
        <v>31</v>
      </c>
    </row>
    <row r="875" spans="1:17" s="7" customFormat="1" x14ac:dyDescent="0.35">
      <c r="A875" s="7">
        <v>49</v>
      </c>
      <c r="B875" s="7" t="s">
        <v>1361</v>
      </c>
      <c r="C875" s="7">
        <v>2021</v>
      </c>
      <c r="D875" s="7" t="s">
        <v>468</v>
      </c>
      <c r="E875" s="7" t="s">
        <v>1362</v>
      </c>
      <c r="F875" s="7" t="s">
        <v>1363</v>
      </c>
      <c r="G875" s="7" t="s">
        <v>86</v>
      </c>
      <c r="H875" s="7" t="s">
        <v>1378</v>
      </c>
      <c r="I875" s="10">
        <v>47.827832999999998</v>
      </c>
      <c r="J875" s="10">
        <v>-86.698417000000006</v>
      </c>
      <c r="K875" s="7" t="s">
        <v>41</v>
      </c>
      <c r="L875" s="7" t="s">
        <v>28</v>
      </c>
      <c r="M875" s="7" t="s">
        <v>1365</v>
      </c>
      <c r="N875" s="7">
        <v>750</v>
      </c>
      <c r="O875" s="7" t="s">
        <v>31</v>
      </c>
      <c r="P875" s="7">
        <f t="shared" si="9"/>
        <v>750</v>
      </c>
      <c r="Q875" s="7" t="s">
        <v>31</v>
      </c>
    </row>
    <row r="876" spans="1:17" s="7" customFormat="1" x14ac:dyDescent="0.35">
      <c r="A876" s="7">
        <v>49</v>
      </c>
      <c r="B876" s="7" t="s">
        <v>1361</v>
      </c>
      <c r="C876" s="7">
        <v>2021</v>
      </c>
      <c r="D876" s="7" t="s">
        <v>468</v>
      </c>
      <c r="E876" s="7" t="s">
        <v>1362</v>
      </c>
      <c r="F876" s="7" t="s">
        <v>1363</v>
      </c>
      <c r="G876" s="7" t="s">
        <v>86</v>
      </c>
      <c r="H876" s="7" t="s">
        <v>1379</v>
      </c>
      <c r="I876" s="10">
        <v>47.914583</v>
      </c>
      <c r="J876" s="10">
        <v>-85.43</v>
      </c>
      <c r="K876" s="7" t="s">
        <v>41</v>
      </c>
      <c r="L876" s="7" t="s">
        <v>28</v>
      </c>
      <c r="M876" s="7" t="s">
        <v>1365</v>
      </c>
      <c r="N876" s="7">
        <v>750</v>
      </c>
      <c r="O876" s="7" t="s">
        <v>31</v>
      </c>
      <c r="P876" s="7">
        <f t="shared" si="9"/>
        <v>750</v>
      </c>
      <c r="Q876" s="7" t="s">
        <v>31</v>
      </c>
    </row>
    <row r="877" spans="1:17" s="7" customFormat="1" x14ac:dyDescent="0.35">
      <c r="A877" s="7">
        <v>49</v>
      </c>
      <c r="B877" s="7" t="s">
        <v>1361</v>
      </c>
      <c r="C877" s="7">
        <v>2021</v>
      </c>
      <c r="D877" s="7" t="s">
        <v>468</v>
      </c>
      <c r="E877" s="7" t="s">
        <v>1362</v>
      </c>
      <c r="F877" s="7" t="s">
        <v>1363</v>
      </c>
      <c r="G877" s="7" t="s">
        <v>86</v>
      </c>
      <c r="H877" s="7" t="s">
        <v>1380</v>
      </c>
      <c r="I877" s="10">
        <v>47.943249999999999</v>
      </c>
      <c r="J877" s="10">
        <v>-85.183166</v>
      </c>
      <c r="K877" s="7" t="s">
        <v>41</v>
      </c>
      <c r="L877" s="7" t="s">
        <v>28</v>
      </c>
      <c r="M877" s="7" t="s">
        <v>1365</v>
      </c>
      <c r="N877" s="7">
        <v>750</v>
      </c>
      <c r="O877" s="7" t="s">
        <v>31</v>
      </c>
      <c r="P877" s="7">
        <f t="shared" si="9"/>
        <v>750</v>
      </c>
      <c r="Q877" s="7" t="s">
        <v>31</v>
      </c>
    </row>
    <row r="878" spans="1:17" s="7" customFormat="1" x14ac:dyDescent="0.35">
      <c r="A878" s="7">
        <v>49</v>
      </c>
      <c r="B878" s="7" t="s">
        <v>1361</v>
      </c>
      <c r="C878" s="7">
        <v>2021</v>
      </c>
      <c r="D878" s="7" t="s">
        <v>468</v>
      </c>
      <c r="E878" s="7" t="s">
        <v>1362</v>
      </c>
      <c r="F878" s="7" t="s">
        <v>1363</v>
      </c>
      <c r="G878" s="7" t="s">
        <v>86</v>
      </c>
      <c r="H878" s="7" t="s">
        <v>1381</v>
      </c>
      <c r="I878" s="10">
        <v>47.950083999999997</v>
      </c>
      <c r="J878" s="10">
        <v>-84.942082999999997</v>
      </c>
      <c r="K878" s="7" t="s">
        <v>41</v>
      </c>
      <c r="L878" s="7" t="s">
        <v>28</v>
      </c>
      <c r="M878" s="7" t="s">
        <v>1365</v>
      </c>
      <c r="N878" s="7">
        <v>750</v>
      </c>
      <c r="O878" s="7" t="s">
        <v>31</v>
      </c>
      <c r="P878" s="7">
        <f t="shared" si="9"/>
        <v>750</v>
      </c>
      <c r="Q878" s="7" t="s">
        <v>31</v>
      </c>
    </row>
    <row r="879" spans="1:17" s="7" customFormat="1" x14ac:dyDescent="0.35">
      <c r="A879" s="7">
        <v>49</v>
      </c>
      <c r="B879" s="7" t="s">
        <v>1361</v>
      </c>
      <c r="C879" s="7">
        <v>2021</v>
      </c>
      <c r="D879" s="7" t="s">
        <v>468</v>
      </c>
      <c r="E879" s="7" t="s">
        <v>1362</v>
      </c>
      <c r="F879" s="7" t="s">
        <v>1363</v>
      </c>
      <c r="G879" s="7" t="s">
        <v>86</v>
      </c>
      <c r="H879" s="7" t="s">
        <v>1382</v>
      </c>
      <c r="I879" s="10">
        <v>48.023415999999997</v>
      </c>
      <c r="J879" s="10">
        <v>-86.637749999999997</v>
      </c>
      <c r="K879" s="7" t="s">
        <v>41</v>
      </c>
      <c r="L879" s="7" t="s">
        <v>28</v>
      </c>
      <c r="M879" s="7" t="s">
        <v>1365</v>
      </c>
      <c r="N879" s="7">
        <v>750</v>
      </c>
      <c r="O879" s="7" t="s">
        <v>31</v>
      </c>
      <c r="P879" s="7">
        <f t="shared" si="9"/>
        <v>750</v>
      </c>
      <c r="Q879" s="7" t="s">
        <v>31</v>
      </c>
    </row>
    <row r="880" spans="1:17" s="7" customFormat="1" x14ac:dyDescent="0.35">
      <c r="A880" s="7">
        <v>49</v>
      </c>
      <c r="B880" s="7" t="s">
        <v>1361</v>
      </c>
      <c r="C880" s="7">
        <v>2021</v>
      </c>
      <c r="D880" s="7" t="s">
        <v>468</v>
      </c>
      <c r="E880" s="7" t="s">
        <v>1362</v>
      </c>
      <c r="F880" s="7" t="s">
        <v>1363</v>
      </c>
      <c r="G880" s="7" t="s">
        <v>86</v>
      </c>
      <c r="H880" s="7" t="s">
        <v>1383</v>
      </c>
      <c r="I880" s="10">
        <v>48.078167000000001</v>
      </c>
      <c r="J880" s="10">
        <v>-89.417749999999998</v>
      </c>
      <c r="K880" s="7" t="s">
        <v>41</v>
      </c>
      <c r="L880" s="7" t="s">
        <v>28</v>
      </c>
      <c r="M880" s="7" t="s">
        <v>1365</v>
      </c>
      <c r="N880" s="7">
        <v>750</v>
      </c>
      <c r="O880" s="7" t="s">
        <v>31</v>
      </c>
      <c r="P880" s="7">
        <f t="shared" si="9"/>
        <v>750</v>
      </c>
      <c r="Q880" s="7" t="s">
        <v>31</v>
      </c>
    </row>
    <row r="881" spans="1:19" s="7" customFormat="1" x14ac:dyDescent="0.35">
      <c r="A881" s="7">
        <v>49</v>
      </c>
      <c r="B881" s="7" t="s">
        <v>1361</v>
      </c>
      <c r="C881" s="7">
        <v>2021</v>
      </c>
      <c r="D881" s="7" t="s">
        <v>468</v>
      </c>
      <c r="E881" s="7" t="s">
        <v>1362</v>
      </c>
      <c r="F881" s="7" t="s">
        <v>1363</v>
      </c>
      <c r="G881" s="7" t="s">
        <v>86</v>
      </c>
      <c r="H881" s="7" t="s">
        <v>1384</v>
      </c>
      <c r="I881" s="10">
        <v>48.122416000000001</v>
      </c>
      <c r="J881" s="10">
        <v>-86.052417000000005</v>
      </c>
      <c r="K881" s="7" t="s">
        <v>41</v>
      </c>
      <c r="L881" s="7" t="s">
        <v>28</v>
      </c>
      <c r="M881" s="7" t="s">
        <v>1365</v>
      </c>
      <c r="N881" s="7">
        <v>750</v>
      </c>
      <c r="O881" s="7" t="s">
        <v>31</v>
      </c>
      <c r="P881" s="7">
        <f t="shared" si="9"/>
        <v>750</v>
      </c>
      <c r="Q881" s="7" t="s">
        <v>31</v>
      </c>
    </row>
    <row r="882" spans="1:19" s="7" customFormat="1" x14ac:dyDescent="0.35">
      <c r="A882" s="7">
        <v>49</v>
      </c>
      <c r="B882" s="7" t="s">
        <v>1361</v>
      </c>
      <c r="C882" s="7">
        <v>2021</v>
      </c>
      <c r="D882" s="7" t="s">
        <v>468</v>
      </c>
      <c r="E882" s="7" t="s">
        <v>1362</v>
      </c>
      <c r="F882" s="7" t="s">
        <v>1363</v>
      </c>
      <c r="G882" s="7" t="s">
        <v>86</v>
      </c>
      <c r="H882" s="7" t="s">
        <v>1385</v>
      </c>
      <c r="I882" s="10">
        <v>48.262332999999998</v>
      </c>
      <c r="J882" s="10">
        <v>-89.165000000000006</v>
      </c>
      <c r="K882" s="7" t="s">
        <v>41</v>
      </c>
      <c r="L882" s="7" t="s">
        <v>28</v>
      </c>
      <c r="M882" s="7" t="s">
        <v>1365</v>
      </c>
      <c r="N882" s="7">
        <v>750</v>
      </c>
      <c r="O882" s="7" t="s">
        <v>31</v>
      </c>
      <c r="P882" s="7">
        <f t="shared" si="9"/>
        <v>750</v>
      </c>
      <c r="Q882" s="7" t="s">
        <v>31</v>
      </c>
    </row>
    <row r="883" spans="1:19" s="7" customFormat="1" x14ac:dyDescent="0.35">
      <c r="A883" s="7">
        <v>49</v>
      </c>
      <c r="B883" s="7" t="s">
        <v>1361</v>
      </c>
      <c r="C883" s="7">
        <v>2021</v>
      </c>
      <c r="D883" s="7" t="s">
        <v>468</v>
      </c>
      <c r="E883" s="7" t="s">
        <v>1362</v>
      </c>
      <c r="F883" s="7" t="s">
        <v>1363</v>
      </c>
      <c r="G883" s="7" t="s">
        <v>86</v>
      </c>
      <c r="H883" s="7" t="s">
        <v>1386</v>
      </c>
      <c r="I883" s="10">
        <v>48.299916000000003</v>
      </c>
      <c r="J883" s="10">
        <v>-88.924582999999998</v>
      </c>
      <c r="K883" s="7" t="s">
        <v>41</v>
      </c>
      <c r="L883" s="7" t="s">
        <v>28</v>
      </c>
      <c r="M883" s="7" t="s">
        <v>1365</v>
      </c>
      <c r="N883" s="7">
        <v>750</v>
      </c>
      <c r="O883" s="7" t="s">
        <v>31</v>
      </c>
      <c r="P883" s="7">
        <f t="shared" si="9"/>
        <v>750</v>
      </c>
      <c r="Q883" s="7" t="s">
        <v>31</v>
      </c>
    </row>
    <row r="884" spans="1:19" s="7" customFormat="1" x14ac:dyDescent="0.35">
      <c r="A884" s="7">
        <v>49</v>
      </c>
      <c r="B884" s="7" t="s">
        <v>1361</v>
      </c>
      <c r="C884" s="7">
        <v>2021</v>
      </c>
      <c r="D884" s="7" t="s">
        <v>468</v>
      </c>
      <c r="E884" s="7" t="s">
        <v>1362</v>
      </c>
      <c r="F884" s="7" t="s">
        <v>1363</v>
      </c>
      <c r="G884" s="7" t="s">
        <v>86</v>
      </c>
      <c r="H884" s="7" t="s">
        <v>1387</v>
      </c>
      <c r="I884" s="10">
        <v>48.304499999999997</v>
      </c>
      <c r="J884" s="10">
        <v>-87.657083</v>
      </c>
      <c r="K884" s="7" t="s">
        <v>41</v>
      </c>
      <c r="L884" s="7" t="s">
        <v>28</v>
      </c>
      <c r="M884" s="7" t="s">
        <v>1365</v>
      </c>
      <c r="N884" s="7">
        <v>750</v>
      </c>
      <c r="O884" s="7" t="s">
        <v>31</v>
      </c>
      <c r="P884" s="7">
        <f t="shared" si="9"/>
        <v>750</v>
      </c>
      <c r="Q884" s="7" t="s">
        <v>31</v>
      </c>
    </row>
    <row r="885" spans="1:19" s="7" customFormat="1" x14ac:dyDescent="0.35">
      <c r="A885" s="7">
        <v>49</v>
      </c>
      <c r="B885" s="7" t="s">
        <v>1361</v>
      </c>
      <c r="C885" s="7">
        <v>2021</v>
      </c>
      <c r="D885" s="7" t="s">
        <v>468</v>
      </c>
      <c r="E885" s="7" t="s">
        <v>1362</v>
      </c>
      <c r="F885" s="7" t="s">
        <v>1363</v>
      </c>
      <c r="G885" s="7" t="s">
        <v>86</v>
      </c>
      <c r="H885" s="7" t="s">
        <v>1388</v>
      </c>
      <c r="I885" s="10">
        <v>48.354999999999997</v>
      </c>
      <c r="J885" s="10">
        <v>-86.979249999999993</v>
      </c>
      <c r="K885" s="7" t="s">
        <v>41</v>
      </c>
      <c r="L885" s="7" t="s">
        <v>28</v>
      </c>
      <c r="M885" s="7" t="s">
        <v>1365</v>
      </c>
      <c r="N885" s="7">
        <v>750</v>
      </c>
      <c r="O885" s="7" t="s">
        <v>31</v>
      </c>
      <c r="P885" s="7">
        <f t="shared" si="9"/>
        <v>750</v>
      </c>
      <c r="Q885" s="7" t="s">
        <v>31</v>
      </c>
    </row>
    <row r="886" spans="1:19" s="7" customFormat="1" x14ac:dyDescent="0.35">
      <c r="A886" s="7">
        <v>49</v>
      </c>
      <c r="B886" s="7" t="s">
        <v>1361</v>
      </c>
      <c r="C886" s="7">
        <v>2021</v>
      </c>
      <c r="D886" s="7" t="s">
        <v>468</v>
      </c>
      <c r="E886" s="7" t="s">
        <v>1362</v>
      </c>
      <c r="F886" s="7" t="s">
        <v>1363</v>
      </c>
      <c r="G886" s="7" t="s">
        <v>86</v>
      </c>
      <c r="H886" s="7" t="s">
        <v>1389</v>
      </c>
      <c r="I886" s="10">
        <v>48.370334</v>
      </c>
      <c r="J886" s="10">
        <v>-88.880499999999998</v>
      </c>
      <c r="K886" s="7" t="s">
        <v>41</v>
      </c>
      <c r="L886" s="7" t="s">
        <v>28</v>
      </c>
      <c r="M886" s="7" t="s">
        <v>1365</v>
      </c>
      <c r="N886" s="7">
        <v>750</v>
      </c>
      <c r="O886" s="7" t="s">
        <v>31</v>
      </c>
      <c r="P886" s="7">
        <f t="shared" si="9"/>
        <v>750</v>
      </c>
      <c r="Q886" s="7" t="s">
        <v>31</v>
      </c>
    </row>
    <row r="887" spans="1:19" s="7" customFormat="1" x14ac:dyDescent="0.35">
      <c r="A887" s="7">
        <v>49</v>
      </c>
      <c r="B887" s="7" t="s">
        <v>1361</v>
      </c>
      <c r="C887" s="7">
        <v>2021</v>
      </c>
      <c r="D887" s="7" t="s">
        <v>468</v>
      </c>
      <c r="E887" s="7" t="s">
        <v>1362</v>
      </c>
      <c r="F887" s="7" t="s">
        <v>1363</v>
      </c>
      <c r="G887" s="7" t="s">
        <v>86</v>
      </c>
      <c r="H887" s="7" t="s">
        <v>1390</v>
      </c>
      <c r="I887" s="10">
        <v>48.501249999999999</v>
      </c>
      <c r="J887" s="10">
        <v>-88.936750000000004</v>
      </c>
      <c r="K887" s="7" t="s">
        <v>41</v>
      </c>
      <c r="L887" s="7" t="s">
        <v>28</v>
      </c>
      <c r="M887" s="7" t="s">
        <v>1365</v>
      </c>
      <c r="N887" s="7">
        <v>750</v>
      </c>
      <c r="O887" s="7" t="s">
        <v>31</v>
      </c>
      <c r="P887" s="7">
        <f t="shared" si="9"/>
        <v>750</v>
      </c>
      <c r="Q887" s="7" t="s">
        <v>31</v>
      </c>
    </row>
    <row r="888" spans="1:19" s="7" customFormat="1" x14ac:dyDescent="0.35">
      <c r="A888" s="7">
        <v>49</v>
      </c>
      <c r="B888" s="7" t="s">
        <v>1361</v>
      </c>
      <c r="C888" s="7">
        <v>2021</v>
      </c>
      <c r="D888" s="7" t="s">
        <v>468</v>
      </c>
      <c r="E888" s="7" t="s">
        <v>1362</v>
      </c>
      <c r="F888" s="7" t="s">
        <v>1363</v>
      </c>
      <c r="G888" s="7" t="s">
        <v>86</v>
      </c>
      <c r="H888" s="7" t="s">
        <v>1391</v>
      </c>
      <c r="I888" s="10">
        <v>48.515917000000002</v>
      </c>
      <c r="J888" s="10">
        <v>-88.604584000000003</v>
      </c>
      <c r="K888" s="7" t="s">
        <v>41</v>
      </c>
      <c r="L888" s="7" t="s">
        <v>28</v>
      </c>
      <c r="M888" s="7" t="s">
        <v>1365</v>
      </c>
      <c r="N888" s="7">
        <v>750</v>
      </c>
      <c r="O888" s="7" t="s">
        <v>31</v>
      </c>
      <c r="P888" s="7">
        <f t="shared" si="9"/>
        <v>750</v>
      </c>
      <c r="Q888" s="7" t="s">
        <v>31</v>
      </c>
    </row>
    <row r="889" spans="1:19" s="7" customFormat="1" x14ac:dyDescent="0.35">
      <c r="A889" s="7">
        <v>49</v>
      </c>
      <c r="B889" s="7" t="s">
        <v>1361</v>
      </c>
      <c r="C889" s="7">
        <v>2021</v>
      </c>
      <c r="D889" s="7" t="s">
        <v>468</v>
      </c>
      <c r="E889" s="7" t="s">
        <v>1362</v>
      </c>
      <c r="F889" s="7" t="s">
        <v>1363</v>
      </c>
      <c r="G889" s="7" t="s">
        <v>86</v>
      </c>
      <c r="H889" s="7" t="s">
        <v>1392</v>
      </c>
      <c r="I889" s="10">
        <v>48.554583000000001</v>
      </c>
      <c r="J889" s="10">
        <v>-87.773416999999995</v>
      </c>
      <c r="K889" s="7" t="s">
        <v>41</v>
      </c>
      <c r="L889" s="7" t="s">
        <v>28</v>
      </c>
      <c r="M889" s="7" t="s">
        <v>1365</v>
      </c>
      <c r="N889" s="7">
        <v>750</v>
      </c>
      <c r="O889" s="7" t="s">
        <v>31</v>
      </c>
      <c r="P889" s="7">
        <f t="shared" si="9"/>
        <v>750</v>
      </c>
      <c r="Q889" s="7" t="s">
        <v>31</v>
      </c>
    </row>
    <row r="890" spans="1:19" s="7" customFormat="1" x14ac:dyDescent="0.35">
      <c r="A890" s="7">
        <v>49</v>
      </c>
      <c r="B890" s="7" t="s">
        <v>1361</v>
      </c>
      <c r="C890" s="7">
        <v>2021</v>
      </c>
      <c r="D890" s="7" t="s">
        <v>468</v>
      </c>
      <c r="E890" s="7" t="s">
        <v>1362</v>
      </c>
      <c r="F890" s="7" t="s">
        <v>1363</v>
      </c>
      <c r="G890" s="7" t="s">
        <v>86</v>
      </c>
      <c r="H890" s="7" t="s">
        <v>1393</v>
      </c>
      <c r="I890" s="10">
        <v>48.715833000000003</v>
      </c>
      <c r="J890" s="10">
        <v>-87.299582999999998</v>
      </c>
      <c r="K890" s="7" t="s">
        <v>41</v>
      </c>
      <c r="L890" s="7" t="s">
        <v>28</v>
      </c>
      <c r="M890" s="7" t="s">
        <v>1365</v>
      </c>
      <c r="N890" s="7">
        <v>750</v>
      </c>
      <c r="O890" s="7" t="s">
        <v>31</v>
      </c>
      <c r="P890" s="7">
        <f t="shared" si="9"/>
        <v>750</v>
      </c>
      <c r="Q890" s="7" t="s">
        <v>31</v>
      </c>
    </row>
    <row r="891" spans="1:19" s="7" customFormat="1" x14ac:dyDescent="0.35">
      <c r="A891" s="7">
        <v>49</v>
      </c>
      <c r="B891" s="7" t="s">
        <v>1361</v>
      </c>
      <c r="C891" s="7">
        <v>2021</v>
      </c>
      <c r="D891" s="7" t="s">
        <v>468</v>
      </c>
      <c r="E891" s="7" t="s">
        <v>1362</v>
      </c>
      <c r="F891" s="7" t="s">
        <v>1363</v>
      </c>
      <c r="G891" s="7" t="s">
        <v>86</v>
      </c>
      <c r="H891" s="7" t="s">
        <v>1394</v>
      </c>
      <c r="I891" s="10">
        <v>48.767583000000002</v>
      </c>
      <c r="J891" s="10">
        <v>-86.635750000000002</v>
      </c>
      <c r="K891" s="7" t="s">
        <v>41</v>
      </c>
      <c r="L891" s="7" t="s">
        <v>28</v>
      </c>
      <c r="M891" s="7" t="s">
        <v>1365</v>
      </c>
      <c r="N891" s="7">
        <v>750</v>
      </c>
      <c r="O891" s="7" t="s">
        <v>31</v>
      </c>
      <c r="P891" s="7">
        <f t="shared" si="9"/>
        <v>750</v>
      </c>
      <c r="Q891" s="7" t="s">
        <v>31</v>
      </c>
    </row>
    <row r="892" spans="1:19" s="7" customFormat="1" x14ac:dyDescent="0.35">
      <c r="A892" s="7">
        <v>49</v>
      </c>
      <c r="B892" s="7" t="s">
        <v>1361</v>
      </c>
      <c r="C892" s="7">
        <v>2021</v>
      </c>
      <c r="D892" s="7" t="s">
        <v>468</v>
      </c>
      <c r="E892" s="7" t="s">
        <v>1362</v>
      </c>
      <c r="F892" s="7" t="s">
        <v>1363</v>
      </c>
      <c r="G892" s="7" t="s">
        <v>86</v>
      </c>
      <c r="H892" s="7" t="s">
        <v>1395</v>
      </c>
      <c r="I892" s="10">
        <v>48.816915999999999</v>
      </c>
      <c r="J892" s="10">
        <v>-87.449667000000005</v>
      </c>
      <c r="K892" s="7" t="s">
        <v>41</v>
      </c>
      <c r="L892" s="7" t="s">
        <v>28</v>
      </c>
      <c r="M892" s="7" t="s">
        <v>1365</v>
      </c>
      <c r="N892" s="7">
        <v>750</v>
      </c>
      <c r="O892" s="7" t="s">
        <v>31</v>
      </c>
      <c r="P892" s="7">
        <f>N892</f>
        <v>750</v>
      </c>
      <c r="Q892" s="7" t="s">
        <v>31</v>
      </c>
    </row>
    <row r="893" spans="1:19" s="7" customFormat="1" x14ac:dyDescent="0.35">
      <c r="A893" s="7">
        <v>50</v>
      </c>
      <c r="B893" s="7" t="s">
        <v>1396</v>
      </c>
      <c r="C893" s="7">
        <v>2022</v>
      </c>
      <c r="D893" s="7" t="s">
        <v>420</v>
      </c>
      <c r="E893" s="7" t="s">
        <v>1397</v>
      </c>
      <c r="F893" s="7" t="s">
        <v>1398</v>
      </c>
      <c r="G893" s="7" t="s">
        <v>494</v>
      </c>
      <c r="H893" s="7" t="s">
        <v>1399</v>
      </c>
      <c r="I893" s="7">
        <v>44.298271999999997</v>
      </c>
      <c r="J893" s="10">
        <v>-64.359630999999993</v>
      </c>
      <c r="K893" s="7" t="s">
        <v>41</v>
      </c>
      <c r="L893" s="7" t="s">
        <v>42</v>
      </c>
      <c r="M893" s="7" t="s">
        <v>1400</v>
      </c>
      <c r="N893" s="7" t="s">
        <v>1401</v>
      </c>
      <c r="O893" s="7" t="s">
        <v>44</v>
      </c>
      <c r="P893" s="7" t="s">
        <v>1402</v>
      </c>
      <c r="Q893" s="7" t="s">
        <v>31</v>
      </c>
      <c r="R893" s="7" t="s">
        <v>1404</v>
      </c>
      <c r="S893" s="7" t="s">
        <v>1405</v>
      </c>
    </row>
    <row r="894" spans="1:19" s="7" customFormat="1" x14ac:dyDescent="0.35">
      <c r="A894" s="7">
        <v>50</v>
      </c>
      <c r="B894" s="7" t="s">
        <v>1396</v>
      </c>
      <c r="C894" s="7">
        <v>2022</v>
      </c>
      <c r="D894" s="7" t="s">
        <v>420</v>
      </c>
      <c r="E894" s="1" t="s">
        <v>1397</v>
      </c>
      <c r="F894" s="7" t="s">
        <v>1398</v>
      </c>
      <c r="G894" s="7" t="s">
        <v>804</v>
      </c>
      <c r="H894" s="7" t="s">
        <v>1406</v>
      </c>
      <c r="I894" s="7">
        <v>49.209031000000003</v>
      </c>
      <c r="J894" s="10">
        <v>-58.351194</v>
      </c>
      <c r="K894" s="7" t="s">
        <v>41</v>
      </c>
      <c r="L894" s="7" t="s">
        <v>42</v>
      </c>
      <c r="M894" s="7" t="s">
        <v>1400</v>
      </c>
      <c r="N894" s="7" t="s">
        <v>1401</v>
      </c>
      <c r="O894" s="7" t="s">
        <v>44</v>
      </c>
      <c r="P894" s="7" t="s">
        <v>1402</v>
      </c>
      <c r="Q894" s="7" t="s">
        <v>31</v>
      </c>
      <c r="R894" s="7" t="s">
        <v>1404</v>
      </c>
      <c r="S894" s="7" t="s">
        <v>1405</v>
      </c>
    </row>
    <row r="895" spans="1:19" s="7" customFormat="1" x14ac:dyDescent="0.35">
      <c r="A895" s="7">
        <v>50</v>
      </c>
      <c r="B895" s="7" t="s">
        <v>1396</v>
      </c>
      <c r="C895" s="7">
        <v>2022</v>
      </c>
      <c r="D895" s="7" t="s">
        <v>420</v>
      </c>
      <c r="E895" s="7" t="s">
        <v>1397</v>
      </c>
      <c r="F895" s="7" t="s">
        <v>1398</v>
      </c>
      <c r="G895" s="7" t="s">
        <v>494</v>
      </c>
      <c r="H895" s="7" t="s">
        <v>1407</v>
      </c>
      <c r="I895" s="7">
        <v>44.649419999999999</v>
      </c>
      <c r="J895" s="10">
        <v>-65.685097999999996</v>
      </c>
      <c r="K895" s="7" t="s">
        <v>41</v>
      </c>
      <c r="L895" s="7" t="s">
        <v>42</v>
      </c>
      <c r="M895" s="7" t="s">
        <v>1400</v>
      </c>
      <c r="N895" s="7" t="s">
        <v>1401</v>
      </c>
      <c r="O895" s="7" t="s">
        <v>44</v>
      </c>
      <c r="P895" s="7" t="s">
        <v>1402</v>
      </c>
      <c r="Q895" s="7" t="s">
        <v>31</v>
      </c>
      <c r="R895" s="7" t="s">
        <v>1404</v>
      </c>
    </row>
    <row r="896" spans="1:19" s="7" customFormat="1" x14ac:dyDescent="0.35">
      <c r="A896" s="7">
        <v>51</v>
      </c>
      <c r="B896" s="7" t="s">
        <v>1408</v>
      </c>
      <c r="C896" s="7">
        <v>2021</v>
      </c>
      <c r="D896" s="7" t="s">
        <v>1409</v>
      </c>
      <c r="E896" s="7" t="s">
        <v>1410</v>
      </c>
      <c r="F896" s="7" t="s">
        <v>1411</v>
      </c>
      <c r="G896" s="7" t="s">
        <v>39</v>
      </c>
      <c r="H896" s="7" t="s">
        <v>1412</v>
      </c>
      <c r="I896" s="7">
        <v>72.165599999999998</v>
      </c>
      <c r="J896" s="10">
        <v>-130.8177</v>
      </c>
      <c r="K896" s="7" t="s">
        <v>103</v>
      </c>
      <c r="L896" s="7" t="s">
        <v>42</v>
      </c>
      <c r="M896" s="7" t="s">
        <v>1413</v>
      </c>
      <c r="N896" s="7" t="s">
        <v>1414</v>
      </c>
      <c r="O896" s="7" t="s">
        <v>246</v>
      </c>
      <c r="P896" s="7" t="str">
        <f t="shared" ref="P896:P907" si="10">N896</f>
        <v>Missing</v>
      </c>
      <c r="Q896" s="7" t="s">
        <v>31</v>
      </c>
    </row>
    <row r="897" spans="1:17" s="7" customFormat="1" x14ac:dyDescent="0.35">
      <c r="A897" s="7">
        <v>51</v>
      </c>
      <c r="B897" s="7" t="s">
        <v>1408</v>
      </c>
      <c r="C897" s="7">
        <v>2021</v>
      </c>
      <c r="D897" s="7" t="s">
        <v>1409</v>
      </c>
      <c r="E897" s="7" t="s">
        <v>1410</v>
      </c>
      <c r="F897" s="7" t="s">
        <v>1411</v>
      </c>
      <c r="G897" s="7" t="s">
        <v>39</v>
      </c>
      <c r="H897" s="7" t="s">
        <v>1416</v>
      </c>
      <c r="I897" s="7">
        <v>70.630283333333296</v>
      </c>
      <c r="J897" s="10">
        <v>-136.18901666666699</v>
      </c>
      <c r="K897" s="7" t="s">
        <v>103</v>
      </c>
      <c r="L897" s="7" t="s">
        <v>163</v>
      </c>
      <c r="M897" s="7" t="s">
        <v>1413</v>
      </c>
      <c r="N897" s="7" t="s">
        <v>1414</v>
      </c>
      <c r="O897" s="7" t="s">
        <v>246</v>
      </c>
      <c r="P897" s="7" t="str">
        <f t="shared" si="10"/>
        <v>Missing</v>
      </c>
      <c r="Q897" s="7" t="s">
        <v>31</v>
      </c>
    </row>
    <row r="898" spans="1:17" s="7" customFormat="1" x14ac:dyDescent="0.35">
      <c r="A898" s="7">
        <v>51</v>
      </c>
      <c r="B898" s="7" t="s">
        <v>1408</v>
      </c>
      <c r="C898" s="7">
        <v>2021</v>
      </c>
      <c r="D898" s="7" t="s">
        <v>1409</v>
      </c>
      <c r="E898" s="7" t="s">
        <v>1410</v>
      </c>
      <c r="F898" s="7" t="s">
        <v>1411</v>
      </c>
      <c r="G898" s="7" t="s">
        <v>39</v>
      </c>
      <c r="H898" s="7" t="s">
        <v>1417</v>
      </c>
      <c r="I898" s="7">
        <v>70.639499999999998</v>
      </c>
      <c r="J898" s="10">
        <v>-139.01478333333301</v>
      </c>
      <c r="K898" s="7" t="s">
        <v>103</v>
      </c>
      <c r="L898" s="7" t="s">
        <v>42</v>
      </c>
      <c r="M898" s="7" t="s">
        <v>1413</v>
      </c>
      <c r="N898" s="7" t="s">
        <v>1414</v>
      </c>
      <c r="O898" s="7" t="s">
        <v>246</v>
      </c>
      <c r="P898" s="7" t="str">
        <f t="shared" si="10"/>
        <v>Missing</v>
      </c>
      <c r="Q898" s="7" t="s">
        <v>31</v>
      </c>
    </row>
    <row r="899" spans="1:17" s="7" customFormat="1" x14ac:dyDescent="0.35">
      <c r="A899" s="7">
        <v>51</v>
      </c>
      <c r="B899" s="7" t="s">
        <v>1408</v>
      </c>
      <c r="C899" s="7">
        <v>2021</v>
      </c>
      <c r="D899" s="7" t="s">
        <v>1409</v>
      </c>
      <c r="E899" s="7" t="s">
        <v>1410</v>
      </c>
      <c r="F899" s="7" t="s">
        <v>1411</v>
      </c>
      <c r="G899" s="7" t="s">
        <v>25</v>
      </c>
      <c r="H899" s="7" t="s">
        <v>1418</v>
      </c>
      <c r="I899" s="7">
        <v>71.475300000000004</v>
      </c>
      <c r="J899" s="10">
        <v>-91.993200000000002</v>
      </c>
      <c r="K899" s="7" t="s">
        <v>103</v>
      </c>
      <c r="L899" s="7" t="s">
        <v>42</v>
      </c>
      <c r="M899" s="7" t="s">
        <v>1413</v>
      </c>
      <c r="N899" s="7" t="s">
        <v>1414</v>
      </c>
      <c r="O899" s="7" t="s">
        <v>246</v>
      </c>
      <c r="P899" s="7" t="str">
        <f t="shared" si="10"/>
        <v>Missing</v>
      </c>
      <c r="Q899" s="7" t="s">
        <v>31</v>
      </c>
    </row>
    <row r="900" spans="1:17" s="7" customFormat="1" x14ac:dyDescent="0.35">
      <c r="A900" s="7">
        <v>51</v>
      </c>
      <c r="B900" s="7" t="s">
        <v>1408</v>
      </c>
      <c r="C900" s="7">
        <v>2021</v>
      </c>
      <c r="D900" s="7" t="s">
        <v>1409</v>
      </c>
      <c r="E900" s="7" t="s">
        <v>1410</v>
      </c>
      <c r="F900" s="7" t="s">
        <v>1411</v>
      </c>
      <c r="G900" s="7" t="s">
        <v>25</v>
      </c>
      <c r="H900" s="7" t="s">
        <v>1419</v>
      </c>
      <c r="I900" s="7">
        <v>69.407300000000006</v>
      </c>
      <c r="J900" s="10">
        <v>-64.732200000000006</v>
      </c>
      <c r="K900" s="7" t="s">
        <v>103</v>
      </c>
      <c r="L900" s="7" t="s">
        <v>42</v>
      </c>
      <c r="M900" s="7" t="s">
        <v>1413</v>
      </c>
      <c r="N900" s="7" t="s">
        <v>1414</v>
      </c>
      <c r="O900" s="7" t="s">
        <v>246</v>
      </c>
      <c r="P900" s="7" t="str">
        <f t="shared" si="10"/>
        <v>Missing</v>
      </c>
      <c r="Q900" s="7" t="s">
        <v>31</v>
      </c>
    </row>
    <row r="901" spans="1:17" s="7" customFormat="1" x14ac:dyDescent="0.35">
      <c r="A901" s="7">
        <v>51</v>
      </c>
      <c r="B901" s="7" t="s">
        <v>1408</v>
      </c>
      <c r="C901" s="7">
        <v>2021</v>
      </c>
      <c r="D901" s="7" t="s">
        <v>1409</v>
      </c>
      <c r="E901" s="7" t="s">
        <v>1410</v>
      </c>
      <c r="F901" s="7" t="s">
        <v>1411</v>
      </c>
      <c r="G901" s="7" t="s">
        <v>25</v>
      </c>
      <c r="H901" s="7" t="s">
        <v>1420</v>
      </c>
      <c r="I901" s="7">
        <v>79.515199999999993</v>
      </c>
      <c r="J901" s="10">
        <v>-70.846999999999994</v>
      </c>
      <c r="K901" s="7" t="s">
        <v>103</v>
      </c>
      <c r="L901" s="7" t="s">
        <v>42</v>
      </c>
      <c r="M901" s="7" t="s">
        <v>1413</v>
      </c>
      <c r="N901" s="7" t="s">
        <v>1414</v>
      </c>
      <c r="O901" s="7" t="s">
        <v>246</v>
      </c>
      <c r="P901" s="7" t="str">
        <f t="shared" si="10"/>
        <v>Missing</v>
      </c>
      <c r="Q901" s="7" t="s">
        <v>31</v>
      </c>
    </row>
    <row r="902" spans="1:17" s="7" customFormat="1" x14ac:dyDescent="0.35">
      <c r="A902" s="7">
        <v>51</v>
      </c>
      <c r="B902" s="7" t="s">
        <v>1408</v>
      </c>
      <c r="C902" s="7">
        <v>2021</v>
      </c>
      <c r="D902" s="7" t="s">
        <v>1409</v>
      </c>
      <c r="E902" s="7" t="s">
        <v>1410</v>
      </c>
      <c r="F902" s="7" t="s">
        <v>1411</v>
      </c>
      <c r="G902" s="7" t="s">
        <v>25</v>
      </c>
      <c r="H902" s="7" t="s">
        <v>1421</v>
      </c>
      <c r="I902" s="7">
        <v>76.357500000000002</v>
      </c>
      <c r="J902" s="10">
        <v>-77.515199999999993</v>
      </c>
      <c r="K902" s="7" t="s">
        <v>103</v>
      </c>
      <c r="L902" s="7" t="s">
        <v>42</v>
      </c>
      <c r="M902" s="7" t="s">
        <v>1413</v>
      </c>
      <c r="N902" s="7" t="s">
        <v>1414</v>
      </c>
      <c r="O902" s="7" t="s">
        <v>246</v>
      </c>
      <c r="P902" s="7" t="str">
        <f t="shared" si="10"/>
        <v>Missing</v>
      </c>
      <c r="Q902" s="7" t="s">
        <v>31</v>
      </c>
    </row>
    <row r="903" spans="1:17" s="7" customFormat="1" x14ac:dyDescent="0.35">
      <c r="A903" s="7">
        <v>51</v>
      </c>
      <c r="B903" s="7" t="s">
        <v>1408</v>
      </c>
      <c r="C903" s="7">
        <v>2021</v>
      </c>
      <c r="D903" s="7" t="s">
        <v>1409</v>
      </c>
      <c r="E903" s="7" t="s">
        <v>1410</v>
      </c>
      <c r="F903" s="7" t="s">
        <v>1411</v>
      </c>
      <c r="G903" s="7" t="s">
        <v>25</v>
      </c>
      <c r="H903" s="7" t="s">
        <v>1422</v>
      </c>
      <c r="I903" s="7">
        <v>72.487799999999993</v>
      </c>
      <c r="J903" s="10">
        <v>-78.783199999999994</v>
      </c>
      <c r="K903" s="7" t="s">
        <v>103</v>
      </c>
      <c r="L903" s="7" t="s">
        <v>42</v>
      </c>
      <c r="M903" s="7" t="s">
        <v>1413</v>
      </c>
      <c r="N903" s="7" t="s">
        <v>1414</v>
      </c>
      <c r="O903" s="7" t="s">
        <v>246</v>
      </c>
      <c r="P903" s="7" t="str">
        <f t="shared" si="10"/>
        <v>Missing</v>
      </c>
      <c r="Q903" s="7" t="s">
        <v>31</v>
      </c>
    </row>
    <row r="904" spans="1:17" s="7" customFormat="1" x14ac:dyDescent="0.35">
      <c r="A904" s="7">
        <v>51</v>
      </c>
      <c r="B904" s="7" t="s">
        <v>1408</v>
      </c>
      <c r="C904" s="7">
        <v>2021</v>
      </c>
      <c r="D904" s="7" t="s">
        <v>1409</v>
      </c>
      <c r="E904" s="7" t="s">
        <v>1410</v>
      </c>
      <c r="F904" s="7" t="s">
        <v>1411</v>
      </c>
      <c r="G904" s="7" t="s">
        <v>25</v>
      </c>
      <c r="H904" s="7" t="s">
        <v>1423</v>
      </c>
      <c r="I904" s="7">
        <v>74.277699999999996</v>
      </c>
      <c r="J904" s="10">
        <v>-83.319400000000002</v>
      </c>
      <c r="K904" s="7" t="s">
        <v>103</v>
      </c>
      <c r="L904" s="7" t="s">
        <v>42</v>
      </c>
      <c r="M904" s="7" t="s">
        <v>1413</v>
      </c>
      <c r="N904" s="7" t="s">
        <v>1414</v>
      </c>
      <c r="O904" s="7" t="s">
        <v>246</v>
      </c>
      <c r="P904" s="7" t="str">
        <f t="shared" si="10"/>
        <v>Missing</v>
      </c>
      <c r="Q904" s="7" t="s">
        <v>31</v>
      </c>
    </row>
    <row r="905" spans="1:17" s="7" customFormat="1" x14ac:dyDescent="0.35">
      <c r="A905" s="7">
        <v>51</v>
      </c>
      <c r="B905" s="7" t="s">
        <v>1408</v>
      </c>
      <c r="C905" s="7">
        <v>2021</v>
      </c>
      <c r="D905" s="7" t="s">
        <v>1409</v>
      </c>
      <c r="E905" s="7" t="s">
        <v>1410</v>
      </c>
      <c r="F905" s="7" t="s">
        <v>1411</v>
      </c>
      <c r="G905" s="7" t="s">
        <v>25</v>
      </c>
      <c r="H905" s="7" t="s">
        <v>1424</v>
      </c>
      <c r="I905" s="7">
        <v>74.246300000000005</v>
      </c>
      <c r="J905" s="10">
        <v>-91.513099999999994</v>
      </c>
      <c r="K905" s="7" t="s">
        <v>103</v>
      </c>
      <c r="L905" s="7" t="s">
        <v>42</v>
      </c>
      <c r="M905" s="7" t="s">
        <v>1413</v>
      </c>
      <c r="N905" s="7" t="s">
        <v>1414</v>
      </c>
      <c r="O905" s="7" t="s">
        <v>246</v>
      </c>
      <c r="P905" s="7" t="str">
        <f t="shared" si="10"/>
        <v>Missing</v>
      </c>
      <c r="Q905" s="7" t="s">
        <v>31</v>
      </c>
    </row>
    <row r="906" spans="1:17" s="7" customFormat="1" x14ac:dyDescent="0.35">
      <c r="A906" s="7">
        <v>51</v>
      </c>
      <c r="B906" s="7" t="s">
        <v>1408</v>
      </c>
      <c r="C906" s="7">
        <v>2021</v>
      </c>
      <c r="D906" s="7" t="s">
        <v>1409</v>
      </c>
      <c r="E906" s="7" t="s">
        <v>1410</v>
      </c>
      <c r="F906" s="7" t="s">
        <v>1411</v>
      </c>
      <c r="G906" s="7" t="s">
        <v>25</v>
      </c>
      <c r="H906" s="7" t="s">
        <v>1425</v>
      </c>
      <c r="I906" s="7">
        <v>68.492500000000007</v>
      </c>
      <c r="J906" s="10">
        <v>-99.897999999999996</v>
      </c>
      <c r="K906" s="7" t="s">
        <v>103</v>
      </c>
      <c r="L906" s="7" t="s">
        <v>42</v>
      </c>
      <c r="M906" s="7" t="s">
        <v>1413</v>
      </c>
      <c r="N906" s="7" t="s">
        <v>1414</v>
      </c>
      <c r="O906" s="7" t="s">
        <v>246</v>
      </c>
      <c r="P906" s="7" t="str">
        <f t="shared" si="10"/>
        <v>Missing</v>
      </c>
      <c r="Q906" s="7" t="s">
        <v>31</v>
      </c>
    </row>
    <row r="907" spans="1:17" s="7" customFormat="1" x14ac:dyDescent="0.35">
      <c r="A907" s="7">
        <v>51</v>
      </c>
      <c r="B907" s="7" t="s">
        <v>1408</v>
      </c>
      <c r="C907" s="7">
        <v>2021</v>
      </c>
      <c r="D907" s="7" t="s">
        <v>1409</v>
      </c>
      <c r="E907" s="7" t="s">
        <v>1410</v>
      </c>
      <c r="F907" s="7" t="s">
        <v>1411</v>
      </c>
      <c r="G907" s="7" t="s">
        <v>25</v>
      </c>
      <c r="H907" s="7" t="s">
        <v>1426</v>
      </c>
      <c r="I907" s="7">
        <v>67.475999999999999</v>
      </c>
      <c r="J907" s="10">
        <v>-63.791200000000003</v>
      </c>
      <c r="K907" s="7" t="s">
        <v>103</v>
      </c>
      <c r="L907" s="7" t="s">
        <v>42</v>
      </c>
      <c r="M907" s="7" t="s">
        <v>1413</v>
      </c>
      <c r="N907" s="7" t="s">
        <v>1414</v>
      </c>
      <c r="O907" s="7" t="s">
        <v>246</v>
      </c>
      <c r="P907" s="7" t="str">
        <f t="shared" si="10"/>
        <v>Missing</v>
      </c>
      <c r="Q907" s="7" t="s">
        <v>31</v>
      </c>
    </row>
    <row r="908" spans="1:17" s="7" customFormat="1" x14ac:dyDescent="0.35">
      <c r="A908" s="7">
        <v>53</v>
      </c>
      <c r="B908" s="4" t="s">
        <v>1427</v>
      </c>
      <c r="C908" s="4">
        <v>2022</v>
      </c>
      <c r="D908" s="4" t="s">
        <v>420</v>
      </c>
      <c r="E908" s="8" t="s">
        <v>1428</v>
      </c>
      <c r="F908" s="7" t="s">
        <v>1429</v>
      </c>
      <c r="G908" s="7" t="s">
        <v>54</v>
      </c>
      <c r="H908" s="7" t="s">
        <v>1430</v>
      </c>
      <c r="I908" s="7">
        <v>49.105497</v>
      </c>
      <c r="J908" s="7">
        <v>-125.953813</v>
      </c>
      <c r="K908" s="7" t="s">
        <v>103</v>
      </c>
      <c r="L908" s="7" t="s">
        <v>163</v>
      </c>
      <c r="M908" s="7" t="s">
        <v>1431</v>
      </c>
      <c r="N908" s="7" t="s">
        <v>1432</v>
      </c>
      <c r="O908" s="7" t="s">
        <v>31</v>
      </c>
      <c r="P908" s="7" t="s">
        <v>1432</v>
      </c>
      <c r="Q908" s="7" t="s">
        <v>31</v>
      </c>
    </row>
    <row r="909" spans="1:17" s="7" customFormat="1" x14ac:dyDescent="0.35">
      <c r="A909" s="7">
        <v>53</v>
      </c>
      <c r="B909" s="4" t="s">
        <v>1427</v>
      </c>
      <c r="C909" s="4">
        <v>2022</v>
      </c>
      <c r="D909" s="4" t="s">
        <v>420</v>
      </c>
      <c r="E909" s="8" t="s">
        <v>1428</v>
      </c>
      <c r="F909" s="7" t="s">
        <v>1429</v>
      </c>
      <c r="G909" s="7" t="s">
        <v>54</v>
      </c>
      <c r="H909" s="7" t="s">
        <v>1434</v>
      </c>
      <c r="I909" s="7">
        <v>48.803747999999999</v>
      </c>
      <c r="J909" s="7">
        <v>-125.306301</v>
      </c>
      <c r="K909" s="7" t="s">
        <v>103</v>
      </c>
      <c r="L909" s="7" t="s">
        <v>163</v>
      </c>
      <c r="M909" s="7" t="s">
        <v>1431</v>
      </c>
      <c r="N909" s="7" t="s">
        <v>1432</v>
      </c>
      <c r="O909" s="7" t="s">
        <v>31</v>
      </c>
      <c r="P909" s="7" t="s">
        <v>1432</v>
      </c>
      <c r="Q909" s="7" t="s">
        <v>31</v>
      </c>
    </row>
    <row r="910" spans="1:17" s="7" customFormat="1" x14ac:dyDescent="0.35">
      <c r="A910" s="7">
        <v>53</v>
      </c>
      <c r="B910" s="4" t="s">
        <v>1427</v>
      </c>
      <c r="C910" s="4">
        <v>2022</v>
      </c>
      <c r="D910" s="4" t="s">
        <v>420</v>
      </c>
      <c r="E910" s="8" t="s">
        <v>1428</v>
      </c>
      <c r="F910" s="7" t="s">
        <v>1429</v>
      </c>
      <c r="G910" s="7" t="s">
        <v>54</v>
      </c>
      <c r="H910" s="7" t="s">
        <v>1435</v>
      </c>
      <c r="I910" s="7">
        <v>48.379646000000001</v>
      </c>
      <c r="J910" s="7">
        <v>-123.454044</v>
      </c>
      <c r="K910" s="7" t="s">
        <v>103</v>
      </c>
      <c r="L910" s="7" t="s">
        <v>163</v>
      </c>
      <c r="M910" s="7" t="s">
        <v>1431</v>
      </c>
      <c r="N910" s="7" t="s">
        <v>1432</v>
      </c>
      <c r="O910" s="7" t="s">
        <v>31</v>
      </c>
      <c r="P910" s="7" t="s">
        <v>1432</v>
      </c>
      <c r="Q910" s="7" t="s">
        <v>31</v>
      </c>
    </row>
    <row r="911" spans="1:17" s="7" customFormat="1" x14ac:dyDescent="0.35">
      <c r="A911" s="7">
        <v>53</v>
      </c>
      <c r="B911" s="4" t="s">
        <v>1427</v>
      </c>
      <c r="C911" s="4">
        <v>2022</v>
      </c>
      <c r="D911" s="4" t="s">
        <v>420</v>
      </c>
      <c r="E911" s="8" t="s">
        <v>1428</v>
      </c>
      <c r="F911" s="7" t="s">
        <v>1429</v>
      </c>
      <c r="G911" s="7" t="s">
        <v>54</v>
      </c>
      <c r="H911" s="7" t="s">
        <v>1436</v>
      </c>
      <c r="I911" s="7">
        <v>48.411422000000002</v>
      </c>
      <c r="J911" s="7">
        <v>-123.40948899999999</v>
      </c>
      <c r="K911" s="7" t="s">
        <v>103</v>
      </c>
      <c r="L911" s="7" t="s">
        <v>163</v>
      </c>
      <c r="M911" s="7" t="s">
        <v>1431</v>
      </c>
      <c r="N911" s="7" t="s">
        <v>1432</v>
      </c>
      <c r="O911" s="7" t="s">
        <v>31</v>
      </c>
      <c r="P911" s="7" t="s">
        <v>1432</v>
      </c>
      <c r="Q911" s="7" t="s">
        <v>31</v>
      </c>
    </row>
    <row r="912" spans="1:17" s="7" customFormat="1" x14ac:dyDescent="0.35">
      <c r="A912" s="7">
        <v>53</v>
      </c>
      <c r="B912" s="4" t="s">
        <v>1427</v>
      </c>
      <c r="C912" s="4">
        <v>2022</v>
      </c>
      <c r="D912" s="4" t="s">
        <v>420</v>
      </c>
      <c r="E912" s="8" t="s">
        <v>1428</v>
      </c>
      <c r="F912" s="7" t="s">
        <v>1429</v>
      </c>
      <c r="G912" s="7" t="s">
        <v>54</v>
      </c>
      <c r="H912" s="7" t="s">
        <v>1437</v>
      </c>
      <c r="I912" s="7">
        <v>48.663820999999999</v>
      </c>
      <c r="J912" s="7">
        <v>-123.49034899999999</v>
      </c>
      <c r="K912" s="7" t="s">
        <v>103</v>
      </c>
      <c r="L912" s="7" t="s">
        <v>163</v>
      </c>
      <c r="M912" s="7" t="s">
        <v>1431</v>
      </c>
      <c r="N912" s="7" t="s">
        <v>1432</v>
      </c>
      <c r="O912" s="7" t="s">
        <v>31</v>
      </c>
      <c r="P912" s="7" t="s">
        <v>1432</v>
      </c>
      <c r="Q912" s="7" t="s">
        <v>31</v>
      </c>
    </row>
    <row r="913" spans="1:17" s="7" customFormat="1" x14ac:dyDescent="0.35">
      <c r="A913" s="7">
        <v>53</v>
      </c>
      <c r="B913" s="4" t="s">
        <v>1427</v>
      </c>
      <c r="C913" s="4">
        <v>2022</v>
      </c>
      <c r="D913" s="4" t="s">
        <v>420</v>
      </c>
      <c r="E913" s="8" t="s">
        <v>1428</v>
      </c>
      <c r="F913" s="7" t="s">
        <v>1429</v>
      </c>
      <c r="G913" s="7" t="s">
        <v>54</v>
      </c>
      <c r="H913" s="7" t="s">
        <v>1438</v>
      </c>
      <c r="I913" s="7">
        <v>48.435513999999998</v>
      </c>
      <c r="J913" s="7">
        <v>-123.23044299999999</v>
      </c>
      <c r="K913" s="7" t="s">
        <v>103</v>
      </c>
      <c r="L913" s="7" t="s">
        <v>163</v>
      </c>
      <c r="M913" s="7" t="s">
        <v>1431</v>
      </c>
      <c r="N913" s="7" t="s">
        <v>1432</v>
      </c>
      <c r="O913" s="7" t="s">
        <v>31</v>
      </c>
      <c r="P913" s="7" t="s">
        <v>1432</v>
      </c>
      <c r="Q913" s="7" t="s">
        <v>31</v>
      </c>
    </row>
    <row r="914" spans="1:17" s="7" customFormat="1" x14ac:dyDescent="0.35">
      <c r="A914" s="7">
        <v>53</v>
      </c>
      <c r="B914" s="4" t="s">
        <v>1427</v>
      </c>
      <c r="C914" s="4">
        <v>2022</v>
      </c>
      <c r="D914" s="4" t="s">
        <v>420</v>
      </c>
      <c r="E914" s="8" t="s">
        <v>1428</v>
      </c>
      <c r="F914" s="7" t="s">
        <v>1429</v>
      </c>
      <c r="G914" s="7" t="s">
        <v>54</v>
      </c>
      <c r="H914" s="7" t="s">
        <v>1439</v>
      </c>
      <c r="I914" s="7">
        <v>48.442630000000001</v>
      </c>
      <c r="J914" s="7">
        <v>-123.24034399999999</v>
      </c>
      <c r="K914" s="7" t="s">
        <v>103</v>
      </c>
      <c r="L914" s="7" t="s">
        <v>163</v>
      </c>
      <c r="M914" s="7" t="s">
        <v>1431</v>
      </c>
      <c r="N914" s="7" t="s">
        <v>1432</v>
      </c>
      <c r="O914" s="7" t="s">
        <v>31</v>
      </c>
      <c r="P914" s="7" t="s">
        <v>1432</v>
      </c>
      <c r="Q914" s="7" t="s">
        <v>31</v>
      </c>
    </row>
    <row r="915" spans="1:17" s="7" customFormat="1" x14ac:dyDescent="0.35">
      <c r="A915" s="7">
        <v>53</v>
      </c>
      <c r="B915" s="4" t="s">
        <v>1427</v>
      </c>
      <c r="C915" s="4">
        <v>2022</v>
      </c>
      <c r="D915" s="4" t="s">
        <v>420</v>
      </c>
      <c r="E915" s="8" t="s">
        <v>1428</v>
      </c>
      <c r="F915" s="7" t="s">
        <v>1429</v>
      </c>
      <c r="G915" s="7" t="s">
        <v>54</v>
      </c>
      <c r="H915" s="7" t="s">
        <v>1440</v>
      </c>
      <c r="I915" s="7">
        <v>48.449198000000003</v>
      </c>
      <c r="J915" s="7">
        <v>-123.444143</v>
      </c>
      <c r="K915" s="7" t="s">
        <v>103</v>
      </c>
      <c r="L915" s="7" t="s">
        <v>163</v>
      </c>
      <c r="M915" s="7" t="s">
        <v>1431</v>
      </c>
      <c r="N915" s="7" t="s">
        <v>1432</v>
      </c>
      <c r="O915" s="7" t="s">
        <v>31</v>
      </c>
      <c r="P915" s="7" t="s">
        <v>1432</v>
      </c>
      <c r="Q915" s="7" t="s">
        <v>31</v>
      </c>
    </row>
    <row r="916" spans="1:17" s="7" customFormat="1" x14ac:dyDescent="0.35">
      <c r="A916" s="7">
        <v>53</v>
      </c>
      <c r="B916" s="4" t="s">
        <v>1427</v>
      </c>
      <c r="C916" s="4">
        <v>2022</v>
      </c>
      <c r="D916" s="4" t="s">
        <v>420</v>
      </c>
      <c r="E916" s="8" t="s">
        <v>1428</v>
      </c>
      <c r="F916" s="7" t="s">
        <v>1429</v>
      </c>
      <c r="G916" s="7" t="s">
        <v>54</v>
      </c>
      <c r="H916" s="7" t="s">
        <v>1441</v>
      </c>
      <c r="I916" s="7">
        <v>48.420731000000004</v>
      </c>
      <c r="J916" s="7">
        <v>-123.425991</v>
      </c>
      <c r="K916" s="7" t="s">
        <v>103</v>
      </c>
      <c r="L916" s="7" t="s">
        <v>163</v>
      </c>
      <c r="M916" s="7" t="s">
        <v>1431</v>
      </c>
      <c r="N916" s="7" t="s">
        <v>1432</v>
      </c>
      <c r="O916" s="7" t="s">
        <v>31</v>
      </c>
      <c r="P916" s="7" t="s">
        <v>1432</v>
      </c>
      <c r="Q916" s="7" t="s">
        <v>31</v>
      </c>
    </row>
    <row r="917" spans="1:17" s="7" customFormat="1" x14ac:dyDescent="0.35">
      <c r="A917" s="7">
        <v>53</v>
      </c>
      <c r="B917" s="4" t="s">
        <v>1427</v>
      </c>
      <c r="C917" s="4">
        <v>2022</v>
      </c>
      <c r="D917" s="4" t="s">
        <v>420</v>
      </c>
      <c r="E917" s="8" t="s">
        <v>1428</v>
      </c>
      <c r="F917" s="7" t="s">
        <v>1429</v>
      </c>
      <c r="G917" s="7" t="s">
        <v>54</v>
      </c>
      <c r="H917" s="7" t="s">
        <v>1442</v>
      </c>
      <c r="I917" s="7">
        <v>48.417718999999998</v>
      </c>
      <c r="J917" s="7">
        <v>-123.400001</v>
      </c>
      <c r="K917" s="7" t="s">
        <v>103</v>
      </c>
      <c r="L917" s="7" t="s">
        <v>163</v>
      </c>
      <c r="M917" s="7" t="s">
        <v>1431</v>
      </c>
      <c r="N917" s="7" t="s">
        <v>1432</v>
      </c>
      <c r="O917" s="7" t="s">
        <v>31</v>
      </c>
      <c r="P917" s="7" t="s">
        <v>1432</v>
      </c>
      <c r="Q917" s="7" t="s">
        <v>31</v>
      </c>
    </row>
    <row r="918" spans="1:17" s="7" customFormat="1" x14ac:dyDescent="0.35">
      <c r="A918" s="7">
        <v>53</v>
      </c>
      <c r="B918" s="4" t="s">
        <v>1427</v>
      </c>
      <c r="C918" s="4">
        <v>2022</v>
      </c>
      <c r="D918" s="4" t="s">
        <v>420</v>
      </c>
      <c r="E918" s="8" t="s">
        <v>1428</v>
      </c>
      <c r="F918" s="7" t="s">
        <v>1429</v>
      </c>
      <c r="G918" s="7" t="s">
        <v>54</v>
      </c>
      <c r="H918" s="7" t="s">
        <v>1443</v>
      </c>
      <c r="I918" s="7">
        <v>48.748100999999998</v>
      </c>
      <c r="J918" s="7">
        <v>-123.434122</v>
      </c>
      <c r="K918" s="7" t="s">
        <v>103</v>
      </c>
      <c r="L918" s="7" t="s">
        <v>163</v>
      </c>
      <c r="M918" s="7" t="s">
        <v>1431</v>
      </c>
      <c r="N918" s="7" t="s">
        <v>1432</v>
      </c>
      <c r="O918" s="7" t="s">
        <v>31</v>
      </c>
      <c r="P918" s="7" t="s">
        <v>1432</v>
      </c>
      <c r="Q918" s="7" t="s">
        <v>31</v>
      </c>
    </row>
    <row r="919" spans="1:17" s="7" customFormat="1" x14ac:dyDescent="0.35">
      <c r="A919" s="7">
        <v>53</v>
      </c>
      <c r="B919" s="4" t="s">
        <v>1427</v>
      </c>
      <c r="C919" s="4">
        <v>2022</v>
      </c>
      <c r="D919" s="4" t="s">
        <v>420</v>
      </c>
      <c r="E919" s="8" t="s">
        <v>1428</v>
      </c>
      <c r="F919" s="7" t="s">
        <v>1429</v>
      </c>
      <c r="G919" s="7" t="s">
        <v>54</v>
      </c>
      <c r="H919" s="7" t="s">
        <v>1444</v>
      </c>
      <c r="I919" s="7">
        <v>48.755164000000001</v>
      </c>
      <c r="J919" s="7">
        <v>-123.44238900000001</v>
      </c>
      <c r="K919" s="7" t="s">
        <v>103</v>
      </c>
      <c r="L919" s="7" t="s">
        <v>163</v>
      </c>
      <c r="M919" s="7" t="s">
        <v>1431</v>
      </c>
      <c r="N919" s="7" t="s">
        <v>1432</v>
      </c>
      <c r="O919" s="7" t="s">
        <v>31</v>
      </c>
      <c r="P919" s="7" t="s">
        <v>1432</v>
      </c>
      <c r="Q919" s="7" t="s">
        <v>31</v>
      </c>
    </row>
    <row r="920" spans="1:17" s="7" customFormat="1" x14ac:dyDescent="0.35">
      <c r="A920" s="7">
        <v>53</v>
      </c>
      <c r="B920" s="4" t="s">
        <v>1427</v>
      </c>
      <c r="C920" s="4">
        <v>2022</v>
      </c>
      <c r="D920" s="4" t="s">
        <v>420</v>
      </c>
      <c r="E920" s="8" t="s">
        <v>1428</v>
      </c>
      <c r="F920" s="7" t="s">
        <v>1429</v>
      </c>
      <c r="G920" s="7" t="s">
        <v>54</v>
      </c>
      <c r="H920" s="7" t="s">
        <v>1445</v>
      </c>
      <c r="I920" s="7">
        <v>48.782262000000003</v>
      </c>
      <c r="J920" s="7">
        <v>-123.04111899999999</v>
      </c>
      <c r="K920" s="7" t="s">
        <v>103</v>
      </c>
      <c r="L920" s="7" t="s">
        <v>163</v>
      </c>
      <c r="M920" s="7" t="s">
        <v>1431</v>
      </c>
      <c r="N920" s="7" t="s">
        <v>1432</v>
      </c>
      <c r="O920" s="7" t="s">
        <v>31</v>
      </c>
      <c r="P920" s="7" t="s">
        <v>1432</v>
      </c>
      <c r="Q920" s="7" t="s">
        <v>31</v>
      </c>
    </row>
    <row r="921" spans="1:17" s="7" customFormat="1" x14ac:dyDescent="0.35">
      <c r="A921" s="7">
        <v>53</v>
      </c>
      <c r="B921" s="4" t="s">
        <v>1427</v>
      </c>
      <c r="C921" s="4">
        <v>2022</v>
      </c>
      <c r="D921" s="4" t="s">
        <v>420</v>
      </c>
      <c r="E921" s="8" t="s">
        <v>1428</v>
      </c>
      <c r="F921" s="7" t="s">
        <v>1429</v>
      </c>
      <c r="G921" s="7" t="s">
        <v>54</v>
      </c>
      <c r="H921" s="7" t="s">
        <v>622</v>
      </c>
      <c r="I921" s="7">
        <v>49.201236000000002</v>
      </c>
      <c r="J921" s="7">
        <v>-123.262916</v>
      </c>
      <c r="K921" s="7" t="s">
        <v>103</v>
      </c>
      <c r="L921" s="7" t="s">
        <v>163</v>
      </c>
      <c r="M921" s="7" t="s">
        <v>1431</v>
      </c>
      <c r="N921" s="7" t="s">
        <v>1432</v>
      </c>
      <c r="O921" s="7" t="s">
        <v>31</v>
      </c>
      <c r="P921" s="7" t="s">
        <v>1432</v>
      </c>
      <c r="Q921" s="7" t="s">
        <v>31</v>
      </c>
    </row>
    <row r="922" spans="1:17" s="7" customFormat="1" x14ac:dyDescent="0.35">
      <c r="A922" s="7">
        <v>53</v>
      </c>
      <c r="B922" s="4" t="s">
        <v>1427</v>
      </c>
      <c r="C922" s="4">
        <v>2022</v>
      </c>
      <c r="D922" s="4" t="s">
        <v>420</v>
      </c>
      <c r="E922" s="8" t="s">
        <v>1428</v>
      </c>
      <c r="F922" s="7" t="s">
        <v>1429</v>
      </c>
      <c r="G922" s="7" t="s">
        <v>54</v>
      </c>
      <c r="H922" s="7" t="s">
        <v>1446</v>
      </c>
      <c r="I922" s="7">
        <v>49.011896999999998</v>
      </c>
      <c r="J922" s="7">
        <v>-123.163566</v>
      </c>
      <c r="K922" s="7" t="s">
        <v>103</v>
      </c>
      <c r="L922" s="7" t="s">
        <v>163</v>
      </c>
      <c r="M922" s="7" t="s">
        <v>1431</v>
      </c>
      <c r="N922" s="7" t="s">
        <v>1432</v>
      </c>
      <c r="O922" s="7" t="s">
        <v>31</v>
      </c>
      <c r="P922" s="7" t="s">
        <v>1432</v>
      </c>
      <c r="Q922" s="7" t="s">
        <v>31</v>
      </c>
    </row>
    <row r="923" spans="1:17" s="7" customFormat="1" x14ac:dyDescent="0.35">
      <c r="A923" s="7">
        <v>53</v>
      </c>
      <c r="B923" s="4" t="s">
        <v>1427</v>
      </c>
      <c r="C923" s="4">
        <v>2022</v>
      </c>
      <c r="D923" s="4" t="s">
        <v>420</v>
      </c>
      <c r="E923" s="8" t="s">
        <v>1428</v>
      </c>
      <c r="F923" s="7" t="s">
        <v>1429</v>
      </c>
      <c r="G923" s="7" t="s">
        <v>54</v>
      </c>
      <c r="H923" s="7" t="s">
        <v>1447</v>
      </c>
      <c r="I923" s="7">
        <v>49.332335999999998</v>
      </c>
      <c r="J923" s="7">
        <v>-122.899368</v>
      </c>
      <c r="K923" s="7" t="s">
        <v>103</v>
      </c>
      <c r="L923" s="7" t="s">
        <v>163</v>
      </c>
      <c r="M923" s="7" t="s">
        <v>1431</v>
      </c>
      <c r="N923" s="7" t="s">
        <v>1432</v>
      </c>
      <c r="O923" s="7" t="s">
        <v>31</v>
      </c>
      <c r="P923" s="7" t="s">
        <v>1432</v>
      </c>
      <c r="Q923" s="7" t="s">
        <v>31</v>
      </c>
    </row>
    <row r="924" spans="1:17" s="7" customFormat="1" x14ac:dyDescent="0.35">
      <c r="A924" s="7">
        <v>53</v>
      </c>
      <c r="B924" s="4" t="s">
        <v>1427</v>
      </c>
      <c r="C924" s="4">
        <v>2022</v>
      </c>
      <c r="D924" s="4" t="s">
        <v>420</v>
      </c>
      <c r="E924" s="8" t="s">
        <v>1428</v>
      </c>
      <c r="F924" s="7" t="s">
        <v>1429</v>
      </c>
      <c r="G924" s="7" t="s">
        <v>54</v>
      </c>
      <c r="H924" s="7" t="s">
        <v>1448</v>
      </c>
      <c r="I924" s="7">
        <v>49.292392</v>
      </c>
      <c r="J924" s="7">
        <v>-122.95249200000001</v>
      </c>
      <c r="K924" s="7" t="s">
        <v>103</v>
      </c>
      <c r="L924" s="7" t="s">
        <v>163</v>
      </c>
      <c r="M924" s="7" t="s">
        <v>1431</v>
      </c>
      <c r="N924" s="7" t="s">
        <v>1432</v>
      </c>
      <c r="O924" s="7" t="s">
        <v>31</v>
      </c>
      <c r="P924" s="7" t="s">
        <v>1432</v>
      </c>
      <c r="Q924" s="7" t="s">
        <v>31</v>
      </c>
    </row>
    <row r="925" spans="1:17" s="7" customFormat="1" x14ac:dyDescent="0.35">
      <c r="A925" s="7">
        <v>53</v>
      </c>
      <c r="B925" s="4" t="s">
        <v>1427</v>
      </c>
      <c r="C925" s="4">
        <v>2022</v>
      </c>
      <c r="D925" s="4" t="s">
        <v>420</v>
      </c>
      <c r="E925" s="8" t="s">
        <v>1428</v>
      </c>
      <c r="F925" s="7" t="s">
        <v>1429</v>
      </c>
      <c r="G925" s="7" t="s">
        <v>54</v>
      </c>
      <c r="H925" s="7" t="s">
        <v>1449</v>
      </c>
      <c r="I925" s="7">
        <v>49.294164000000002</v>
      </c>
      <c r="J925" s="7">
        <v>-122.927009</v>
      </c>
      <c r="K925" s="7" t="s">
        <v>103</v>
      </c>
      <c r="L925" s="7" t="s">
        <v>163</v>
      </c>
      <c r="M925" s="7" t="s">
        <v>1431</v>
      </c>
      <c r="N925" s="7" t="s">
        <v>1432</v>
      </c>
      <c r="O925" s="7" t="s">
        <v>31</v>
      </c>
      <c r="P925" s="7" t="s">
        <v>1432</v>
      </c>
      <c r="Q925" s="7" t="s">
        <v>31</v>
      </c>
    </row>
    <row r="926" spans="1:17" s="7" customFormat="1" x14ac:dyDescent="0.35">
      <c r="A926" s="7">
        <v>53</v>
      </c>
      <c r="B926" s="4" t="s">
        <v>1427</v>
      </c>
      <c r="C926" s="4">
        <v>2022</v>
      </c>
      <c r="D926" s="4" t="s">
        <v>420</v>
      </c>
      <c r="E926" s="8" t="s">
        <v>1428</v>
      </c>
      <c r="F926" s="7" t="s">
        <v>1429</v>
      </c>
      <c r="G926" s="7" t="s">
        <v>54</v>
      </c>
      <c r="H926" s="7" t="s">
        <v>1450</v>
      </c>
      <c r="I926" s="7">
        <v>49.306792999999999</v>
      </c>
      <c r="J926" s="7">
        <v>-122.986355</v>
      </c>
      <c r="K926" s="7" t="s">
        <v>103</v>
      </c>
      <c r="L926" s="7" t="s">
        <v>163</v>
      </c>
      <c r="M926" s="7" t="s">
        <v>1431</v>
      </c>
      <c r="N926" s="7" t="s">
        <v>1432</v>
      </c>
      <c r="O926" s="7" t="s">
        <v>31</v>
      </c>
      <c r="P926" s="7" t="s">
        <v>1432</v>
      </c>
      <c r="Q926" s="7" t="s">
        <v>31</v>
      </c>
    </row>
    <row r="927" spans="1:17" s="7" customFormat="1" x14ac:dyDescent="0.35">
      <c r="A927" s="7">
        <v>53</v>
      </c>
      <c r="B927" s="4" t="s">
        <v>1427</v>
      </c>
      <c r="C927" s="4">
        <v>2022</v>
      </c>
      <c r="D927" s="4" t="s">
        <v>420</v>
      </c>
      <c r="E927" s="8" t="s">
        <v>1428</v>
      </c>
      <c r="F927" s="7" t="s">
        <v>1429</v>
      </c>
      <c r="G927" s="7" t="s">
        <v>54</v>
      </c>
      <c r="H927" s="7" t="s">
        <v>1451</v>
      </c>
      <c r="I927" s="7">
        <v>49.295644000000003</v>
      </c>
      <c r="J927" s="7">
        <v>-123.012427</v>
      </c>
      <c r="K927" s="7" t="s">
        <v>103</v>
      </c>
      <c r="L927" s="7" t="s">
        <v>163</v>
      </c>
      <c r="M927" s="7" t="s">
        <v>1431</v>
      </c>
      <c r="N927" s="7" t="s">
        <v>1432</v>
      </c>
      <c r="O927" s="7" t="s">
        <v>31</v>
      </c>
      <c r="P927" s="7" t="s">
        <v>1432</v>
      </c>
      <c r="Q927" s="7" t="s">
        <v>31</v>
      </c>
    </row>
    <row r="928" spans="1:17" s="7" customFormat="1" x14ac:dyDescent="0.35">
      <c r="A928" s="7">
        <v>53</v>
      </c>
      <c r="B928" s="4" t="s">
        <v>1427</v>
      </c>
      <c r="C928" s="4">
        <v>2022</v>
      </c>
      <c r="D928" s="4" t="s">
        <v>420</v>
      </c>
      <c r="E928" s="8" t="s">
        <v>1428</v>
      </c>
      <c r="F928" s="7" t="s">
        <v>1429</v>
      </c>
      <c r="G928" s="7" t="s">
        <v>54</v>
      </c>
      <c r="H928" s="7" t="s">
        <v>1452</v>
      </c>
      <c r="I928" s="7">
        <v>49.302166</v>
      </c>
      <c r="J928" s="7">
        <v>-123.06303699999999</v>
      </c>
      <c r="K928" s="7" t="s">
        <v>103</v>
      </c>
      <c r="L928" s="7" t="s">
        <v>163</v>
      </c>
      <c r="M928" s="7" t="s">
        <v>1431</v>
      </c>
      <c r="N928" s="7" t="s">
        <v>1432</v>
      </c>
      <c r="O928" s="7" t="s">
        <v>31</v>
      </c>
      <c r="P928" s="7" t="s">
        <v>1432</v>
      </c>
      <c r="Q928" s="7" t="s">
        <v>31</v>
      </c>
    </row>
    <row r="929" spans="1:18" s="7" customFormat="1" x14ac:dyDescent="0.35">
      <c r="A929" s="7">
        <v>53</v>
      </c>
      <c r="B929" s="4" t="s">
        <v>1427</v>
      </c>
      <c r="C929" s="4">
        <v>2022</v>
      </c>
      <c r="D929" s="4" t="s">
        <v>420</v>
      </c>
      <c r="E929" s="8" t="s">
        <v>1428</v>
      </c>
      <c r="F929" s="7" t="s">
        <v>1429</v>
      </c>
      <c r="G929" s="7" t="s">
        <v>54</v>
      </c>
      <c r="H929" s="7" t="s">
        <v>1453</v>
      </c>
      <c r="I929" s="7">
        <v>49.293667999999997</v>
      </c>
      <c r="J929" s="7">
        <v>-123.06303699999999</v>
      </c>
      <c r="K929" s="7" t="s">
        <v>103</v>
      </c>
      <c r="L929" s="7" t="s">
        <v>163</v>
      </c>
      <c r="M929" s="7" t="s">
        <v>1431</v>
      </c>
      <c r="N929" s="7" t="s">
        <v>1432</v>
      </c>
      <c r="O929" s="7" t="s">
        <v>31</v>
      </c>
      <c r="P929" s="7" t="s">
        <v>1432</v>
      </c>
      <c r="Q929" s="7" t="s">
        <v>31</v>
      </c>
    </row>
    <row r="930" spans="1:18" s="7" customFormat="1" x14ac:dyDescent="0.35">
      <c r="A930" s="7">
        <v>53</v>
      </c>
      <c r="B930" s="4" t="s">
        <v>1427</v>
      </c>
      <c r="C930" s="4">
        <v>2022</v>
      </c>
      <c r="D930" s="4" t="s">
        <v>420</v>
      </c>
      <c r="E930" s="8" t="s">
        <v>1428</v>
      </c>
      <c r="F930" s="7" t="s">
        <v>1429</v>
      </c>
      <c r="G930" s="7" t="s">
        <v>54</v>
      </c>
      <c r="H930" s="7" t="s">
        <v>1454</v>
      </c>
      <c r="I930" s="7">
        <v>49.454478000000002</v>
      </c>
      <c r="J930" s="7">
        <v>-122.87729</v>
      </c>
      <c r="K930" s="7" t="s">
        <v>103</v>
      </c>
      <c r="L930" s="7" t="s">
        <v>163</v>
      </c>
      <c r="M930" s="7" t="s">
        <v>1431</v>
      </c>
      <c r="N930" s="7" t="s">
        <v>1432</v>
      </c>
      <c r="O930" s="7" t="s">
        <v>31</v>
      </c>
      <c r="P930" s="7" t="s">
        <v>1432</v>
      </c>
      <c r="Q930" s="7" t="s">
        <v>31</v>
      </c>
    </row>
    <row r="931" spans="1:18" s="7" customFormat="1" x14ac:dyDescent="0.35">
      <c r="A931" s="7">
        <v>53</v>
      </c>
      <c r="B931" s="4" t="s">
        <v>1427</v>
      </c>
      <c r="C931" s="4">
        <v>2022</v>
      </c>
      <c r="D931" s="4" t="s">
        <v>420</v>
      </c>
      <c r="E931" s="8" t="s">
        <v>1428</v>
      </c>
      <c r="F931" s="7" t="s">
        <v>1429</v>
      </c>
      <c r="G931" s="7" t="s">
        <v>54</v>
      </c>
      <c r="H931" s="7" t="s">
        <v>1455</v>
      </c>
      <c r="I931" s="7">
        <v>49.293425999999997</v>
      </c>
      <c r="J931" s="7">
        <v>-122.870609</v>
      </c>
      <c r="K931" s="7" t="s">
        <v>103</v>
      </c>
      <c r="L931" s="7" t="s">
        <v>163</v>
      </c>
      <c r="M931" s="7" t="s">
        <v>1431</v>
      </c>
      <c r="N931" s="7" t="s">
        <v>1432</v>
      </c>
      <c r="O931" s="7" t="s">
        <v>31</v>
      </c>
      <c r="P931" s="7" t="s">
        <v>1432</v>
      </c>
      <c r="Q931" s="7" t="s">
        <v>31</v>
      </c>
    </row>
    <row r="932" spans="1:18" s="7" customFormat="1" x14ac:dyDescent="0.35">
      <c r="A932" s="7">
        <v>53</v>
      </c>
      <c r="B932" s="4" t="s">
        <v>1427</v>
      </c>
      <c r="C932" s="4">
        <v>2022</v>
      </c>
      <c r="D932" s="4" t="s">
        <v>420</v>
      </c>
      <c r="E932" s="8" t="s">
        <v>1428</v>
      </c>
      <c r="F932" s="7" t="s">
        <v>1429</v>
      </c>
      <c r="G932" s="7" t="s">
        <v>54</v>
      </c>
      <c r="H932" s="7" t="s">
        <v>1456</v>
      </c>
      <c r="I932" s="7">
        <v>49.578563000000003</v>
      </c>
      <c r="J932" s="7">
        <v>-123.264611</v>
      </c>
      <c r="K932" s="7" t="s">
        <v>103</v>
      </c>
      <c r="L932" s="7" t="s">
        <v>163</v>
      </c>
      <c r="M932" s="7" t="s">
        <v>1431</v>
      </c>
      <c r="N932" s="7" t="s">
        <v>1432</v>
      </c>
      <c r="O932" s="7" t="s">
        <v>31</v>
      </c>
      <c r="P932" s="7" t="s">
        <v>1432</v>
      </c>
      <c r="Q932" s="7" t="s">
        <v>31</v>
      </c>
    </row>
    <row r="933" spans="1:18" s="7" customFormat="1" x14ac:dyDescent="0.35">
      <c r="A933" s="7">
        <v>53</v>
      </c>
      <c r="B933" s="4" t="s">
        <v>1427</v>
      </c>
      <c r="C933" s="4">
        <v>2022</v>
      </c>
      <c r="D933" s="4" t="s">
        <v>420</v>
      </c>
      <c r="E933" s="8" t="s">
        <v>1428</v>
      </c>
      <c r="F933" s="7" t="s">
        <v>1429</v>
      </c>
      <c r="G933" s="7" t="s">
        <v>54</v>
      </c>
      <c r="H933" s="7" t="s">
        <v>1457</v>
      </c>
      <c r="I933" s="7">
        <v>49.357914999999998</v>
      </c>
      <c r="J933" s="7">
        <v>-123.479804</v>
      </c>
      <c r="K933" s="7" t="s">
        <v>103</v>
      </c>
      <c r="L933" s="7" t="s">
        <v>163</v>
      </c>
      <c r="M933" s="7" t="s">
        <v>1431</v>
      </c>
      <c r="N933" s="7" t="s">
        <v>1432</v>
      </c>
      <c r="O933" s="7" t="s">
        <v>31</v>
      </c>
      <c r="P933" s="7" t="s">
        <v>1432</v>
      </c>
      <c r="Q933" s="7" t="s">
        <v>31</v>
      </c>
    </row>
    <row r="934" spans="1:18" s="7" customFormat="1" x14ac:dyDescent="0.35">
      <c r="A934" s="7">
        <v>53</v>
      </c>
      <c r="B934" s="4" t="s">
        <v>1427</v>
      </c>
      <c r="C934" s="4">
        <v>2022</v>
      </c>
      <c r="D934" s="4" t="s">
        <v>420</v>
      </c>
      <c r="E934" s="8" t="s">
        <v>1428</v>
      </c>
      <c r="F934" s="7" t="s">
        <v>1429</v>
      </c>
      <c r="G934" s="7" t="s">
        <v>54</v>
      </c>
      <c r="H934" s="7" t="s">
        <v>1458</v>
      </c>
      <c r="I934" s="7">
        <v>49.466033000000003</v>
      </c>
      <c r="J934" s="7">
        <v>-123.766729</v>
      </c>
      <c r="K934" s="7" t="s">
        <v>103</v>
      </c>
      <c r="L934" s="7" t="s">
        <v>163</v>
      </c>
      <c r="M934" s="7" t="s">
        <v>1431</v>
      </c>
      <c r="N934" s="7" t="s">
        <v>1432</v>
      </c>
      <c r="O934" s="7" t="s">
        <v>31</v>
      </c>
      <c r="P934" s="7" t="s">
        <v>1432</v>
      </c>
      <c r="Q934" s="7" t="s">
        <v>31</v>
      </c>
    </row>
    <row r="935" spans="1:18" s="7" customFormat="1" x14ac:dyDescent="0.35">
      <c r="A935" s="7">
        <v>53</v>
      </c>
      <c r="B935" s="4" t="s">
        <v>1427</v>
      </c>
      <c r="C935" s="4">
        <v>2022</v>
      </c>
      <c r="D935" s="4" t="s">
        <v>420</v>
      </c>
      <c r="E935" s="8" t="s">
        <v>1428</v>
      </c>
      <c r="F935" s="7" t="s">
        <v>1429</v>
      </c>
      <c r="G935" s="7" t="s">
        <v>54</v>
      </c>
      <c r="H935" s="7" t="s">
        <v>1459</v>
      </c>
      <c r="I935" s="7">
        <v>50.442461000000002</v>
      </c>
      <c r="J935" s="7">
        <v>-126.013068</v>
      </c>
      <c r="K935" s="7" t="s">
        <v>103</v>
      </c>
      <c r="L935" s="7" t="s">
        <v>163</v>
      </c>
      <c r="M935" s="7" t="s">
        <v>1431</v>
      </c>
      <c r="N935" s="7" t="s">
        <v>1432</v>
      </c>
      <c r="O935" s="7" t="s">
        <v>31</v>
      </c>
      <c r="P935" s="7" t="s">
        <v>1432</v>
      </c>
      <c r="Q935" s="7" t="s">
        <v>31</v>
      </c>
    </row>
    <row r="936" spans="1:18" s="7" customFormat="1" x14ac:dyDescent="0.35">
      <c r="A936" s="7">
        <v>53</v>
      </c>
      <c r="B936" s="4" t="s">
        <v>1427</v>
      </c>
      <c r="C936" s="4">
        <v>2022</v>
      </c>
      <c r="D936" s="4" t="s">
        <v>420</v>
      </c>
      <c r="E936" s="8" t="s">
        <v>1428</v>
      </c>
      <c r="F936" s="7" t="s">
        <v>1429</v>
      </c>
      <c r="G936" s="7" t="s">
        <v>54</v>
      </c>
      <c r="H936" s="7" t="s">
        <v>1460</v>
      </c>
      <c r="I936" s="7">
        <v>52.113098999999998</v>
      </c>
      <c r="J936" s="7">
        <v>-128.30386799999999</v>
      </c>
      <c r="K936" s="7" t="s">
        <v>103</v>
      </c>
      <c r="L936" s="7" t="s">
        <v>163</v>
      </c>
      <c r="M936" s="7" t="s">
        <v>1431</v>
      </c>
      <c r="N936" s="7" t="s">
        <v>1432</v>
      </c>
      <c r="O936" s="7" t="s">
        <v>31</v>
      </c>
      <c r="P936" s="7" t="s">
        <v>1432</v>
      </c>
      <c r="Q936" s="7" t="s">
        <v>31</v>
      </c>
    </row>
    <row r="937" spans="1:18" s="7" customFormat="1" x14ac:dyDescent="0.35">
      <c r="A937" s="7">
        <v>53</v>
      </c>
      <c r="B937" s="4" t="s">
        <v>1427</v>
      </c>
      <c r="C937" s="4">
        <v>2022</v>
      </c>
      <c r="D937" s="4" t="s">
        <v>420</v>
      </c>
      <c r="E937" s="8" t="s">
        <v>1428</v>
      </c>
      <c r="F937" s="7" t="s">
        <v>1429</v>
      </c>
      <c r="G937" s="7" t="s">
        <v>54</v>
      </c>
      <c r="H937" s="7" t="s">
        <v>1461</v>
      </c>
      <c r="I937" s="7">
        <v>54.202837000000002</v>
      </c>
      <c r="J937" s="7">
        <v>-130.34874500000001</v>
      </c>
      <c r="K937" s="7" t="s">
        <v>103</v>
      </c>
      <c r="L937" s="7" t="s">
        <v>163</v>
      </c>
      <c r="M937" s="7" t="s">
        <v>1431</v>
      </c>
      <c r="N937" s="7" t="s">
        <v>1432</v>
      </c>
      <c r="O937" s="7" t="s">
        <v>31</v>
      </c>
      <c r="P937" s="7" t="s">
        <v>1432</v>
      </c>
      <c r="Q937" s="7" t="s">
        <v>31</v>
      </c>
    </row>
    <row r="938" spans="1:18" s="7" customFormat="1" x14ac:dyDescent="0.35">
      <c r="A938" s="7">
        <v>53</v>
      </c>
      <c r="B938" s="4" t="s">
        <v>1427</v>
      </c>
      <c r="C938" s="4">
        <v>2022</v>
      </c>
      <c r="D938" s="4" t="s">
        <v>420</v>
      </c>
      <c r="E938" s="8" t="s">
        <v>1428</v>
      </c>
      <c r="F938" s="7" t="s">
        <v>1429</v>
      </c>
      <c r="G938" s="7" t="s">
        <v>54</v>
      </c>
      <c r="H938" s="7" t="s">
        <v>1462</v>
      </c>
      <c r="I938" s="7">
        <v>54.285511999999997</v>
      </c>
      <c r="J938" s="7">
        <v>-130.46193500000001</v>
      </c>
      <c r="K938" s="7" t="s">
        <v>103</v>
      </c>
      <c r="L938" s="7" t="s">
        <v>163</v>
      </c>
      <c r="M938" s="7" t="s">
        <v>1431</v>
      </c>
      <c r="N938" s="7" t="s">
        <v>1432</v>
      </c>
      <c r="O938" s="7" t="s">
        <v>31</v>
      </c>
      <c r="P938" s="7" t="s">
        <v>1432</v>
      </c>
      <c r="Q938" s="7" t="s">
        <v>31</v>
      </c>
    </row>
    <row r="939" spans="1:18" s="7" customFormat="1" x14ac:dyDescent="0.35">
      <c r="A939" s="7">
        <v>53</v>
      </c>
      <c r="B939" s="4" t="s">
        <v>1427</v>
      </c>
      <c r="C939" s="4">
        <v>2022</v>
      </c>
      <c r="D939" s="4" t="s">
        <v>420</v>
      </c>
      <c r="E939" s="8" t="s">
        <v>1428</v>
      </c>
      <c r="F939" s="7" t="s">
        <v>1429</v>
      </c>
      <c r="G939" s="7" t="s">
        <v>54</v>
      </c>
      <c r="H939" s="7" t="s">
        <v>1463</v>
      </c>
      <c r="I939" s="7">
        <v>52.845446000000003</v>
      </c>
      <c r="J939" s="7">
        <v>-132.17182</v>
      </c>
      <c r="K939" s="7" t="s">
        <v>103</v>
      </c>
      <c r="L939" s="7" t="s">
        <v>163</v>
      </c>
      <c r="M939" s="7" t="s">
        <v>1431</v>
      </c>
      <c r="N939" s="7" t="s">
        <v>1432</v>
      </c>
      <c r="O939" s="7" t="s">
        <v>31</v>
      </c>
      <c r="P939" s="7" t="s">
        <v>1432</v>
      </c>
      <c r="Q939" s="7" t="s">
        <v>31</v>
      </c>
    </row>
    <row r="940" spans="1:18" s="7" customFormat="1" x14ac:dyDescent="0.35">
      <c r="A940" s="7">
        <v>53</v>
      </c>
      <c r="B940" s="4" t="s">
        <v>1427</v>
      </c>
      <c r="C940" s="4">
        <v>2022</v>
      </c>
      <c r="D940" s="4" t="s">
        <v>420</v>
      </c>
      <c r="E940" s="8" t="s">
        <v>1428</v>
      </c>
      <c r="F940" s="7" t="s">
        <v>1429</v>
      </c>
      <c r="G940" s="7" t="s">
        <v>54</v>
      </c>
      <c r="H940" s="7" t="s">
        <v>1464</v>
      </c>
      <c r="I940" s="7">
        <v>52.109178</v>
      </c>
      <c r="J940" s="7">
        <v>-131.189696</v>
      </c>
      <c r="K940" s="7" t="s">
        <v>103</v>
      </c>
      <c r="L940" s="7" t="s">
        <v>163</v>
      </c>
      <c r="M940" s="7" t="s">
        <v>1431</v>
      </c>
      <c r="N940" s="7" t="s">
        <v>1432</v>
      </c>
      <c r="O940" s="7" t="s">
        <v>31</v>
      </c>
      <c r="P940" s="7" t="s">
        <v>1432</v>
      </c>
      <c r="Q940" s="7" t="s">
        <v>31</v>
      </c>
    </row>
    <row r="941" spans="1:18" s="7" customFormat="1" x14ac:dyDescent="0.35">
      <c r="A941" s="7">
        <v>53</v>
      </c>
      <c r="B941" s="4" t="s">
        <v>1427</v>
      </c>
      <c r="C941" s="4">
        <v>2022</v>
      </c>
      <c r="D941" s="4" t="s">
        <v>420</v>
      </c>
      <c r="E941" s="8" t="s">
        <v>1428</v>
      </c>
      <c r="F941" s="7" t="s">
        <v>1429</v>
      </c>
      <c r="G941" s="7" t="s">
        <v>54</v>
      </c>
      <c r="H941" s="7" t="s">
        <v>1465</v>
      </c>
      <c r="I941" s="7">
        <v>52.482207000000002</v>
      </c>
      <c r="J941" s="7">
        <v>-131.46501699999999</v>
      </c>
      <c r="K941" s="7" t="s">
        <v>103</v>
      </c>
      <c r="L941" s="7" t="s">
        <v>163</v>
      </c>
      <c r="M941" s="7" t="s">
        <v>1431</v>
      </c>
      <c r="N941" s="7" t="s">
        <v>1432</v>
      </c>
      <c r="O941" s="7" t="s">
        <v>31</v>
      </c>
      <c r="P941" s="7" t="s">
        <v>1432</v>
      </c>
      <c r="Q941" s="7" t="s">
        <v>31</v>
      </c>
    </row>
    <row r="942" spans="1:18" s="7" customFormat="1" x14ac:dyDescent="0.35">
      <c r="A942" s="7">
        <v>53</v>
      </c>
      <c r="B942" s="4" t="s">
        <v>1427</v>
      </c>
      <c r="C942" s="4">
        <v>2022</v>
      </c>
      <c r="D942" s="4" t="s">
        <v>420</v>
      </c>
      <c r="E942" s="8" t="s">
        <v>1428</v>
      </c>
      <c r="F942" s="7" t="s">
        <v>1429</v>
      </c>
      <c r="G942" s="7" t="s">
        <v>54</v>
      </c>
      <c r="H942" s="7" t="s">
        <v>1466</v>
      </c>
      <c r="I942" s="7">
        <v>52.395274999999998</v>
      </c>
      <c r="J942" s="7">
        <v>-131.62032600000001</v>
      </c>
      <c r="K942" s="7" t="s">
        <v>103</v>
      </c>
      <c r="L942" s="7" t="s">
        <v>163</v>
      </c>
      <c r="M942" s="7" t="s">
        <v>1431</v>
      </c>
      <c r="N942" s="7" t="s">
        <v>1432</v>
      </c>
      <c r="O942" s="7" t="s">
        <v>31</v>
      </c>
      <c r="P942" s="7" t="s">
        <v>1432</v>
      </c>
      <c r="Q942" s="7" t="s">
        <v>31</v>
      </c>
    </row>
    <row r="943" spans="1:18" s="7" customFormat="1" x14ac:dyDescent="0.35">
      <c r="A943" s="7">
        <v>53</v>
      </c>
      <c r="B943" s="4" t="s">
        <v>1427</v>
      </c>
      <c r="C943" s="4">
        <v>2022</v>
      </c>
      <c r="D943" s="4" t="s">
        <v>420</v>
      </c>
      <c r="E943" s="8" t="s">
        <v>1428</v>
      </c>
      <c r="F943" s="7" t="s">
        <v>1429</v>
      </c>
      <c r="G943" s="7" t="s">
        <v>54</v>
      </c>
      <c r="H943" s="7" t="s">
        <v>1467</v>
      </c>
      <c r="I943" s="7">
        <v>54.111618</v>
      </c>
      <c r="J943" s="7">
        <v>-132.287531</v>
      </c>
      <c r="K943" s="7" t="s">
        <v>103</v>
      </c>
      <c r="L943" s="7" t="s">
        <v>163</v>
      </c>
      <c r="M943" s="7" t="s">
        <v>1431</v>
      </c>
      <c r="N943" s="7" t="s">
        <v>1432</v>
      </c>
      <c r="O943" s="7" t="s">
        <v>31</v>
      </c>
      <c r="P943" s="7" t="s">
        <v>1432</v>
      </c>
      <c r="Q943" s="7" t="s">
        <v>31</v>
      </c>
    </row>
    <row r="944" spans="1:18" s="7" customFormat="1" x14ac:dyDescent="0.35">
      <c r="A944" s="7">
        <v>54</v>
      </c>
      <c r="B944" s="7" t="s">
        <v>1468</v>
      </c>
      <c r="C944" s="7">
        <v>2019</v>
      </c>
      <c r="D944" s="7" t="s">
        <v>1409</v>
      </c>
      <c r="E944" s="7" t="s">
        <v>1469</v>
      </c>
      <c r="F944" s="7" t="s">
        <v>1470</v>
      </c>
      <c r="G944" s="7" t="s">
        <v>54</v>
      </c>
      <c r="H944" s="7" t="s">
        <v>1471</v>
      </c>
      <c r="I944" s="7">
        <v>49.457220999999997</v>
      </c>
      <c r="J944" s="7">
        <v>-124.74631599999999</v>
      </c>
      <c r="K944" s="7" t="s">
        <v>41</v>
      </c>
      <c r="L944" s="7" t="s">
        <v>163</v>
      </c>
      <c r="M944" s="7" t="s">
        <v>1472</v>
      </c>
      <c r="N944" s="7" t="s">
        <v>1473</v>
      </c>
      <c r="O944" s="7" t="s">
        <v>31</v>
      </c>
      <c r="P944" s="7" t="s">
        <v>1473</v>
      </c>
      <c r="Q944" s="7" t="s">
        <v>31</v>
      </c>
      <c r="R944" s="7" t="s">
        <v>1475</v>
      </c>
    </row>
    <row r="945" spans="1:18" s="7" customFormat="1" x14ac:dyDescent="0.35">
      <c r="A945" s="7">
        <v>54</v>
      </c>
      <c r="B945" s="7" t="s">
        <v>1468</v>
      </c>
      <c r="C945" s="7">
        <v>2019</v>
      </c>
      <c r="D945" s="7" t="s">
        <v>1409</v>
      </c>
      <c r="E945" s="7" t="s">
        <v>1469</v>
      </c>
      <c r="F945" s="7" t="s">
        <v>1470</v>
      </c>
      <c r="G945" s="7" t="s">
        <v>54</v>
      </c>
      <c r="H945" s="7" t="s">
        <v>1476</v>
      </c>
      <c r="I945" s="7">
        <v>49.461272000000001</v>
      </c>
      <c r="J945" s="7">
        <v>-124.73385</v>
      </c>
      <c r="K945" s="7" t="s">
        <v>41</v>
      </c>
      <c r="L945" s="7" t="s">
        <v>163</v>
      </c>
      <c r="M945" s="7" t="s">
        <v>1472</v>
      </c>
      <c r="N945" s="7" t="s">
        <v>1473</v>
      </c>
      <c r="O945" s="7" t="s">
        <v>31</v>
      </c>
      <c r="P945" s="7" t="s">
        <v>1473</v>
      </c>
      <c r="Q945" s="7" t="s">
        <v>31</v>
      </c>
      <c r="R945" s="7" t="s">
        <v>1475</v>
      </c>
    </row>
    <row r="946" spans="1:18" s="7" customFormat="1" x14ac:dyDescent="0.35">
      <c r="A946" s="7">
        <v>54</v>
      </c>
      <c r="B946" s="7" t="s">
        <v>1468</v>
      </c>
      <c r="C946" s="7">
        <v>2019</v>
      </c>
      <c r="D946" s="7" t="s">
        <v>1409</v>
      </c>
      <c r="E946" s="7" t="s">
        <v>1469</v>
      </c>
      <c r="F946" s="7" t="s">
        <v>1470</v>
      </c>
      <c r="G946" s="7" t="s">
        <v>54</v>
      </c>
      <c r="H946" s="7" t="s">
        <v>1478</v>
      </c>
      <c r="I946" s="7">
        <v>49.504607999999998</v>
      </c>
      <c r="J946" s="7">
        <v>-124.811887</v>
      </c>
      <c r="K946" s="7" t="s">
        <v>41</v>
      </c>
      <c r="L946" s="7" t="s">
        <v>163</v>
      </c>
      <c r="M946" s="7" t="s">
        <v>1472</v>
      </c>
      <c r="N946" s="7" t="s">
        <v>1473</v>
      </c>
      <c r="O946" s="7" t="s">
        <v>31</v>
      </c>
      <c r="P946" s="7" t="s">
        <v>1473</v>
      </c>
      <c r="Q946" s="7" t="s">
        <v>31</v>
      </c>
      <c r="R946" s="7" t="s">
        <v>1475</v>
      </c>
    </row>
    <row r="947" spans="1:18" s="7" customFormat="1" x14ac:dyDescent="0.35">
      <c r="A947" s="7">
        <v>54</v>
      </c>
      <c r="B947" s="7" t="s">
        <v>1468</v>
      </c>
      <c r="C947" s="7">
        <v>2019</v>
      </c>
      <c r="D947" s="7" t="s">
        <v>1409</v>
      </c>
      <c r="E947" s="7" t="s">
        <v>1469</v>
      </c>
      <c r="F947" s="7" t="s">
        <v>1470</v>
      </c>
      <c r="G947" s="7" t="s">
        <v>54</v>
      </c>
      <c r="H947" s="7" t="s">
        <v>1479</v>
      </c>
      <c r="I947" s="7">
        <v>49.506250999999999</v>
      </c>
      <c r="J947" s="7">
        <v>-124.80954</v>
      </c>
      <c r="K947" s="7" t="s">
        <v>41</v>
      </c>
      <c r="L947" s="7" t="s">
        <v>163</v>
      </c>
      <c r="M947" s="7" t="s">
        <v>1472</v>
      </c>
      <c r="N947" s="7" t="s">
        <v>1473</v>
      </c>
      <c r="O947" s="7" t="s">
        <v>31</v>
      </c>
      <c r="P947" s="7" t="s">
        <v>1473</v>
      </c>
      <c r="Q947" s="7" t="s">
        <v>31</v>
      </c>
      <c r="R947" s="7" t="s">
        <v>1475</v>
      </c>
    </row>
    <row r="948" spans="1:18" s="7" customFormat="1" x14ac:dyDescent="0.35">
      <c r="A948" s="7">
        <v>54</v>
      </c>
      <c r="B948" s="7" t="s">
        <v>1468</v>
      </c>
      <c r="C948" s="7">
        <v>2019</v>
      </c>
      <c r="D948" s="7" t="s">
        <v>1409</v>
      </c>
      <c r="E948" s="7" t="s">
        <v>1469</v>
      </c>
      <c r="F948" s="7" t="s">
        <v>1470</v>
      </c>
      <c r="G948" s="7" t="s">
        <v>54</v>
      </c>
      <c r="H948" s="7" t="s">
        <v>1480</v>
      </c>
      <c r="I948" s="7">
        <v>49.470531999999999</v>
      </c>
      <c r="J948" s="7">
        <v>-124.777483</v>
      </c>
      <c r="K948" s="7" t="s">
        <v>41</v>
      </c>
      <c r="L948" s="7" t="s">
        <v>163</v>
      </c>
      <c r="M948" s="7" t="s">
        <v>1472</v>
      </c>
      <c r="N948" s="7" t="s">
        <v>1473</v>
      </c>
      <c r="O948" s="7" t="s">
        <v>31</v>
      </c>
      <c r="P948" s="7" t="s">
        <v>1473</v>
      </c>
      <c r="Q948" s="7" t="s">
        <v>31</v>
      </c>
      <c r="R948" s="7" t="s">
        <v>1475</v>
      </c>
    </row>
    <row r="949" spans="1:18" s="7" customFormat="1" x14ac:dyDescent="0.35">
      <c r="A949" s="7">
        <v>54</v>
      </c>
      <c r="B949" s="7" t="s">
        <v>1468</v>
      </c>
      <c r="C949" s="7">
        <v>2019</v>
      </c>
      <c r="D949" s="7" t="s">
        <v>1409</v>
      </c>
      <c r="E949" s="7" t="s">
        <v>1469</v>
      </c>
      <c r="F949" s="7" t="s">
        <v>1470</v>
      </c>
      <c r="G949" s="7" t="s">
        <v>54</v>
      </c>
      <c r="H949" s="7" t="s">
        <v>1481</v>
      </c>
      <c r="I949" s="7">
        <v>49.467782999999997</v>
      </c>
      <c r="J949" s="7">
        <v>-124.769468</v>
      </c>
      <c r="K949" s="7" t="s">
        <v>41</v>
      </c>
      <c r="L949" s="7" t="s">
        <v>163</v>
      </c>
      <c r="M949" s="7" t="s">
        <v>1472</v>
      </c>
      <c r="N949" s="7" t="s">
        <v>1473</v>
      </c>
      <c r="O949" s="7" t="s">
        <v>31</v>
      </c>
      <c r="P949" s="7" t="s">
        <v>1473</v>
      </c>
      <c r="Q949" s="7" t="s">
        <v>31</v>
      </c>
      <c r="R949" s="7" t="s">
        <v>1475</v>
      </c>
    </row>
    <row r="950" spans="1:18" s="7" customFormat="1" x14ac:dyDescent="0.35">
      <c r="A950" s="7">
        <v>55</v>
      </c>
      <c r="B950" s="7" t="s">
        <v>1482</v>
      </c>
      <c r="C950" s="7">
        <v>2025</v>
      </c>
      <c r="D950" s="7" t="s">
        <v>246</v>
      </c>
      <c r="E950" s="7" t="s">
        <v>1483</v>
      </c>
      <c r="F950" s="7" t="s">
        <v>1484</v>
      </c>
      <c r="G950" s="7" t="s">
        <v>804</v>
      </c>
      <c r="H950" s="7" t="s">
        <v>1485</v>
      </c>
      <c r="I950" s="7">
        <v>47.038632999999997</v>
      </c>
      <c r="J950" s="7">
        <v>-54.301014000000002</v>
      </c>
      <c r="K950" s="7" t="s">
        <v>41</v>
      </c>
      <c r="L950" s="7" t="s">
        <v>42</v>
      </c>
      <c r="M950" s="7" t="s">
        <v>1486</v>
      </c>
      <c r="N950" s="7" t="s">
        <v>474</v>
      </c>
      <c r="O950" s="7" t="s">
        <v>31</v>
      </c>
      <c r="P950" s="7" t="s">
        <v>474</v>
      </c>
      <c r="Q950" s="7" t="s">
        <v>31</v>
      </c>
    </row>
    <row r="951" spans="1:18" s="7" customFormat="1" x14ac:dyDescent="0.35">
      <c r="A951" s="7">
        <v>55</v>
      </c>
      <c r="B951" s="7" t="s">
        <v>1482</v>
      </c>
      <c r="C951" s="7">
        <v>2025</v>
      </c>
      <c r="D951" s="7" t="s">
        <v>246</v>
      </c>
      <c r="E951" s="7" t="s">
        <v>1483</v>
      </c>
      <c r="F951" s="7" t="s">
        <v>1484</v>
      </c>
      <c r="G951" s="7" t="s">
        <v>804</v>
      </c>
      <c r="H951" s="7" t="s">
        <v>1488</v>
      </c>
      <c r="I951" s="7">
        <v>47.042411000000001</v>
      </c>
      <c r="J951" s="7">
        <v>-54.431615000000001</v>
      </c>
      <c r="K951" s="7" t="s">
        <v>41</v>
      </c>
      <c r="L951" s="7" t="s">
        <v>42</v>
      </c>
      <c r="M951" s="7" t="s">
        <v>1486</v>
      </c>
      <c r="N951" s="7" t="s">
        <v>474</v>
      </c>
      <c r="O951" s="7" t="s">
        <v>31</v>
      </c>
      <c r="P951" s="7" t="s">
        <v>474</v>
      </c>
      <c r="Q951" s="7" t="s">
        <v>31</v>
      </c>
    </row>
    <row r="952" spans="1:18" s="7" customFormat="1" x14ac:dyDescent="0.35">
      <c r="A952" s="7">
        <v>55</v>
      </c>
      <c r="B952" s="7" t="s">
        <v>1482</v>
      </c>
      <c r="C952" s="7">
        <v>2025</v>
      </c>
      <c r="D952" s="7" t="s">
        <v>246</v>
      </c>
      <c r="E952" s="7" t="s">
        <v>1483</v>
      </c>
      <c r="F952" s="7" t="s">
        <v>1484</v>
      </c>
      <c r="G952" s="7" t="s">
        <v>804</v>
      </c>
      <c r="H952" s="7" t="s">
        <v>1489</v>
      </c>
      <c r="I952" s="7">
        <v>47.284585999999997</v>
      </c>
      <c r="J952" s="7">
        <v>-54.331882</v>
      </c>
      <c r="K952" s="7" t="s">
        <v>41</v>
      </c>
      <c r="L952" s="7" t="s">
        <v>42</v>
      </c>
      <c r="M952" s="7" t="s">
        <v>1486</v>
      </c>
      <c r="N952" s="7" t="s">
        <v>474</v>
      </c>
      <c r="O952" s="7" t="s">
        <v>31</v>
      </c>
      <c r="P952" s="7" t="s">
        <v>474</v>
      </c>
      <c r="Q952" s="7" t="s">
        <v>31</v>
      </c>
    </row>
    <row r="953" spans="1:18" s="7" customFormat="1" x14ac:dyDescent="0.35">
      <c r="A953" s="7">
        <v>55</v>
      </c>
      <c r="B953" s="7" t="s">
        <v>1482</v>
      </c>
      <c r="C953" s="7">
        <v>2025</v>
      </c>
      <c r="D953" s="7" t="s">
        <v>246</v>
      </c>
      <c r="E953" s="7" t="s">
        <v>1483</v>
      </c>
      <c r="F953" s="7" t="s">
        <v>1484</v>
      </c>
      <c r="G953" s="7" t="s">
        <v>804</v>
      </c>
      <c r="H953" s="7" t="s">
        <v>1490</v>
      </c>
      <c r="I953" s="7">
        <v>47.412491000000003</v>
      </c>
      <c r="J953" s="7">
        <v>-54.406682000000004</v>
      </c>
      <c r="K953" s="7" t="s">
        <v>41</v>
      </c>
      <c r="L953" s="7" t="s">
        <v>42</v>
      </c>
      <c r="N953" s="7" t="s">
        <v>474</v>
      </c>
      <c r="O953" s="7" t="s">
        <v>31</v>
      </c>
      <c r="P953" s="7" t="s">
        <v>474</v>
      </c>
      <c r="Q953" s="7" t="s">
        <v>31</v>
      </c>
    </row>
    <row r="954" spans="1:18" s="7" customFormat="1" x14ac:dyDescent="0.35">
      <c r="A954" s="7">
        <v>55</v>
      </c>
      <c r="B954" s="7" t="s">
        <v>1482</v>
      </c>
      <c r="C954" s="7">
        <v>2025</v>
      </c>
      <c r="D954" s="7" t="s">
        <v>246</v>
      </c>
      <c r="E954" s="7" t="s">
        <v>1483</v>
      </c>
      <c r="F954" s="7" t="s">
        <v>1484</v>
      </c>
      <c r="G954" s="7" t="s">
        <v>804</v>
      </c>
      <c r="H954" s="7" t="s">
        <v>1491</v>
      </c>
      <c r="I954" s="7">
        <v>47.620832</v>
      </c>
      <c r="J954" s="7">
        <v>-54.293818999999999</v>
      </c>
      <c r="K954" s="7" t="s">
        <v>41</v>
      </c>
      <c r="L954" s="7" t="s">
        <v>42</v>
      </c>
      <c r="N954" s="7" t="s">
        <v>474</v>
      </c>
      <c r="O954" s="7" t="s">
        <v>31</v>
      </c>
      <c r="P954" s="7" t="s">
        <v>474</v>
      </c>
      <c r="Q954" s="7" t="s">
        <v>31</v>
      </c>
    </row>
    <row r="955" spans="1:18" s="7" customFormat="1" x14ac:dyDescent="0.35">
      <c r="A955" s="7">
        <v>55</v>
      </c>
      <c r="B955" s="7" t="s">
        <v>1482</v>
      </c>
      <c r="C955" s="7">
        <v>2025</v>
      </c>
      <c r="D955" s="7" t="s">
        <v>246</v>
      </c>
      <c r="E955" s="7" t="s">
        <v>1483</v>
      </c>
      <c r="F955" s="7" t="s">
        <v>1484</v>
      </c>
      <c r="G955" s="7" t="s">
        <v>804</v>
      </c>
      <c r="H955" s="7" t="s">
        <v>1492</v>
      </c>
      <c r="I955" s="7">
        <v>47.688693000000001</v>
      </c>
      <c r="J955" s="7">
        <v>-54.213222999999999</v>
      </c>
      <c r="K955" s="7" t="s">
        <v>41</v>
      </c>
      <c r="L955" s="7" t="s">
        <v>42</v>
      </c>
      <c r="N955" s="7" t="s">
        <v>474</v>
      </c>
      <c r="O955" s="7" t="s">
        <v>31</v>
      </c>
      <c r="P955" s="7" t="s">
        <v>474</v>
      </c>
      <c r="Q955" s="7" t="s">
        <v>31</v>
      </c>
    </row>
    <row r="956" spans="1:18" s="7" customFormat="1" x14ac:dyDescent="0.35">
      <c r="A956" s="7">
        <v>55</v>
      </c>
      <c r="B956" s="7" t="s">
        <v>1482</v>
      </c>
      <c r="C956" s="7">
        <v>2025</v>
      </c>
      <c r="D956" s="7" t="s">
        <v>246</v>
      </c>
      <c r="E956" s="7" t="s">
        <v>1483</v>
      </c>
      <c r="F956" s="7" t="s">
        <v>1484</v>
      </c>
      <c r="G956" s="7" t="s">
        <v>804</v>
      </c>
      <c r="H956" s="7" t="s">
        <v>1493</v>
      </c>
      <c r="I956" s="7">
        <v>47.751385999999997</v>
      </c>
      <c r="J956" s="7">
        <v>-54.107441000000001</v>
      </c>
      <c r="K956" s="7" t="s">
        <v>41</v>
      </c>
      <c r="L956" s="7" t="s">
        <v>42</v>
      </c>
      <c r="N956" s="7" t="s">
        <v>474</v>
      </c>
      <c r="O956" s="7" t="s">
        <v>31</v>
      </c>
      <c r="P956" s="7" t="s">
        <v>474</v>
      </c>
      <c r="Q956" s="7" t="s">
        <v>31</v>
      </c>
    </row>
    <row r="957" spans="1:18" s="7" customFormat="1" x14ac:dyDescent="0.35">
      <c r="A957" s="7">
        <v>55</v>
      </c>
      <c r="B957" s="7" t="s">
        <v>1482</v>
      </c>
      <c r="C957" s="7">
        <v>2025</v>
      </c>
      <c r="D957" s="7" t="s">
        <v>246</v>
      </c>
      <c r="E957" s="7" t="s">
        <v>1483</v>
      </c>
      <c r="F957" s="7" t="s">
        <v>1484</v>
      </c>
      <c r="G957" s="7" t="s">
        <v>804</v>
      </c>
      <c r="H957" s="7" t="s">
        <v>1494</v>
      </c>
      <c r="I957" s="7">
        <v>47.556280999999998</v>
      </c>
      <c r="J957" s="7">
        <v>-54.009214</v>
      </c>
      <c r="K957" s="7" t="s">
        <v>41</v>
      </c>
      <c r="L957" s="7" t="s">
        <v>42</v>
      </c>
      <c r="N957" s="7" t="s">
        <v>474</v>
      </c>
      <c r="O957" s="7" t="s">
        <v>31</v>
      </c>
      <c r="P957" s="7" t="s">
        <v>474</v>
      </c>
      <c r="Q957" s="7" t="s">
        <v>31</v>
      </c>
    </row>
    <row r="958" spans="1:18" s="7" customFormat="1" x14ac:dyDescent="0.35">
      <c r="A958" s="7">
        <v>55</v>
      </c>
      <c r="B958" s="7" t="s">
        <v>1482</v>
      </c>
      <c r="C958" s="7">
        <v>2025</v>
      </c>
      <c r="D958" s="7" t="s">
        <v>246</v>
      </c>
      <c r="E958" s="7" t="s">
        <v>1483</v>
      </c>
      <c r="F958" s="7" t="s">
        <v>1484</v>
      </c>
      <c r="G958" s="7" t="s">
        <v>804</v>
      </c>
      <c r="H958" s="7" t="s">
        <v>1495</v>
      </c>
      <c r="I958" s="7">
        <v>47.386876999999998</v>
      </c>
      <c r="J958" s="7">
        <v>-54.024293</v>
      </c>
      <c r="K958" s="7" t="s">
        <v>41</v>
      </c>
      <c r="L958" s="7" t="s">
        <v>42</v>
      </c>
      <c r="N958" s="7" t="s">
        <v>474</v>
      </c>
      <c r="O958" s="7" t="s">
        <v>31</v>
      </c>
      <c r="P958" s="7" t="s">
        <v>474</v>
      </c>
      <c r="Q958" s="7" t="s">
        <v>31</v>
      </c>
    </row>
    <row r="959" spans="1:18" s="7" customFormat="1" x14ac:dyDescent="0.35">
      <c r="A959" s="7">
        <v>56</v>
      </c>
      <c r="B959" s="7" t="s">
        <v>1496</v>
      </c>
      <c r="C959" s="7">
        <v>2024</v>
      </c>
      <c r="D959" s="7" t="s">
        <v>1010</v>
      </c>
      <c r="E959" s="7" t="s">
        <v>1497</v>
      </c>
      <c r="F959" s="7" t="s">
        <v>1498</v>
      </c>
      <c r="G959" s="7" t="s">
        <v>25</v>
      </c>
      <c r="H959" s="61" t="s">
        <v>1499</v>
      </c>
      <c r="I959" s="7">
        <v>68.942756306774399</v>
      </c>
      <c r="J959" s="7">
        <v>-108.52063068664199</v>
      </c>
      <c r="K959" s="7" t="s">
        <v>41</v>
      </c>
      <c r="L959" s="7" t="s">
        <v>223</v>
      </c>
      <c r="M959" s="7" t="s">
        <v>1500</v>
      </c>
      <c r="N959" s="7">
        <v>191</v>
      </c>
      <c r="O959" s="7" t="s">
        <v>31</v>
      </c>
      <c r="P959" s="7">
        <v>191</v>
      </c>
      <c r="Q959" s="7" t="s">
        <v>31</v>
      </c>
      <c r="R959" s="61" t="s">
        <v>499</v>
      </c>
    </row>
    <row r="960" spans="1:18" s="7" customFormat="1" x14ac:dyDescent="0.35">
      <c r="A960" s="7">
        <v>56</v>
      </c>
      <c r="B960" s="7" t="s">
        <v>1496</v>
      </c>
      <c r="C960" s="7">
        <v>2024</v>
      </c>
      <c r="D960" s="7" t="s">
        <v>1010</v>
      </c>
      <c r="E960" s="7" t="s">
        <v>1497</v>
      </c>
      <c r="F960" s="7" t="s">
        <v>1498</v>
      </c>
      <c r="G960" s="7" t="s">
        <v>25</v>
      </c>
      <c r="H960" s="61" t="s">
        <v>1502</v>
      </c>
      <c r="I960" s="61">
        <v>68.933031434182894</v>
      </c>
      <c r="J960" s="61">
        <v>-108.506642694378</v>
      </c>
      <c r="K960" s="7" t="s">
        <v>41</v>
      </c>
      <c r="L960" s="7" t="s">
        <v>163</v>
      </c>
      <c r="M960" s="7" t="s">
        <v>1503</v>
      </c>
      <c r="N960" s="7">
        <v>478</v>
      </c>
      <c r="O960" s="7" t="s">
        <v>31</v>
      </c>
      <c r="P960" s="7">
        <v>478</v>
      </c>
      <c r="Q960" s="7" t="s">
        <v>31</v>
      </c>
      <c r="R960" s="61" t="s">
        <v>499</v>
      </c>
    </row>
    <row r="961" spans="1:18" s="7" customFormat="1" x14ac:dyDescent="0.35">
      <c r="A961" s="7">
        <v>56</v>
      </c>
      <c r="B961" s="7" t="s">
        <v>1496</v>
      </c>
      <c r="C961" s="7">
        <v>2024</v>
      </c>
      <c r="D961" s="7" t="s">
        <v>1010</v>
      </c>
      <c r="E961" s="7" t="s">
        <v>1497</v>
      </c>
      <c r="F961" s="7" t="s">
        <v>1498</v>
      </c>
      <c r="G961" s="7" t="s">
        <v>25</v>
      </c>
      <c r="H961" s="61" t="s">
        <v>1499</v>
      </c>
      <c r="I961" s="7">
        <v>68.942756306774399</v>
      </c>
      <c r="J961" s="7">
        <v>-108.52063068664199</v>
      </c>
      <c r="K961" s="7" t="s">
        <v>103</v>
      </c>
      <c r="L961" s="7" t="s">
        <v>223</v>
      </c>
      <c r="M961" s="7" t="s">
        <v>1504</v>
      </c>
      <c r="N961" s="7">
        <v>1020</v>
      </c>
      <c r="O961" s="7" t="s">
        <v>31</v>
      </c>
      <c r="P961" s="7">
        <v>1020</v>
      </c>
      <c r="Q961" s="7" t="s">
        <v>31</v>
      </c>
      <c r="R961" s="61" t="s">
        <v>1507</v>
      </c>
    </row>
    <row r="962" spans="1:18" s="7" customFormat="1" x14ac:dyDescent="0.35">
      <c r="A962" s="7">
        <v>56</v>
      </c>
      <c r="B962" s="7" t="s">
        <v>1496</v>
      </c>
      <c r="C962" s="7">
        <v>2024</v>
      </c>
      <c r="D962" s="7" t="s">
        <v>1010</v>
      </c>
      <c r="E962" s="7" t="s">
        <v>1497</v>
      </c>
      <c r="F962" s="7" t="s">
        <v>1498</v>
      </c>
      <c r="G962" s="7" t="s">
        <v>25</v>
      </c>
      <c r="H962" s="61" t="s">
        <v>1502</v>
      </c>
      <c r="I962" s="61">
        <v>68.933031434182894</v>
      </c>
      <c r="J962" s="61">
        <v>-108.506642694378</v>
      </c>
      <c r="K962" s="7" t="s">
        <v>103</v>
      </c>
      <c r="L962" s="7" t="s">
        <v>163</v>
      </c>
      <c r="M962" s="7" t="s">
        <v>1508</v>
      </c>
      <c r="N962" s="7">
        <v>861</v>
      </c>
      <c r="O962" s="7" t="s">
        <v>31</v>
      </c>
      <c r="P962" s="7">
        <v>861</v>
      </c>
      <c r="Q962" s="7" t="s">
        <v>31</v>
      </c>
      <c r="R962" s="61" t="s">
        <v>1507</v>
      </c>
    </row>
    <row r="963" spans="1:18" s="7" customFormat="1" x14ac:dyDescent="0.35">
      <c r="A963" s="7">
        <v>60</v>
      </c>
      <c r="B963" s="7" t="s">
        <v>1509</v>
      </c>
      <c r="C963" s="7">
        <v>2017</v>
      </c>
      <c r="D963" s="7" t="s">
        <v>663</v>
      </c>
      <c r="E963" s="7" t="s">
        <v>1510</v>
      </c>
      <c r="F963" s="7" t="s">
        <v>1511</v>
      </c>
      <c r="G963" s="7" t="s">
        <v>1512</v>
      </c>
      <c r="H963" s="7" t="s">
        <v>1513</v>
      </c>
      <c r="I963" s="7">
        <v>50.436039999999998</v>
      </c>
      <c r="J963" s="62">
        <v>-96.834230000000005</v>
      </c>
      <c r="K963" s="7" t="s">
        <v>41</v>
      </c>
      <c r="L963" s="7" t="s">
        <v>28</v>
      </c>
      <c r="M963" s="7" t="s">
        <v>1514</v>
      </c>
      <c r="N963" s="6" t="s">
        <v>1515</v>
      </c>
      <c r="O963" s="7" t="s">
        <v>31</v>
      </c>
      <c r="P963" s="6" t="s">
        <v>1515</v>
      </c>
      <c r="Q963" s="7" t="s">
        <v>31</v>
      </c>
    </row>
    <row r="964" spans="1:18" s="7" customFormat="1" x14ac:dyDescent="0.35">
      <c r="A964" s="7">
        <v>60</v>
      </c>
      <c r="B964" s="7" t="s">
        <v>1509</v>
      </c>
      <c r="C964" s="7">
        <v>2017</v>
      </c>
      <c r="D964" s="7" t="s">
        <v>663</v>
      </c>
      <c r="E964" s="7" t="s">
        <v>1510</v>
      </c>
      <c r="F964" s="7" t="s">
        <v>1517</v>
      </c>
      <c r="G964" s="7" t="s">
        <v>1512</v>
      </c>
      <c r="H964" s="7" t="s">
        <v>1518</v>
      </c>
      <c r="I964" s="7">
        <v>50.436039999999998</v>
      </c>
      <c r="J964" s="62">
        <v>-96.834230000000005</v>
      </c>
      <c r="K964" s="7" t="s">
        <v>41</v>
      </c>
      <c r="L964" s="7" t="s">
        <v>28</v>
      </c>
      <c r="M964" s="7" t="s">
        <v>1514</v>
      </c>
      <c r="N964" s="6" t="s">
        <v>1515</v>
      </c>
      <c r="O964" s="7" t="s">
        <v>31</v>
      </c>
      <c r="P964" s="6" t="s">
        <v>1515</v>
      </c>
      <c r="Q964" s="7" t="s">
        <v>31</v>
      </c>
    </row>
    <row r="965" spans="1:18" s="7" customFormat="1" x14ac:dyDescent="0.35">
      <c r="A965" s="7">
        <v>60</v>
      </c>
      <c r="B965" s="7" t="s">
        <v>1509</v>
      </c>
      <c r="C965" s="7">
        <v>2017</v>
      </c>
      <c r="D965" s="7" t="s">
        <v>663</v>
      </c>
      <c r="E965" s="7" t="s">
        <v>1510</v>
      </c>
      <c r="F965" s="7" t="s">
        <v>1519</v>
      </c>
      <c r="G965" s="7" t="s">
        <v>1512</v>
      </c>
      <c r="H965" s="7" t="s">
        <v>1520</v>
      </c>
      <c r="I965" s="7">
        <v>50.436039999999998</v>
      </c>
      <c r="J965" s="62">
        <v>-96.834230000000005</v>
      </c>
      <c r="K965" s="7" t="s">
        <v>41</v>
      </c>
      <c r="L965" s="7" t="s">
        <v>28</v>
      </c>
      <c r="M965" s="7" t="s">
        <v>1514</v>
      </c>
      <c r="N965" s="6" t="s">
        <v>1515</v>
      </c>
      <c r="O965" s="7" t="s">
        <v>31</v>
      </c>
      <c r="P965" s="6" t="s">
        <v>1515</v>
      </c>
      <c r="Q965" s="7" t="s">
        <v>31</v>
      </c>
    </row>
    <row r="966" spans="1:18" s="7" customFormat="1" x14ac:dyDescent="0.35">
      <c r="A966" s="7">
        <v>60</v>
      </c>
      <c r="B966" s="7" t="s">
        <v>1509</v>
      </c>
      <c r="C966" s="7">
        <v>2017</v>
      </c>
      <c r="D966" s="7" t="s">
        <v>663</v>
      </c>
      <c r="E966" s="7" t="s">
        <v>1510</v>
      </c>
      <c r="F966" s="7" t="s">
        <v>1521</v>
      </c>
      <c r="G966" s="7" t="s">
        <v>1512</v>
      </c>
      <c r="H966" s="7" t="s">
        <v>1522</v>
      </c>
      <c r="I966" s="7">
        <v>50.487639999999999</v>
      </c>
      <c r="J966" s="62">
        <v>-96.723429999999993</v>
      </c>
      <c r="K966" s="7" t="s">
        <v>41</v>
      </c>
      <c r="L966" s="7" t="s">
        <v>28</v>
      </c>
      <c r="M966" s="7" t="s">
        <v>1514</v>
      </c>
      <c r="N966" s="6" t="s">
        <v>1515</v>
      </c>
      <c r="O966" s="7" t="s">
        <v>31</v>
      </c>
      <c r="P966" s="6" t="s">
        <v>1515</v>
      </c>
      <c r="Q966" s="7" t="s">
        <v>31</v>
      </c>
    </row>
    <row r="967" spans="1:18" s="7" customFormat="1" x14ac:dyDescent="0.35">
      <c r="A967" s="7">
        <v>60</v>
      </c>
      <c r="B967" s="7" t="s">
        <v>1509</v>
      </c>
      <c r="C967" s="7">
        <v>2017</v>
      </c>
      <c r="D967" s="7" t="s">
        <v>663</v>
      </c>
      <c r="E967" s="7" t="s">
        <v>1510</v>
      </c>
      <c r="F967" s="7" t="s">
        <v>1523</v>
      </c>
      <c r="G967" s="7" t="s">
        <v>1512</v>
      </c>
      <c r="H967" s="7" t="s">
        <v>1524</v>
      </c>
      <c r="I967" s="7">
        <v>50.487639999999999</v>
      </c>
      <c r="J967" s="62">
        <v>-96.723429999999993</v>
      </c>
      <c r="K967" s="7" t="s">
        <v>41</v>
      </c>
      <c r="L967" s="7" t="s">
        <v>28</v>
      </c>
      <c r="M967" s="7" t="s">
        <v>1514</v>
      </c>
      <c r="N967" s="6" t="s">
        <v>1515</v>
      </c>
      <c r="O967" s="7" t="s">
        <v>31</v>
      </c>
      <c r="P967" s="6" t="s">
        <v>1515</v>
      </c>
      <c r="Q967" s="7" t="s">
        <v>31</v>
      </c>
    </row>
    <row r="968" spans="1:18" s="7" customFormat="1" x14ac:dyDescent="0.35">
      <c r="A968" s="7">
        <v>60</v>
      </c>
      <c r="B968" s="7" t="s">
        <v>1509</v>
      </c>
      <c r="C968" s="7">
        <v>2017</v>
      </c>
      <c r="D968" s="7" t="s">
        <v>663</v>
      </c>
      <c r="E968" s="7" t="s">
        <v>1510</v>
      </c>
      <c r="F968" s="7" t="s">
        <v>1525</v>
      </c>
      <c r="G968" s="7" t="s">
        <v>1512</v>
      </c>
      <c r="H968" s="7" t="s">
        <v>1526</v>
      </c>
      <c r="I968" s="7">
        <v>50.487639999999999</v>
      </c>
      <c r="J968" s="62">
        <v>-96.723429999999993</v>
      </c>
      <c r="K968" s="7" t="s">
        <v>41</v>
      </c>
      <c r="L968" s="7" t="s">
        <v>28</v>
      </c>
      <c r="M968" s="7" t="s">
        <v>1514</v>
      </c>
      <c r="N968" s="6" t="s">
        <v>1515</v>
      </c>
      <c r="O968" s="7" t="s">
        <v>31</v>
      </c>
      <c r="P968" s="6" t="s">
        <v>1515</v>
      </c>
      <c r="Q968" s="7" t="s">
        <v>31</v>
      </c>
    </row>
    <row r="969" spans="1:18" s="7" customFormat="1" x14ac:dyDescent="0.35">
      <c r="A969" s="7">
        <v>60</v>
      </c>
      <c r="B969" s="7" t="s">
        <v>1509</v>
      </c>
      <c r="C969" s="7">
        <v>2017</v>
      </c>
      <c r="D969" s="7" t="s">
        <v>663</v>
      </c>
      <c r="E969" s="7" t="s">
        <v>1510</v>
      </c>
      <c r="F969" s="7" t="s">
        <v>1527</v>
      </c>
      <c r="G969" s="7" t="s">
        <v>1512</v>
      </c>
      <c r="H969" s="7" t="s">
        <v>1528</v>
      </c>
      <c r="I969" s="7">
        <v>50.680529999999997</v>
      </c>
      <c r="J969" s="62">
        <v>-96.412480000000002</v>
      </c>
      <c r="K969" s="7" t="s">
        <v>41</v>
      </c>
      <c r="L969" s="7" t="s">
        <v>28</v>
      </c>
      <c r="M969" s="7" t="s">
        <v>1514</v>
      </c>
      <c r="N969" s="6" t="s">
        <v>1515</v>
      </c>
      <c r="O969" s="7" t="s">
        <v>31</v>
      </c>
      <c r="P969" s="6" t="s">
        <v>1515</v>
      </c>
      <c r="Q969" s="7" t="s">
        <v>31</v>
      </c>
    </row>
    <row r="970" spans="1:18" s="7" customFormat="1" x14ac:dyDescent="0.35">
      <c r="A970" s="7">
        <v>60</v>
      </c>
      <c r="B970" s="7" t="s">
        <v>1509</v>
      </c>
      <c r="C970" s="7">
        <v>2017</v>
      </c>
      <c r="D970" s="7" t="s">
        <v>663</v>
      </c>
      <c r="E970" s="7" t="s">
        <v>1510</v>
      </c>
      <c r="F970" s="7" t="s">
        <v>1529</v>
      </c>
      <c r="G970" s="7" t="s">
        <v>1512</v>
      </c>
      <c r="H970" s="7" t="s">
        <v>1530</v>
      </c>
      <c r="I970" s="7">
        <v>50.680529999999997</v>
      </c>
      <c r="J970" s="62">
        <v>-96.412480000000002</v>
      </c>
      <c r="K970" s="7" t="s">
        <v>41</v>
      </c>
      <c r="L970" s="7" t="s">
        <v>28</v>
      </c>
      <c r="M970" s="7" t="s">
        <v>1514</v>
      </c>
      <c r="N970" s="6" t="s">
        <v>1515</v>
      </c>
      <c r="O970" s="7" t="s">
        <v>31</v>
      </c>
      <c r="P970" s="6" t="s">
        <v>1515</v>
      </c>
      <c r="Q970" s="7" t="s">
        <v>31</v>
      </c>
    </row>
    <row r="971" spans="1:18" s="7" customFormat="1" x14ac:dyDescent="0.35">
      <c r="A971" s="7">
        <v>60</v>
      </c>
      <c r="B971" s="7" t="s">
        <v>1509</v>
      </c>
      <c r="C971" s="7">
        <v>2017</v>
      </c>
      <c r="D971" s="7" t="s">
        <v>663</v>
      </c>
      <c r="E971" s="7" t="s">
        <v>1510</v>
      </c>
      <c r="F971" s="7" t="s">
        <v>1531</v>
      </c>
      <c r="G971" s="7" t="s">
        <v>1512</v>
      </c>
      <c r="H971" s="7" t="s">
        <v>1532</v>
      </c>
      <c r="I971" s="7">
        <v>50.680529999999997</v>
      </c>
      <c r="J971" s="62">
        <v>-96.412480000000002</v>
      </c>
      <c r="K971" s="7" t="s">
        <v>41</v>
      </c>
      <c r="L971" s="7" t="s">
        <v>28</v>
      </c>
      <c r="M971" s="7" t="s">
        <v>1514</v>
      </c>
      <c r="N971" s="6" t="s">
        <v>1515</v>
      </c>
      <c r="O971" s="7" t="s">
        <v>31</v>
      </c>
      <c r="P971" s="6" t="s">
        <v>1515</v>
      </c>
      <c r="Q971" s="7" t="s">
        <v>31</v>
      </c>
    </row>
    <row r="972" spans="1:18" s="7" customFormat="1" x14ac:dyDescent="0.35">
      <c r="A972" s="7">
        <v>60</v>
      </c>
      <c r="B972" s="7" t="s">
        <v>1509</v>
      </c>
      <c r="C972" s="7">
        <v>2017</v>
      </c>
      <c r="D972" s="7" t="s">
        <v>663</v>
      </c>
      <c r="E972" s="7" t="s">
        <v>1510</v>
      </c>
      <c r="F972" s="7" t="s">
        <v>1533</v>
      </c>
      <c r="G972" s="7" t="s">
        <v>1512</v>
      </c>
      <c r="H972" s="7" t="s">
        <v>1534</v>
      </c>
      <c r="I972" s="62">
        <v>50.698799999999999</v>
      </c>
      <c r="J972" s="62">
        <v>-96.786119999999997</v>
      </c>
      <c r="K972" s="7" t="s">
        <v>41</v>
      </c>
      <c r="L972" s="7" t="s">
        <v>28</v>
      </c>
      <c r="M972" s="7" t="s">
        <v>1514</v>
      </c>
      <c r="N972" s="6" t="s">
        <v>1515</v>
      </c>
      <c r="O972" s="7" t="s">
        <v>31</v>
      </c>
      <c r="P972" s="6" t="s">
        <v>1515</v>
      </c>
      <c r="Q972" s="7" t="s">
        <v>31</v>
      </c>
    </row>
    <row r="973" spans="1:18" s="7" customFormat="1" x14ac:dyDescent="0.35">
      <c r="A973" s="7">
        <v>60</v>
      </c>
      <c r="B973" s="7" t="s">
        <v>1509</v>
      </c>
      <c r="C973" s="7">
        <v>2017</v>
      </c>
      <c r="D973" s="7" t="s">
        <v>663</v>
      </c>
      <c r="E973" s="7" t="s">
        <v>1510</v>
      </c>
      <c r="F973" s="7" t="s">
        <v>1535</v>
      </c>
      <c r="G973" s="7" t="s">
        <v>1512</v>
      </c>
      <c r="H973" s="7" t="s">
        <v>1536</v>
      </c>
      <c r="I973" s="62">
        <v>50.698799999999999</v>
      </c>
      <c r="J973" s="62">
        <v>-96.786119999999997</v>
      </c>
      <c r="K973" s="7" t="s">
        <v>41</v>
      </c>
      <c r="L973" s="7" t="s">
        <v>28</v>
      </c>
      <c r="M973" s="7" t="s">
        <v>1514</v>
      </c>
      <c r="N973" s="6" t="s">
        <v>1515</v>
      </c>
      <c r="O973" s="7" t="s">
        <v>31</v>
      </c>
      <c r="P973" s="6" t="s">
        <v>1515</v>
      </c>
      <c r="Q973" s="7" t="s">
        <v>31</v>
      </c>
    </row>
    <row r="974" spans="1:18" s="7" customFormat="1" x14ac:dyDescent="0.35">
      <c r="A974" s="7">
        <v>60</v>
      </c>
      <c r="B974" s="7" t="s">
        <v>1509</v>
      </c>
      <c r="C974" s="7">
        <v>2017</v>
      </c>
      <c r="D974" s="7" t="s">
        <v>663</v>
      </c>
      <c r="E974" s="7" t="s">
        <v>1510</v>
      </c>
      <c r="F974" s="7" t="s">
        <v>1537</v>
      </c>
      <c r="G974" s="7" t="s">
        <v>1512</v>
      </c>
      <c r="H974" s="7" t="s">
        <v>1538</v>
      </c>
      <c r="I974" s="62">
        <v>50.698799999999999</v>
      </c>
      <c r="J974" s="62">
        <v>-96.786119999999997</v>
      </c>
      <c r="K974" s="7" t="s">
        <v>41</v>
      </c>
      <c r="L974" s="7" t="s">
        <v>28</v>
      </c>
      <c r="M974" s="7" t="s">
        <v>1514</v>
      </c>
      <c r="N974" s="6" t="s">
        <v>1515</v>
      </c>
      <c r="O974" s="7" t="s">
        <v>31</v>
      </c>
      <c r="P974" s="6" t="s">
        <v>1515</v>
      </c>
      <c r="Q974" s="7" t="s">
        <v>31</v>
      </c>
    </row>
    <row r="975" spans="1:18" s="7" customFormat="1" x14ac:dyDescent="0.35">
      <c r="A975" s="7">
        <v>60</v>
      </c>
      <c r="B975" s="7" t="s">
        <v>1509</v>
      </c>
      <c r="C975" s="7">
        <v>2017</v>
      </c>
      <c r="D975" s="7" t="s">
        <v>663</v>
      </c>
      <c r="E975" s="7" t="s">
        <v>1510</v>
      </c>
      <c r="F975" s="7" t="s">
        <v>1539</v>
      </c>
      <c r="G975" s="7" t="s">
        <v>1512</v>
      </c>
      <c r="H975" s="7" t="s">
        <v>1540</v>
      </c>
      <c r="I975" s="7">
        <v>51.022179999999999</v>
      </c>
      <c r="J975" s="62">
        <v>-96.583770000000001</v>
      </c>
      <c r="K975" s="7" t="s">
        <v>41</v>
      </c>
      <c r="L975" s="7" t="s">
        <v>28</v>
      </c>
      <c r="M975" s="7" t="s">
        <v>1514</v>
      </c>
      <c r="N975" s="6" t="s">
        <v>1515</v>
      </c>
      <c r="O975" s="7" t="s">
        <v>31</v>
      </c>
      <c r="P975" s="6" t="s">
        <v>1515</v>
      </c>
      <c r="Q975" s="7" t="s">
        <v>31</v>
      </c>
    </row>
    <row r="976" spans="1:18" s="7" customFormat="1" x14ac:dyDescent="0.35">
      <c r="A976" s="7">
        <v>60</v>
      </c>
      <c r="B976" s="7" t="s">
        <v>1509</v>
      </c>
      <c r="C976" s="7">
        <v>2017</v>
      </c>
      <c r="D976" s="7" t="s">
        <v>663</v>
      </c>
      <c r="E976" s="7" t="s">
        <v>1510</v>
      </c>
      <c r="F976" s="7" t="s">
        <v>1541</v>
      </c>
      <c r="G976" s="7" t="s">
        <v>1512</v>
      </c>
      <c r="H976" s="7" t="s">
        <v>1542</v>
      </c>
      <c r="I976" s="7">
        <v>51.022179999999999</v>
      </c>
      <c r="J976" s="62">
        <v>-96.583770000000001</v>
      </c>
      <c r="K976" s="7" t="s">
        <v>41</v>
      </c>
      <c r="L976" s="7" t="s">
        <v>28</v>
      </c>
      <c r="M976" s="7" t="s">
        <v>1514</v>
      </c>
      <c r="N976" s="6" t="s">
        <v>1515</v>
      </c>
      <c r="O976" s="7" t="s">
        <v>31</v>
      </c>
      <c r="P976" s="6" t="s">
        <v>1515</v>
      </c>
      <c r="Q976" s="7" t="s">
        <v>31</v>
      </c>
    </row>
    <row r="977" spans="1:17" s="7" customFormat="1" x14ac:dyDescent="0.35">
      <c r="A977" s="7">
        <v>60</v>
      </c>
      <c r="B977" s="7" t="s">
        <v>1509</v>
      </c>
      <c r="C977" s="7">
        <v>2017</v>
      </c>
      <c r="D977" s="7" t="s">
        <v>663</v>
      </c>
      <c r="E977" s="7" t="s">
        <v>1510</v>
      </c>
      <c r="F977" s="7" t="s">
        <v>1543</v>
      </c>
      <c r="G977" s="7" t="s">
        <v>1512</v>
      </c>
      <c r="H977" s="7" t="s">
        <v>1544</v>
      </c>
      <c r="I977" s="7">
        <v>51.022179999999999</v>
      </c>
      <c r="J977" s="62">
        <v>-96.583770000000001</v>
      </c>
      <c r="K977" s="7" t="s">
        <v>41</v>
      </c>
      <c r="L977" s="7" t="s">
        <v>28</v>
      </c>
      <c r="M977" s="7" t="s">
        <v>1514</v>
      </c>
      <c r="N977" s="6" t="s">
        <v>1515</v>
      </c>
      <c r="O977" s="7" t="s">
        <v>31</v>
      </c>
      <c r="P977" s="6" t="s">
        <v>1515</v>
      </c>
      <c r="Q977" s="7" t="s">
        <v>31</v>
      </c>
    </row>
    <row r="978" spans="1:17" s="7" customFormat="1" x14ac:dyDescent="0.35">
      <c r="A978" s="7">
        <v>60</v>
      </c>
      <c r="B978" s="7" t="s">
        <v>1509</v>
      </c>
      <c r="C978" s="7">
        <v>2017</v>
      </c>
      <c r="D978" s="7" t="s">
        <v>663</v>
      </c>
      <c r="E978" s="7" t="s">
        <v>1510</v>
      </c>
      <c r="F978" s="7" t="s">
        <v>1545</v>
      </c>
      <c r="G978" s="7" t="s">
        <v>1512</v>
      </c>
      <c r="H978" s="7" t="s">
        <v>1546</v>
      </c>
      <c r="I978" s="7">
        <v>51.620559999999998</v>
      </c>
      <c r="J978" s="62">
        <v>-97.693349999999995</v>
      </c>
      <c r="K978" s="7" t="s">
        <v>41</v>
      </c>
      <c r="L978" s="7" t="s">
        <v>28</v>
      </c>
      <c r="M978" s="7" t="s">
        <v>1514</v>
      </c>
      <c r="N978" s="6" t="s">
        <v>1515</v>
      </c>
      <c r="O978" s="7" t="s">
        <v>31</v>
      </c>
      <c r="P978" s="6" t="s">
        <v>1515</v>
      </c>
      <c r="Q978" s="7" t="s">
        <v>31</v>
      </c>
    </row>
    <row r="979" spans="1:17" s="7" customFormat="1" x14ac:dyDescent="0.35">
      <c r="A979" s="7">
        <v>60</v>
      </c>
      <c r="B979" s="7" t="s">
        <v>1509</v>
      </c>
      <c r="C979" s="7">
        <v>2017</v>
      </c>
      <c r="D979" s="7" t="s">
        <v>663</v>
      </c>
      <c r="E979" s="7" t="s">
        <v>1510</v>
      </c>
      <c r="F979" s="7" t="s">
        <v>1547</v>
      </c>
      <c r="G979" s="7" t="s">
        <v>1512</v>
      </c>
      <c r="H979" s="7" t="s">
        <v>1548</v>
      </c>
      <c r="I979" s="7">
        <v>51.620559999999998</v>
      </c>
      <c r="J979" s="62">
        <v>-97.693349999999995</v>
      </c>
      <c r="K979" s="7" t="s">
        <v>41</v>
      </c>
      <c r="L979" s="7" t="s">
        <v>28</v>
      </c>
      <c r="M979" s="7" t="s">
        <v>1514</v>
      </c>
      <c r="N979" s="6" t="s">
        <v>1515</v>
      </c>
      <c r="O979" s="7" t="s">
        <v>31</v>
      </c>
      <c r="P979" s="6" t="s">
        <v>1515</v>
      </c>
      <c r="Q979" s="7" t="s">
        <v>31</v>
      </c>
    </row>
    <row r="980" spans="1:17" s="7" customFormat="1" x14ac:dyDescent="0.35">
      <c r="A980" s="7">
        <v>60</v>
      </c>
      <c r="B980" s="7" t="s">
        <v>1509</v>
      </c>
      <c r="C980" s="7">
        <v>2017</v>
      </c>
      <c r="D980" s="7" t="s">
        <v>663</v>
      </c>
      <c r="E980" s="7" t="s">
        <v>1510</v>
      </c>
      <c r="F980" s="7" t="s">
        <v>1549</v>
      </c>
      <c r="G980" s="7" t="s">
        <v>1512</v>
      </c>
      <c r="H980" s="7" t="s">
        <v>1550</v>
      </c>
      <c r="I980" s="7">
        <v>51.776510000000002</v>
      </c>
      <c r="J980" s="62">
        <v>-96.864080000000001</v>
      </c>
      <c r="K980" s="7" t="s">
        <v>41</v>
      </c>
      <c r="L980" s="7" t="s">
        <v>28</v>
      </c>
      <c r="M980" s="7" t="s">
        <v>1514</v>
      </c>
      <c r="N980" s="6" t="s">
        <v>1515</v>
      </c>
      <c r="O980" s="7" t="s">
        <v>31</v>
      </c>
      <c r="P980" s="6" t="s">
        <v>1515</v>
      </c>
      <c r="Q980" s="7" t="s">
        <v>31</v>
      </c>
    </row>
    <row r="981" spans="1:17" s="7" customFormat="1" x14ac:dyDescent="0.35">
      <c r="A981" s="7">
        <v>60</v>
      </c>
      <c r="B981" s="7" t="s">
        <v>1509</v>
      </c>
      <c r="C981" s="7">
        <v>2017</v>
      </c>
      <c r="D981" s="7" t="s">
        <v>663</v>
      </c>
      <c r="E981" s="7" t="s">
        <v>1510</v>
      </c>
      <c r="F981" s="7" t="s">
        <v>1551</v>
      </c>
      <c r="G981" s="7" t="s">
        <v>1512</v>
      </c>
      <c r="H981" s="7" t="s">
        <v>1552</v>
      </c>
      <c r="I981" s="7">
        <v>51.776510000000002</v>
      </c>
      <c r="J981" s="62">
        <v>-96.864080000000001</v>
      </c>
      <c r="K981" s="7" t="s">
        <v>41</v>
      </c>
      <c r="L981" s="7" t="s">
        <v>28</v>
      </c>
      <c r="M981" s="7" t="s">
        <v>1514</v>
      </c>
      <c r="N981" s="6" t="s">
        <v>1515</v>
      </c>
      <c r="O981" s="7" t="s">
        <v>31</v>
      </c>
      <c r="P981" s="6" t="s">
        <v>1515</v>
      </c>
      <c r="Q981" s="7" t="s">
        <v>31</v>
      </c>
    </row>
    <row r="982" spans="1:17" s="7" customFormat="1" x14ac:dyDescent="0.35">
      <c r="A982" s="7">
        <v>60</v>
      </c>
      <c r="B982" s="7" t="s">
        <v>1509</v>
      </c>
      <c r="C982" s="7">
        <v>2017</v>
      </c>
      <c r="D982" s="7" t="s">
        <v>663</v>
      </c>
      <c r="E982" s="7" t="s">
        <v>1510</v>
      </c>
      <c r="F982" s="7" t="s">
        <v>1553</v>
      </c>
      <c r="G982" s="7" t="s">
        <v>1512</v>
      </c>
      <c r="H982" s="7" t="s">
        <v>1554</v>
      </c>
      <c r="I982" s="7">
        <v>51.776510000000002</v>
      </c>
      <c r="J982" s="62">
        <v>-96.864080000000001</v>
      </c>
      <c r="K982" s="7" t="s">
        <v>41</v>
      </c>
      <c r="L982" s="7" t="s">
        <v>28</v>
      </c>
      <c r="M982" s="7" t="s">
        <v>1514</v>
      </c>
      <c r="N982" s="6" t="s">
        <v>1515</v>
      </c>
      <c r="O982" s="7" t="s">
        <v>31</v>
      </c>
      <c r="P982" s="6" t="s">
        <v>1515</v>
      </c>
      <c r="Q982" s="7" t="s">
        <v>31</v>
      </c>
    </row>
    <row r="983" spans="1:17" s="7" customFormat="1" x14ac:dyDescent="0.35">
      <c r="A983" s="7">
        <v>60</v>
      </c>
      <c r="B983" s="7" t="s">
        <v>1509</v>
      </c>
      <c r="C983" s="7">
        <v>2017</v>
      </c>
      <c r="D983" s="7" t="s">
        <v>663</v>
      </c>
      <c r="E983" s="7" t="s">
        <v>1510</v>
      </c>
      <c r="F983" s="7" t="s">
        <v>1555</v>
      </c>
      <c r="G983" s="7" t="s">
        <v>1512</v>
      </c>
      <c r="H983" s="7" t="s">
        <v>1556</v>
      </c>
      <c r="I983" s="7">
        <v>52.174579999999999</v>
      </c>
      <c r="J983" s="62">
        <v>-97.851560000000006</v>
      </c>
      <c r="K983" s="7" t="s">
        <v>41</v>
      </c>
      <c r="L983" s="7" t="s">
        <v>28</v>
      </c>
      <c r="M983" s="7" t="s">
        <v>1514</v>
      </c>
      <c r="N983" s="6" t="s">
        <v>1515</v>
      </c>
      <c r="O983" s="7" t="s">
        <v>31</v>
      </c>
      <c r="P983" s="6" t="s">
        <v>1515</v>
      </c>
      <c r="Q983" s="7" t="s">
        <v>31</v>
      </c>
    </row>
    <row r="984" spans="1:17" s="7" customFormat="1" x14ac:dyDescent="0.35">
      <c r="A984" s="7">
        <v>60</v>
      </c>
      <c r="B984" s="7" t="s">
        <v>1509</v>
      </c>
      <c r="C984" s="7">
        <v>2017</v>
      </c>
      <c r="D984" s="7" t="s">
        <v>663</v>
      </c>
      <c r="E984" s="7" t="s">
        <v>1510</v>
      </c>
      <c r="F984" s="7" t="s">
        <v>1557</v>
      </c>
      <c r="G984" s="7" t="s">
        <v>1512</v>
      </c>
      <c r="H984" s="7" t="s">
        <v>1558</v>
      </c>
      <c r="I984" s="7">
        <v>52.174579999999999</v>
      </c>
      <c r="J984" s="62">
        <v>-97.851560000000006</v>
      </c>
      <c r="K984" s="7" t="s">
        <v>41</v>
      </c>
      <c r="L984" s="7" t="s">
        <v>28</v>
      </c>
      <c r="M984" s="7" t="s">
        <v>1514</v>
      </c>
      <c r="N984" s="6" t="s">
        <v>1515</v>
      </c>
      <c r="O984" s="7" t="s">
        <v>31</v>
      </c>
      <c r="P984" s="6" t="s">
        <v>1515</v>
      </c>
      <c r="Q984" s="7" t="s">
        <v>31</v>
      </c>
    </row>
    <row r="985" spans="1:17" s="7" customFormat="1" x14ac:dyDescent="0.35">
      <c r="A985" s="7">
        <v>60</v>
      </c>
      <c r="B985" s="7" t="s">
        <v>1509</v>
      </c>
      <c r="C985" s="7">
        <v>2017</v>
      </c>
      <c r="D985" s="7" t="s">
        <v>663</v>
      </c>
      <c r="E985" s="7" t="s">
        <v>1510</v>
      </c>
      <c r="F985" s="7" t="s">
        <v>1559</v>
      </c>
      <c r="G985" s="7" t="s">
        <v>1512</v>
      </c>
      <c r="H985" s="7" t="s">
        <v>1560</v>
      </c>
      <c r="I985" s="7">
        <v>52.174579999999999</v>
      </c>
      <c r="J985" s="62">
        <v>-97.851560000000006</v>
      </c>
      <c r="K985" s="7" t="s">
        <v>41</v>
      </c>
      <c r="L985" s="7" t="s">
        <v>28</v>
      </c>
      <c r="M985" s="7" t="s">
        <v>1514</v>
      </c>
      <c r="N985" s="6" t="s">
        <v>1515</v>
      </c>
      <c r="O985" s="7" t="s">
        <v>31</v>
      </c>
      <c r="P985" s="6" t="s">
        <v>1515</v>
      </c>
      <c r="Q985" s="7" t="s">
        <v>31</v>
      </c>
    </row>
    <row r="986" spans="1:17" s="7" customFormat="1" x14ac:dyDescent="0.35">
      <c r="A986" s="7">
        <v>60</v>
      </c>
      <c r="B986" s="7" t="s">
        <v>1509</v>
      </c>
      <c r="C986" s="7">
        <v>2017</v>
      </c>
      <c r="D986" s="7" t="s">
        <v>663</v>
      </c>
      <c r="E986" s="7" t="s">
        <v>1510</v>
      </c>
      <c r="F986" s="7" t="s">
        <v>1561</v>
      </c>
      <c r="G986" s="7" t="s">
        <v>1512</v>
      </c>
      <c r="H986" s="7" t="s">
        <v>1562</v>
      </c>
      <c r="I986" s="7">
        <v>52.899070000000002</v>
      </c>
      <c r="J986" s="63">
        <v>-98.242649999999998</v>
      </c>
      <c r="K986" s="7" t="s">
        <v>41</v>
      </c>
      <c r="L986" s="7" t="s">
        <v>28</v>
      </c>
      <c r="M986" s="7" t="s">
        <v>1514</v>
      </c>
      <c r="N986" s="6" t="s">
        <v>1515</v>
      </c>
      <c r="O986" s="7" t="s">
        <v>31</v>
      </c>
      <c r="P986" s="6" t="s">
        <v>1515</v>
      </c>
      <c r="Q986" s="7" t="s">
        <v>31</v>
      </c>
    </row>
    <row r="987" spans="1:17" s="7" customFormat="1" x14ac:dyDescent="0.35">
      <c r="A987" s="7">
        <v>60</v>
      </c>
      <c r="B987" s="7" t="s">
        <v>1509</v>
      </c>
      <c r="C987" s="7">
        <v>2017</v>
      </c>
      <c r="D987" s="7" t="s">
        <v>663</v>
      </c>
      <c r="E987" s="7" t="s">
        <v>1510</v>
      </c>
      <c r="F987" s="7" t="s">
        <v>1563</v>
      </c>
      <c r="G987" s="7" t="s">
        <v>1512</v>
      </c>
      <c r="H987" s="7" t="s">
        <v>1564</v>
      </c>
      <c r="I987" s="7">
        <v>52.899070000000002</v>
      </c>
      <c r="J987" s="63">
        <v>-98.242649999999998</v>
      </c>
      <c r="K987" s="7" t="s">
        <v>41</v>
      </c>
      <c r="L987" s="7" t="s">
        <v>28</v>
      </c>
      <c r="M987" s="7" t="s">
        <v>1514</v>
      </c>
      <c r="N987" s="6" t="s">
        <v>1515</v>
      </c>
      <c r="O987" s="7" t="s">
        <v>31</v>
      </c>
      <c r="P987" s="6" t="s">
        <v>1515</v>
      </c>
      <c r="Q987" s="7" t="s">
        <v>31</v>
      </c>
    </row>
    <row r="988" spans="1:17" s="7" customFormat="1" x14ac:dyDescent="0.35">
      <c r="A988" s="7">
        <v>60</v>
      </c>
      <c r="B988" s="7" t="s">
        <v>1509</v>
      </c>
      <c r="C988" s="7">
        <v>2017</v>
      </c>
      <c r="D988" s="7" t="s">
        <v>663</v>
      </c>
      <c r="E988" s="7" t="s">
        <v>1510</v>
      </c>
      <c r="F988" s="7" t="s">
        <v>1565</v>
      </c>
      <c r="G988" s="7" t="s">
        <v>1512</v>
      </c>
      <c r="H988" s="7" t="s">
        <v>1566</v>
      </c>
      <c r="I988" s="7">
        <v>52.899070000000002</v>
      </c>
      <c r="J988" s="63">
        <v>-98.242649999999998</v>
      </c>
      <c r="K988" s="7" t="s">
        <v>41</v>
      </c>
      <c r="L988" s="7" t="s">
        <v>28</v>
      </c>
      <c r="M988" s="7" t="s">
        <v>1514</v>
      </c>
      <c r="N988" s="6" t="s">
        <v>1515</v>
      </c>
      <c r="O988" s="7" t="s">
        <v>31</v>
      </c>
      <c r="P988" s="6" t="s">
        <v>1515</v>
      </c>
      <c r="Q988" s="7" t="s">
        <v>31</v>
      </c>
    </row>
    <row r="989" spans="1:17" s="7" customFormat="1" x14ac:dyDescent="0.35">
      <c r="A989" s="7">
        <v>60</v>
      </c>
      <c r="B989" s="7" t="s">
        <v>1509</v>
      </c>
      <c r="C989" s="7">
        <v>2017</v>
      </c>
      <c r="D989" s="7" t="s">
        <v>663</v>
      </c>
      <c r="E989" s="7" t="s">
        <v>1510</v>
      </c>
      <c r="F989" s="7" t="s">
        <v>1567</v>
      </c>
      <c r="G989" s="7" t="s">
        <v>1512</v>
      </c>
      <c r="H989" s="7" t="s">
        <v>1568</v>
      </c>
      <c r="I989" s="7">
        <v>53.21349</v>
      </c>
      <c r="J989" s="62">
        <v>-99.233450000000005</v>
      </c>
      <c r="K989" s="7" t="s">
        <v>41</v>
      </c>
      <c r="L989" s="7" t="s">
        <v>28</v>
      </c>
      <c r="M989" s="7" t="s">
        <v>1514</v>
      </c>
      <c r="N989" s="6" t="s">
        <v>1515</v>
      </c>
      <c r="O989" s="7" t="s">
        <v>31</v>
      </c>
      <c r="P989" s="6" t="s">
        <v>1515</v>
      </c>
      <c r="Q989" s="7" t="s">
        <v>31</v>
      </c>
    </row>
    <row r="990" spans="1:17" s="7" customFormat="1" x14ac:dyDescent="0.35">
      <c r="A990" s="7">
        <v>60</v>
      </c>
      <c r="B990" s="7" t="s">
        <v>1509</v>
      </c>
      <c r="C990" s="7">
        <v>2017</v>
      </c>
      <c r="D990" s="7" t="s">
        <v>663</v>
      </c>
      <c r="E990" s="7" t="s">
        <v>1510</v>
      </c>
      <c r="F990" s="7" t="s">
        <v>1569</v>
      </c>
      <c r="G990" s="7" t="s">
        <v>1512</v>
      </c>
      <c r="H990" s="7" t="s">
        <v>1570</v>
      </c>
      <c r="I990" s="7">
        <v>53.21349</v>
      </c>
      <c r="J990" s="62">
        <v>-99.233450000000005</v>
      </c>
      <c r="K990" s="7" t="s">
        <v>41</v>
      </c>
      <c r="L990" s="7" t="s">
        <v>28</v>
      </c>
      <c r="M990" s="7" t="s">
        <v>1514</v>
      </c>
      <c r="N990" s="6" t="s">
        <v>1515</v>
      </c>
      <c r="O990" s="7" t="s">
        <v>31</v>
      </c>
      <c r="P990" s="6" t="s">
        <v>1515</v>
      </c>
      <c r="Q990" s="7" t="s">
        <v>31</v>
      </c>
    </row>
    <row r="991" spans="1:17" s="7" customFormat="1" x14ac:dyDescent="0.35">
      <c r="A991" s="7">
        <v>60</v>
      </c>
      <c r="B991" s="7" t="s">
        <v>1509</v>
      </c>
      <c r="C991" s="7">
        <v>2017</v>
      </c>
      <c r="D991" s="7" t="s">
        <v>663</v>
      </c>
      <c r="E991" s="7" t="s">
        <v>1510</v>
      </c>
      <c r="F991" s="7" t="s">
        <v>1571</v>
      </c>
      <c r="G991" s="7" t="s">
        <v>1512</v>
      </c>
      <c r="H991" s="7" t="s">
        <v>1572</v>
      </c>
      <c r="I991" s="7">
        <v>53.21349</v>
      </c>
      <c r="J991" s="62">
        <v>-99.233450000000005</v>
      </c>
      <c r="K991" s="7" t="s">
        <v>41</v>
      </c>
      <c r="L991" s="7" t="s">
        <v>28</v>
      </c>
      <c r="M991" s="7" t="s">
        <v>1514</v>
      </c>
      <c r="N991" s="6" t="s">
        <v>1515</v>
      </c>
      <c r="O991" s="7" t="s">
        <v>31</v>
      </c>
      <c r="P991" s="6" t="s">
        <v>1515</v>
      </c>
      <c r="Q991" s="7" t="s">
        <v>31</v>
      </c>
    </row>
    <row r="992" spans="1:17" s="7" customFormat="1" x14ac:dyDescent="0.35">
      <c r="A992" s="7">
        <v>60</v>
      </c>
      <c r="B992" s="7" t="s">
        <v>1509</v>
      </c>
      <c r="C992" s="7">
        <v>2017</v>
      </c>
      <c r="D992" s="7" t="s">
        <v>663</v>
      </c>
      <c r="E992" s="7" t="s">
        <v>1510</v>
      </c>
      <c r="F992" s="7" t="s">
        <v>1573</v>
      </c>
      <c r="G992" s="7" t="s">
        <v>1512</v>
      </c>
      <c r="H992" s="7" t="s">
        <v>1574</v>
      </c>
      <c r="I992" s="62">
        <v>53.382080000000002</v>
      </c>
      <c r="J992" s="62">
        <v>-98.442350000000005</v>
      </c>
      <c r="K992" s="7" t="s">
        <v>41</v>
      </c>
      <c r="L992" s="7" t="s">
        <v>28</v>
      </c>
      <c r="M992" s="7" t="s">
        <v>1514</v>
      </c>
      <c r="N992" s="6" t="s">
        <v>1515</v>
      </c>
      <c r="O992" s="7" t="s">
        <v>31</v>
      </c>
      <c r="P992" s="6" t="s">
        <v>1515</v>
      </c>
      <c r="Q992" s="7" t="s">
        <v>31</v>
      </c>
    </row>
    <row r="993" spans="1:18" s="7" customFormat="1" x14ac:dyDescent="0.35">
      <c r="A993" s="7">
        <v>60</v>
      </c>
      <c r="B993" s="7" t="s">
        <v>1509</v>
      </c>
      <c r="C993" s="7">
        <v>2017</v>
      </c>
      <c r="D993" s="7" t="s">
        <v>663</v>
      </c>
      <c r="E993" s="7" t="s">
        <v>1510</v>
      </c>
      <c r="F993" s="7" t="s">
        <v>1575</v>
      </c>
      <c r="G993" s="7" t="s">
        <v>1512</v>
      </c>
      <c r="H993" s="7" t="s">
        <v>1576</v>
      </c>
      <c r="I993" s="62">
        <v>53.382080000000002</v>
      </c>
      <c r="J993" s="62">
        <v>-98.442350000000005</v>
      </c>
      <c r="K993" s="7" t="s">
        <v>41</v>
      </c>
      <c r="L993" s="7" t="s">
        <v>28</v>
      </c>
      <c r="M993" s="7" t="s">
        <v>1514</v>
      </c>
      <c r="N993" s="6" t="s">
        <v>1515</v>
      </c>
      <c r="O993" s="7" t="s">
        <v>31</v>
      </c>
      <c r="P993" s="6" t="s">
        <v>1515</v>
      </c>
      <c r="Q993" s="7" t="s">
        <v>31</v>
      </c>
    </row>
    <row r="994" spans="1:18" s="7" customFormat="1" x14ac:dyDescent="0.35">
      <c r="A994" s="7">
        <v>60</v>
      </c>
      <c r="B994" s="7" t="s">
        <v>1509</v>
      </c>
      <c r="C994" s="7">
        <v>2017</v>
      </c>
      <c r="D994" s="7" t="s">
        <v>663</v>
      </c>
      <c r="E994" s="7" t="s">
        <v>1510</v>
      </c>
      <c r="F994" s="7" t="s">
        <v>1577</v>
      </c>
      <c r="G994" s="7" t="s">
        <v>1512</v>
      </c>
      <c r="H994" s="7" t="s">
        <v>1578</v>
      </c>
      <c r="I994" s="62">
        <v>53.382080000000002</v>
      </c>
      <c r="J994" s="62">
        <v>-98.442350000000005</v>
      </c>
      <c r="K994" s="7" t="s">
        <v>41</v>
      </c>
      <c r="L994" s="7" t="s">
        <v>28</v>
      </c>
      <c r="M994" s="7" t="s">
        <v>1514</v>
      </c>
      <c r="N994" s="6" t="s">
        <v>1515</v>
      </c>
      <c r="O994" s="7" t="s">
        <v>31</v>
      </c>
      <c r="P994" s="6" t="s">
        <v>1515</v>
      </c>
      <c r="Q994" s="7" t="s">
        <v>31</v>
      </c>
    </row>
    <row r="995" spans="1:18" s="7" customFormat="1" x14ac:dyDescent="0.35">
      <c r="A995" s="7">
        <v>60</v>
      </c>
      <c r="B995" s="7" t="s">
        <v>1509</v>
      </c>
      <c r="C995" s="7">
        <v>2017</v>
      </c>
      <c r="D995" s="7" t="s">
        <v>663</v>
      </c>
      <c r="E995" s="7" t="s">
        <v>1510</v>
      </c>
      <c r="F995" s="7" t="s">
        <v>1579</v>
      </c>
      <c r="G995" s="7" t="s">
        <v>1512</v>
      </c>
      <c r="H995" s="7" t="s">
        <v>1580</v>
      </c>
      <c r="I995" s="7">
        <v>53.612859999999998</v>
      </c>
      <c r="J995" s="62">
        <v>-97.964579999999998</v>
      </c>
      <c r="K995" s="7" t="s">
        <v>41</v>
      </c>
      <c r="L995" s="7" t="s">
        <v>28</v>
      </c>
      <c r="M995" s="7" t="s">
        <v>1514</v>
      </c>
      <c r="N995" s="6" t="s">
        <v>1515</v>
      </c>
      <c r="O995" s="7" t="s">
        <v>31</v>
      </c>
      <c r="P995" s="6" t="s">
        <v>1515</v>
      </c>
      <c r="Q995" s="7" t="s">
        <v>31</v>
      </c>
    </row>
    <row r="996" spans="1:18" s="7" customFormat="1" x14ac:dyDescent="0.35">
      <c r="A996" s="7">
        <v>60</v>
      </c>
      <c r="B996" s="7" t="s">
        <v>1509</v>
      </c>
      <c r="C996" s="7">
        <v>2017</v>
      </c>
      <c r="D996" s="7" t="s">
        <v>663</v>
      </c>
      <c r="E996" s="7" t="s">
        <v>1510</v>
      </c>
      <c r="F996" s="7" t="s">
        <v>1581</v>
      </c>
      <c r="G996" s="7" t="s">
        <v>1512</v>
      </c>
      <c r="H996" s="7" t="s">
        <v>1582</v>
      </c>
      <c r="I996" s="7">
        <v>53.612859999999998</v>
      </c>
      <c r="J996" s="62">
        <v>-97.964579999999998</v>
      </c>
      <c r="K996" s="7" t="s">
        <v>41</v>
      </c>
      <c r="L996" s="7" t="s">
        <v>28</v>
      </c>
      <c r="M996" s="7" t="s">
        <v>1514</v>
      </c>
      <c r="N996" s="6" t="s">
        <v>1515</v>
      </c>
      <c r="O996" s="7" t="s">
        <v>31</v>
      </c>
      <c r="P996" s="6" t="s">
        <v>1515</v>
      </c>
      <c r="Q996" s="7" t="s">
        <v>31</v>
      </c>
    </row>
    <row r="997" spans="1:18" s="7" customFormat="1" x14ac:dyDescent="0.35">
      <c r="A997" s="7">
        <v>60</v>
      </c>
      <c r="B997" s="7" t="s">
        <v>1509</v>
      </c>
      <c r="C997" s="7">
        <v>2017</v>
      </c>
      <c r="D997" s="7" t="s">
        <v>663</v>
      </c>
      <c r="E997" s="7" t="s">
        <v>1510</v>
      </c>
      <c r="F997" s="7" t="s">
        <v>1583</v>
      </c>
      <c r="G997" s="7" t="s">
        <v>1512</v>
      </c>
      <c r="H997" s="7" t="s">
        <v>1584</v>
      </c>
      <c r="I997" s="7">
        <v>53.612859999999998</v>
      </c>
      <c r="J997" s="62">
        <v>-97.964579999999998</v>
      </c>
      <c r="K997" s="7" t="s">
        <v>41</v>
      </c>
      <c r="L997" s="7" t="s">
        <v>28</v>
      </c>
      <c r="M997" s="7" t="s">
        <v>1514</v>
      </c>
      <c r="N997" s="6" t="s">
        <v>1515</v>
      </c>
      <c r="O997" s="7" t="s">
        <v>31</v>
      </c>
      <c r="P997" s="6" t="s">
        <v>1515</v>
      </c>
      <c r="Q997" s="7" t="s">
        <v>31</v>
      </c>
    </row>
    <row r="998" spans="1:18" s="7" customFormat="1" x14ac:dyDescent="0.35">
      <c r="A998" s="7">
        <v>61</v>
      </c>
      <c r="B998" s="4" t="s">
        <v>1585</v>
      </c>
      <c r="C998" s="4">
        <v>2024</v>
      </c>
      <c r="D998" s="4" t="s">
        <v>1586</v>
      </c>
      <c r="E998" s="8" t="s">
        <v>1587</v>
      </c>
      <c r="F998" s="7" t="s">
        <v>1588</v>
      </c>
      <c r="G998" s="7" t="s">
        <v>161</v>
      </c>
      <c r="H998" s="7" t="s">
        <v>1589</v>
      </c>
      <c r="I998" s="53">
        <v>56.549523999999998</v>
      </c>
      <c r="J998" s="7">
        <v>-76.555901000000006</v>
      </c>
      <c r="K998" s="7" t="s">
        <v>103</v>
      </c>
      <c r="L998" s="7" t="s">
        <v>163</v>
      </c>
      <c r="M998" s="7" t="s">
        <v>1590</v>
      </c>
      <c r="N998" s="7" t="s">
        <v>1591</v>
      </c>
      <c r="O998" s="7" t="s">
        <v>31</v>
      </c>
      <c r="P998" s="7" t="s">
        <v>1591</v>
      </c>
      <c r="Q998" s="7" t="s">
        <v>31</v>
      </c>
      <c r="R998" s="7" t="s">
        <v>1594</v>
      </c>
    </row>
    <row r="999" spans="1:18" s="7" customFormat="1" x14ac:dyDescent="0.35">
      <c r="A999" s="7">
        <v>61</v>
      </c>
      <c r="B999" s="4" t="s">
        <v>1585</v>
      </c>
      <c r="C999" s="4">
        <v>2024</v>
      </c>
      <c r="D999" s="4" t="s">
        <v>1586</v>
      </c>
      <c r="E999" s="8" t="s">
        <v>1587</v>
      </c>
      <c r="F999" s="7" t="s">
        <v>1588</v>
      </c>
      <c r="G999" s="7" t="s">
        <v>161</v>
      </c>
      <c r="H999" s="7" t="s">
        <v>1589</v>
      </c>
      <c r="I999" s="53">
        <v>56.536265</v>
      </c>
      <c r="J999" s="7">
        <v>-76.630706000000004</v>
      </c>
      <c r="K999" s="7" t="s">
        <v>27</v>
      </c>
      <c r="L999" s="7" t="s">
        <v>163</v>
      </c>
      <c r="M999" s="7" t="s">
        <v>1590</v>
      </c>
      <c r="N999" s="7" t="s">
        <v>1591</v>
      </c>
      <c r="O999" s="7" t="s">
        <v>31</v>
      </c>
      <c r="P999" s="7" t="s">
        <v>1591</v>
      </c>
      <c r="Q999" s="7" t="s">
        <v>31</v>
      </c>
      <c r="R999" s="7" t="s">
        <v>1594</v>
      </c>
    </row>
    <row r="1000" spans="1:18" s="7" customFormat="1" x14ac:dyDescent="0.35">
      <c r="A1000" s="7">
        <v>62</v>
      </c>
      <c r="B1000" s="7" t="s">
        <v>1595</v>
      </c>
      <c r="C1000" s="7">
        <v>2025</v>
      </c>
      <c r="D1000" s="7" t="s">
        <v>1596</v>
      </c>
      <c r="E1000" s="7" t="s">
        <v>1597</v>
      </c>
      <c r="F1000" s="7" t="s">
        <v>1598</v>
      </c>
      <c r="G1000" s="7" t="s">
        <v>86</v>
      </c>
      <c r="H1000" s="7" t="s">
        <v>1599</v>
      </c>
      <c r="I1000" s="7">
        <v>43.289898000000001</v>
      </c>
      <c r="J1000" s="10">
        <v>-79.833894000000001</v>
      </c>
      <c r="K1000" s="7" t="s">
        <v>41</v>
      </c>
      <c r="L1000" s="7" t="s">
        <v>28</v>
      </c>
      <c r="M1000" s="7" t="s">
        <v>1600</v>
      </c>
      <c r="N1000" s="7" t="s">
        <v>1473</v>
      </c>
      <c r="O1000" s="7" t="s">
        <v>31</v>
      </c>
      <c r="P1000" s="7" t="s">
        <v>1473</v>
      </c>
      <c r="Q1000" s="7" t="s">
        <v>31</v>
      </c>
    </row>
    <row r="1001" spans="1:18" s="7" customFormat="1" x14ac:dyDescent="0.35">
      <c r="A1001" s="7">
        <v>63</v>
      </c>
      <c r="B1001" s="7" t="s">
        <v>1603</v>
      </c>
      <c r="C1001" s="7">
        <v>2025</v>
      </c>
      <c r="D1001" s="7" t="s">
        <v>1604</v>
      </c>
      <c r="E1001" s="7" t="s">
        <v>1605</v>
      </c>
      <c r="F1001" s="7" t="s">
        <v>1606</v>
      </c>
      <c r="G1001" s="7" t="s">
        <v>86</v>
      </c>
      <c r="H1001" s="7" t="s">
        <v>1607</v>
      </c>
      <c r="I1001" s="7">
        <v>43.647444</v>
      </c>
      <c r="J1001" s="52">
        <v>-79.521417</v>
      </c>
      <c r="K1001" s="7" t="s">
        <v>27</v>
      </c>
      <c r="L1001" s="7" t="s">
        <v>28</v>
      </c>
      <c r="M1001" s="7" t="s">
        <v>1608</v>
      </c>
      <c r="N1001" s="7" t="s">
        <v>1473</v>
      </c>
      <c r="O1001" s="7" t="s">
        <v>90</v>
      </c>
      <c r="P1001" s="7" t="s">
        <v>1473</v>
      </c>
      <c r="Q1001" s="7" t="s">
        <v>31</v>
      </c>
    </row>
    <row r="1002" spans="1:18" s="7" customFormat="1" x14ac:dyDescent="0.35">
      <c r="A1002" s="7">
        <v>63</v>
      </c>
      <c r="B1002" s="7" t="s">
        <v>1603</v>
      </c>
      <c r="C1002" s="7">
        <v>2025</v>
      </c>
      <c r="D1002" s="7" t="s">
        <v>1604</v>
      </c>
      <c r="E1002" s="7" t="s">
        <v>1605</v>
      </c>
      <c r="F1002" s="7" t="s">
        <v>1606</v>
      </c>
      <c r="G1002" s="7" t="s">
        <v>86</v>
      </c>
      <c r="H1002" s="7" t="s">
        <v>1607</v>
      </c>
      <c r="I1002" s="7">
        <v>43.647444</v>
      </c>
      <c r="J1002" s="52">
        <v>-79.521417</v>
      </c>
      <c r="K1002" s="7" t="s">
        <v>27</v>
      </c>
      <c r="L1002" s="7" t="s">
        <v>28</v>
      </c>
      <c r="M1002" s="7" t="s">
        <v>1608</v>
      </c>
      <c r="N1002" s="7" t="s">
        <v>1473</v>
      </c>
      <c r="O1002" s="7" t="s">
        <v>90</v>
      </c>
      <c r="P1002" s="7" t="s">
        <v>1473</v>
      </c>
      <c r="Q1002" s="7" t="s">
        <v>31</v>
      </c>
    </row>
    <row r="1003" spans="1:18" s="7" customFormat="1" x14ac:dyDescent="0.35">
      <c r="A1003" s="7">
        <v>63</v>
      </c>
      <c r="B1003" s="7" t="s">
        <v>1603</v>
      </c>
      <c r="C1003" s="7">
        <v>2025</v>
      </c>
      <c r="D1003" s="7" t="s">
        <v>1604</v>
      </c>
      <c r="E1003" s="7" t="s">
        <v>1605</v>
      </c>
      <c r="F1003" s="7" t="s">
        <v>1606</v>
      </c>
      <c r="G1003" s="7" t="s">
        <v>86</v>
      </c>
      <c r="H1003" s="7" t="s">
        <v>1607</v>
      </c>
      <c r="I1003" s="7">
        <v>43.658943999999998</v>
      </c>
      <c r="J1003" s="52">
        <v>-79.471610999999996</v>
      </c>
      <c r="K1003" s="7" t="s">
        <v>27</v>
      </c>
      <c r="L1003" s="7" t="s">
        <v>28</v>
      </c>
      <c r="M1003" s="7" t="s">
        <v>1608</v>
      </c>
      <c r="N1003" s="7" t="s">
        <v>1473</v>
      </c>
      <c r="O1003" s="7" t="s">
        <v>90</v>
      </c>
      <c r="P1003" s="7" t="s">
        <v>1473</v>
      </c>
      <c r="Q1003" s="7" t="s">
        <v>31</v>
      </c>
    </row>
    <row r="1004" spans="1:18" s="7" customFormat="1" x14ac:dyDescent="0.35">
      <c r="A1004" s="7">
        <v>63</v>
      </c>
      <c r="B1004" s="7" t="s">
        <v>1603</v>
      </c>
      <c r="C1004" s="7">
        <v>2025</v>
      </c>
      <c r="D1004" s="7" t="s">
        <v>1604</v>
      </c>
      <c r="E1004" s="7" t="s">
        <v>1605</v>
      </c>
      <c r="F1004" s="7" t="s">
        <v>1606</v>
      </c>
      <c r="G1004" s="7" t="s">
        <v>86</v>
      </c>
      <c r="H1004" s="7" t="s">
        <v>1607</v>
      </c>
      <c r="I1004" s="7">
        <v>43.658943999999998</v>
      </c>
      <c r="J1004" s="52">
        <v>-79.471610999999996</v>
      </c>
      <c r="K1004" s="7" t="s">
        <v>27</v>
      </c>
      <c r="L1004" s="7" t="s">
        <v>28</v>
      </c>
      <c r="M1004" s="7" t="s">
        <v>1608</v>
      </c>
      <c r="N1004" s="7" t="s">
        <v>1473</v>
      </c>
      <c r="O1004" s="7" t="s">
        <v>90</v>
      </c>
      <c r="P1004" s="7" t="s">
        <v>1473</v>
      </c>
      <c r="Q1004" s="7" t="s">
        <v>31</v>
      </c>
    </row>
    <row r="1005" spans="1:18" s="7" customFormat="1" x14ac:dyDescent="0.35">
      <c r="A1005" s="7">
        <v>63</v>
      </c>
      <c r="B1005" s="7" t="s">
        <v>1603</v>
      </c>
      <c r="C1005" s="7">
        <v>2025</v>
      </c>
      <c r="D1005" s="7" t="s">
        <v>1604</v>
      </c>
      <c r="E1005" s="7" t="s">
        <v>1605</v>
      </c>
      <c r="F1005" s="7" t="s">
        <v>1606</v>
      </c>
      <c r="G1005" s="7" t="s">
        <v>86</v>
      </c>
      <c r="H1005" s="7" t="s">
        <v>1607</v>
      </c>
      <c r="I1005" s="7">
        <v>43.679749999999999</v>
      </c>
      <c r="J1005" s="52">
        <v>-79.422694000000007</v>
      </c>
      <c r="K1005" s="7" t="s">
        <v>27</v>
      </c>
      <c r="L1005" s="7" t="s">
        <v>28</v>
      </c>
      <c r="M1005" s="7" t="s">
        <v>1608</v>
      </c>
      <c r="N1005" s="7" t="s">
        <v>1473</v>
      </c>
      <c r="O1005" s="7" t="s">
        <v>90</v>
      </c>
      <c r="P1005" s="7" t="s">
        <v>1473</v>
      </c>
      <c r="Q1005" s="7" t="s">
        <v>31</v>
      </c>
    </row>
    <row r="1006" spans="1:18" s="7" customFormat="1" x14ac:dyDescent="0.35">
      <c r="A1006" s="7">
        <v>63</v>
      </c>
      <c r="B1006" s="7" t="s">
        <v>1603</v>
      </c>
      <c r="C1006" s="7">
        <v>2025</v>
      </c>
      <c r="D1006" s="7" t="s">
        <v>1604</v>
      </c>
      <c r="E1006" s="7" t="s">
        <v>1605</v>
      </c>
      <c r="F1006" s="7" t="s">
        <v>1606</v>
      </c>
      <c r="G1006" s="7" t="s">
        <v>86</v>
      </c>
      <c r="H1006" s="7" t="s">
        <v>1607</v>
      </c>
      <c r="I1006" s="7">
        <v>43.661541</v>
      </c>
      <c r="J1006" s="52">
        <v>-79.395093000000003</v>
      </c>
      <c r="K1006" s="7" t="s">
        <v>27</v>
      </c>
      <c r="L1006" s="7" t="s">
        <v>28</v>
      </c>
      <c r="M1006" s="7" t="s">
        <v>1608</v>
      </c>
      <c r="N1006" s="7" t="s">
        <v>1473</v>
      </c>
      <c r="O1006" s="7" t="s">
        <v>90</v>
      </c>
      <c r="P1006" s="7" t="s">
        <v>1473</v>
      </c>
      <c r="Q1006" s="7" t="s">
        <v>31</v>
      </c>
    </row>
    <row r="1007" spans="1:18" s="7" customFormat="1" x14ac:dyDescent="0.35">
      <c r="A1007" s="7">
        <v>63</v>
      </c>
      <c r="B1007" s="7" t="s">
        <v>1603</v>
      </c>
      <c r="C1007" s="7">
        <v>2025</v>
      </c>
      <c r="D1007" s="7" t="s">
        <v>1604</v>
      </c>
      <c r="E1007" s="7" t="s">
        <v>1605</v>
      </c>
      <c r="F1007" s="7" t="s">
        <v>1606</v>
      </c>
      <c r="G1007" s="7" t="s">
        <v>86</v>
      </c>
      <c r="H1007" s="7" t="s">
        <v>1607</v>
      </c>
      <c r="I1007" s="7">
        <v>43.669305999999999</v>
      </c>
      <c r="J1007" s="52">
        <v>-79.362471999999997</v>
      </c>
      <c r="K1007" s="7" t="s">
        <v>27</v>
      </c>
      <c r="L1007" s="7" t="s">
        <v>28</v>
      </c>
      <c r="M1007" s="7" t="s">
        <v>1608</v>
      </c>
      <c r="N1007" s="7" t="s">
        <v>1473</v>
      </c>
      <c r="O1007" s="7" t="s">
        <v>90</v>
      </c>
      <c r="P1007" s="7" t="s">
        <v>1473</v>
      </c>
      <c r="Q1007" s="7" t="s">
        <v>31</v>
      </c>
    </row>
    <row r="1008" spans="1:18" s="7" customFormat="1" x14ac:dyDescent="0.35">
      <c r="A1008" s="7">
        <v>63</v>
      </c>
      <c r="B1008" s="7" t="s">
        <v>1603</v>
      </c>
      <c r="C1008" s="7">
        <v>2025</v>
      </c>
      <c r="D1008" s="7" t="s">
        <v>1604</v>
      </c>
      <c r="E1008" s="7" t="s">
        <v>1605</v>
      </c>
      <c r="F1008" s="7" t="s">
        <v>1606</v>
      </c>
      <c r="G1008" s="7" t="s">
        <v>86</v>
      </c>
      <c r="H1008" s="7" t="s">
        <v>1607</v>
      </c>
      <c r="I1008" s="7">
        <v>43.677999999999997</v>
      </c>
      <c r="J1008" s="52">
        <v>-79.325843000000006</v>
      </c>
      <c r="K1008" s="7" t="s">
        <v>27</v>
      </c>
      <c r="L1008" s="7" t="s">
        <v>28</v>
      </c>
      <c r="M1008" s="7" t="s">
        <v>1608</v>
      </c>
      <c r="N1008" s="7" t="s">
        <v>1473</v>
      </c>
      <c r="O1008" s="7" t="s">
        <v>90</v>
      </c>
      <c r="P1008" s="7" t="s">
        <v>1473</v>
      </c>
      <c r="Q1008" s="7" t="s">
        <v>31</v>
      </c>
    </row>
    <row r="1009" spans="1:17" s="7" customFormat="1" x14ac:dyDescent="0.35">
      <c r="A1009" s="7">
        <v>63</v>
      </c>
      <c r="B1009" s="7" t="s">
        <v>1603</v>
      </c>
      <c r="C1009" s="7">
        <v>2025</v>
      </c>
      <c r="D1009" s="7" t="s">
        <v>1604</v>
      </c>
      <c r="E1009" s="7" t="s">
        <v>1605</v>
      </c>
      <c r="F1009" s="7" t="s">
        <v>1606</v>
      </c>
      <c r="G1009" s="7" t="s">
        <v>86</v>
      </c>
      <c r="H1009" s="7" t="s">
        <v>1607</v>
      </c>
      <c r="I1009" s="7">
        <v>43.710417</v>
      </c>
      <c r="J1009" s="52">
        <v>-79.253305999999995</v>
      </c>
      <c r="K1009" s="7" t="s">
        <v>27</v>
      </c>
      <c r="L1009" s="7" t="s">
        <v>28</v>
      </c>
      <c r="M1009" s="7" t="s">
        <v>1608</v>
      </c>
      <c r="N1009" s="7" t="s">
        <v>1473</v>
      </c>
      <c r="O1009" s="7" t="s">
        <v>90</v>
      </c>
      <c r="P1009" s="7" t="s">
        <v>1473</v>
      </c>
      <c r="Q1009" s="7" t="s">
        <v>31</v>
      </c>
    </row>
    <row r="1010" spans="1:17" s="7" customFormat="1" x14ac:dyDescent="0.35">
      <c r="A1010" s="7">
        <v>63</v>
      </c>
      <c r="B1010" s="7" t="s">
        <v>1603</v>
      </c>
      <c r="C1010" s="7">
        <v>2025</v>
      </c>
      <c r="D1010" s="7" t="s">
        <v>1604</v>
      </c>
      <c r="E1010" s="7" t="s">
        <v>1605</v>
      </c>
      <c r="F1010" s="7" t="s">
        <v>1606</v>
      </c>
      <c r="G1010" s="7" t="s">
        <v>86</v>
      </c>
      <c r="H1010" s="7" t="s">
        <v>1607</v>
      </c>
      <c r="I1010" s="7">
        <v>44.231623999999996</v>
      </c>
      <c r="J1010" s="52">
        <v>-79.781137999999999</v>
      </c>
      <c r="K1010" s="7" t="s">
        <v>27</v>
      </c>
      <c r="L1010" s="7" t="s">
        <v>28</v>
      </c>
      <c r="M1010" s="7" t="s">
        <v>1608</v>
      </c>
      <c r="N1010" s="7" t="s">
        <v>1473</v>
      </c>
      <c r="O1010" s="7" t="s">
        <v>90</v>
      </c>
      <c r="P1010" s="7" t="s">
        <v>1473</v>
      </c>
      <c r="Q1010" s="7" t="s">
        <v>31</v>
      </c>
    </row>
    <row r="1011" spans="1:17" s="7" customFormat="1" x14ac:dyDescent="0.35">
      <c r="A1011" s="7">
        <v>63</v>
      </c>
      <c r="B1011" s="7" t="s">
        <v>1603</v>
      </c>
      <c r="C1011" s="7">
        <v>2025</v>
      </c>
      <c r="D1011" s="7" t="s">
        <v>1604</v>
      </c>
      <c r="E1011" s="7" t="s">
        <v>1605</v>
      </c>
      <c r="F1011" s="7" t="s">
        <v>1606</v>
      </c>
      <c r="G1011" s="7" t="s">
        <v>86</v>
      </c>
      <c r="H1011" s="7" t="s">
        <v>1607</v>
      </c>
      <c r="I1011" s="7">
        <v>44.035972000000001</v>
      </c>
      <c r="J1011" s="52">
        <v>-79.456638999999996</v>
      </c>
      <c r="K1011" s="7" t="s">
        <v>27</v>
      </c>
      <c r="L1011" s="7" t="s">
        <v>28</v>
      </c>
      <c r="M1011" s="7" t="s">
        <v>1608</v>
      </c>
      <c r="N1011" s="7" t="s">
        <v>1473</v>
      </c>
      <c r="O1011" s="7" t="s">
        <v>90</v>
      </c>
      <c r="P1011" s="7" t="s">
        <v>1473</v>
      </c>
      <c r="Q1011" s="7" t="s">
        <v>31</v>
      </c>
    </row>
    <row r="1012" spans="1:17" s="7" customFormat="1" x14ac:dyDescent="0.35">
      <c r="A1012" s="7">
        <v>63</v>
      </c>
      <c r="B1012" s="7" t="s">
        <v>1603</v>
      </c>
      <c r="C1012" s="7">
        <v>2025</v>
      </c>
      <c r="D1012" s="7" t="s">
        <v>1604</v>
      </c>
      <c r="E1012" s="7" t="s">
        <v>1605</v>
      </c>
      <c r="F1012" s="7" t="s">
        <v>1606</v>
      </c>
      <c r="G1012" s="7" t="s">
        <v>86</v>
      </c>
      <c r="H1012" s="7" t="s">
        <v>1607</v>
      </c>
      <c r="I1012" s="7">
        <v>43.810833000000002</v>
      </c>
      <c r="J1012" s="52">
        <v>-79.413055999999997</v>
      </c>
      <c r="K1012" s="7" t="s">
        <v>27</v>
      </c>
      <c r="L1012" s="7" t="s">
        <v>28</v>
      </c>
      <c r="M1012" s="7" t="s">
        <v>1608</v>
      </c>
      <c r="N1012" s="7" t="s">
        <v>1473</v>
      </c>
      <c r="O1012" s="7" t="s">
        <v>90</v>
      </c>
      <c r="P1012" s="7" t="s">
        <v>1473</v>
      </c>
      <c r="Q1012" s="7" t="s">
        <v>31</v>
      </c>
    </row>
    <row r="1013" spans="1:17" s="7" customFormat="1" x14ac:dyDescent="0.35">
      <c r="A1013" s="7">
        <v>63</v>
      </c>
      <c r="B1013" s="7" t="s">
        <v>1603</v>
      </c>
      <c r="C1013" s="7">
        <v>2025</v>
      </c>
      <c r="D1013" s="7" t="s">
        <v>1604</v>
      </c>
      <c r="E1013" s="7" t="s">
        <v>1605</v>
      </c>
      <c r="F1013" s="7" t="s">
        <v>1606</v>
      </c>
      <c r="G1013" s="7" t="s">
        <v>86</v>
      </c>
      <c r="H1013" s="7" t="s">
        <v>1607</v>
      </c>
      <c r="I1013" s="7">
        <v>43.766528000000001</v>
      </c>
      <c r="J1013" s="52">
        <v>-79.406750000000002</v>
      </c>
      <c r="K1013" s="7" t="s">
        <v>27</v>
      </c>
      <c r="L1013" s="7" t="s">
        <v>28</v>
      </c>
      <c r="M1013" s="7" t="s">
        <v>1608</v>
      </c>
      <c r="N1013" s="7" t="s">
        <v>1473</v>
      </c>
      <c r="O1013" s="7" t="s">
        <v>90</v>
      </c>
      <c r="P1013" s="7" t="s">
        <v>1473</v>
      </c>
      <c r="Q1013" s="7" t="s">
        <v>31</v>
      </c>
    </row>
    <row r="1014" spans="1:17" s="7" customFormat="1" x14ac:dyDescent="0.35">
      <c r="A1014" s="7">
        <v>63</v>
      </c>
      <c r="B1014" s="7" t="s">
        <v>1603</v>
      </c>
      <c r="C1014" s="7">
        <v>2025</v>
      </c>
      <c r="D1014" s="7" t="s">
        <v>1604</v>
      </c>
      <c r="E1014" s="7" t="s">
        <v>1605</v>
      </c>
      <c r="F1014" s="7" t="s">
        <v>1606</v>
      </c>
      <c r="G1014" s="7" t="s">
        <v>86</v>
      </c>
      <c r="H1014" s="7" t="s">
        <v>1607</v>
      </c>
      <c r="I1014" s="7">
        <v>43.722805999999999</v>
      </c>
      <c r="J1014" s="52">
        <v>-79.400917000000007</v>
      </c>
      <c r="K1014" s="7" t="s">
        <v>27</v>
      </c>
      <c r="L1014" s="7" t="s">
        <v>28</v>
      </c>
      <c r="M1014" s="7" t="s">
        <v>1608</v>
      </c>
      <c r="N1014" s="7" t="s">
        <v>1473</v>
      </c>
      <c r="O1014" s="7" t="s">
        <v>90</v>
      </c>
      <c r="P1014" s="7" t="s">
        <v>1473</v>
      </c>
      <c r="Q1014" s="7" t="s">
        <v>31</v>
      </c>
    </row>
    <row r="1015" spans="1:17" s="7" customFormat="1" x14ac:dyDescent="0.35">
      <c r="A1015" s="7">
        <v>63</v>
      </c>
      <c r="B1015" s="7" t="s">
        <v>1603</v>
      </c>
      <c r="C1015" s="7">
        <v>2025</v>
      </c>
      <c r="D1015" s="7" t="s">
        <v>1604</v>
      </c>
      <c r="E1015" s="7" t="s">
        <v>1605</v>
      </c>
      <c r="F1015" s="7" t="s">
        <v>1606</v>
      </c>
      <c r="G1015" s="7" t="s">
        <v>86</v>
      </c>
      <c r="H1015" s="7" t="s">
        <v>1607</v>
      </c>
      <c r="I1015" s="7">
        <v>43.685110999999999</v>
      </c>
      <c r="J1015" s="52">
        <v>-79.388722000000001</v>
      </c>
      <c r="K1015" s="7" t="s">
        <v>27</v>
      </c>
      <c r="L1015" s="7" t="s">
        <v>28</v>
      </c>
      <c r="M1015" s="7" t="s">
        <v>1608</v>
      </c>
      <c r="N1015" s="7" t="s">
        <v>1473</v>
      </c>
      <c r="O1015" s="7" t="s">
        <v>90</v>
      </c>
      <c r="P1015" s="7" t="s">
        <v>1473</v>
      </c>
      <c r="Q1015" s="7" t="s">
        <v>31</v>
      </c>
    </row>
    <row r="1016" spans="1:17" s="7" customFormat="1" x14ac:dyDescent="0.35">
      <c r="A1016" s="7">
        <v>63</v>
      </c>
      <c r="B1016" s="7" t="s">
        <v>1603</v>
      </c>
      <c r="C1016" s="7">
        <v>2025</v>
      </c>
      <c r="D1016" s="7" t="s">
        <v>1604</v>
      </c>
      <c r="E1016" s="7" t="s">
        <v>1605</v>
      </c>
      <c r="F1016" s="7" t="s">
        <v>1606</v>
      </c>
      <c r="G1016" s="7" t="s">
        <v>86</v>
      </c>
      <c r="H1016" s="7" t="s">
        <v>1607</v>
      </c>
      <c r="I1016" s="7">
        <v>43.685110999999999</v>
      </c>
      <c r="J1016" s="52">
        <v>-79.388722000000001</v>
      </c>
      <c r="K1016" s="7" t="s">
        <v>27</v>
      </c>
      <c r="L1016" s="7" t="s">
        <v>28</v>
      </c>
      <c r="M1016" s="7" t="s">
        <v>1608</v>
      </c>
      <c r="N1016" s="7" t="s">
        <v>1473</v>
      </c>
      <c r="O1016" s="7" t="s">
        <v>90</v>
      </c>
      <c r="P1016" s="7" t="s">
        <v>1473</v>
      </c>
      <c r="Q1016" s="7" t="s">
        <v>31</v>
      </c>
    </row>
    <row r="1017" spans="1:17" s="7" customFormat="1" x14ac:dyDescent="0.35">
      <c r="A1017" s="7">
        <v>63</v>
      </c>
      <c r="B1017" s="7" t="s">
        <v>1603</v>
      </c>
      <c r="C1017" s="7">
        <v>2025</v>
      </c>
      <c r="D1017" s="7" t="s">
        <v>1604</v>
      </c>
      <c r="E1017" s="7" t="s">
        <v>1605</v>
      </c>
      <c r="F1017" s="7" t="s">
        <v>1606</v>
      </c>
      <c r="G1017" s="7" t="s">
        <v>1610</v>
      </c>
      <c r="H1017" s="7" t="s">
        <v>1611</v>
      </c>
      <c r="I1017" s="7">
        <v>61.342500000000001</v>
      </c>
      <c r="J1017" s="10">
        <v>-135.6524</v>
      </c>
      <c r="K1017" s="7" t="s">
        <v>27</v>
      </c>
      <c r="L1017" s="7" t="s">
        <v>28</v>
      </c>
      <c r="M1017" s="7" t="s">
        <v>1608</v>
      </c>
      <c r="N1017" s="7" t="s">
        <v>1473</v>
      </c>
      <c r="O1017" s="7" t="s">
        <v>90</v>
      </c>
      <c r="P1017" s="7" t="s">
        <v>1473</v>
      </c>
      <c r="Q1017" s="7" t="s">
        <v>31</v>
      </c>
    </row>
    <row r="1018" spans="1:17" s="7" customFormat="1" x14ac:dyDescent="0.35">
      <c r="A1018" s="7">
        <v>63</v>
      </c>
      <c r="B1018" s="7" t="s">
        <v>1603</v>
      </c>
      <c r="C1018" s="7">
        <v>2025</v>
      </c>
      <c r="D1018" s="7" t="s">
        <v>1604</v>
      </c>
      <c r="E1018" s="7" t="s">
        <v>1605</v>
      </c>
      <c r="F1018" s="7" t="s">
        <v>1606</v>
      </c>
      <c r="G1018" s="7" t="s">
        <v>1610</v>
      </c>
      <c r="H1018" s="7" t="s">
        <v>1611</v>
      </c>
      <c r="I1018" s="7">
        <v>61.342500000000001</v>
      </c>
      <c r="J1018" s="10">
        <v>-135.6524</v>
      </c>
      <c r="K1018" s="7" t="s">
        <v>27</v>
      </c>
      <c r="L1018" s="7" t="s">
        <v>28</v>
      </c>
      <c r="M1018" s="7" t="s">
        <v>1608</v>
      </c>
      <c r="N1018" s="7" t="s">
        <v>1473</v>
      </c>
      <c r="O1018" s="7" t="s">
        <v>90</v>
      </c>
      <c r="P1018" s="7" t="s">
        <v>1473</v>
      </c>
      <c r="Q1018" s="7" t="s">
        <v>31</v>
      </c>
    </row>
    <row r="1019" spans="1:17" s="7" customFormat="1" x14ac:dyDescent="0.35">
      <c r="A1019" s="7">
        <v>63</v>
      </c>
      <c r="B1019" s="7" t="s">
        <v>1603</v>
      </c>
      <c r="C1019" s="7">
        <v>2025</v>
      </c>
      <c r="D1019" s="7" t="s">
        <v>1604</v>
      </c>
      <c r="E1019" s="7" t="s">
        <v>1605</v>
      </c>
      <c r="F1019" s="7" t="s">
        <v>1606</v>
      </c>
      <c r="G1019" s="7" t="s">
        <v>1610</v>
      </c>
      <c r="H1019" s="7" t="s">
        <v>1611</v>
      </c>
      <c r="I1019" s="7">
        <v>61.342500000000001</v>
      </c>
      <c r="J1019" s="10">
        <v>-135.6524</v>
      </c>
      <c r="K1019" s="7" t="s">
        <v>27</v>
      </c>
      <c r="L1019" s="7" t="s">
        <v>28</v>
      </c>
      <c r="M1019" s="7" t="s">
        <v>1608</v>
      </c>
      <c r="N1019" s="7" t="s">
        <v>1473</v>
      </c>
      <c r="O1019" s="7" t="s">
        <v>90</v>
      </c>
      <c r="P1019" s="7" t="s">
        <v>1473</v>
      </c>
      <c r="Q1019" s="7" t="s">
        <v>31</v>
      </c>
    </row>
    <row r="1020" spans="1:17" s="7" customFormat="1" x14ac:dyDescent="0.35">
      <c r="A1020" s="7">
        <v>63</v>
      </c>
      <c r="B1020" s="7" t="s">
        <v>1603</v>
      </c>
      <c r="C1020" s="7">
        <v>2025</v>
      </c>
      <c r="D1020" s="7" t="s">
        <v>1604</v>
      </c>
      <c r="E1020" s="7" t="s">
        <v>1605</v>
      </c>
      <c r="F1020" s="7" t="s">
        <v>1606</v>
      </c>
      <c r="G1020" s="7" t="s">
        <v>1610</v>
      </c>
      <c r="H1020" s="7" t="s">
        <v>1611</v>
      </c>
      <c r="I1020" s="7">
        <v>61.342500000000001</v>
      </c>
      <c r="J1020" s="10">
        <v>-135.6524</v>
      </c>
      <c r="K1020" s="7" t="s">
        <v>27</v>
      </c>
      <c r="L1020" s="7" t="s">
        <v>28</v>
      </c>
      <c r="M1020" s="7" t="s">
        <v>1608</v>
      </c>
      <c r="N1020" s="7" t="s">
        <v>1473</v>
      </c>
      <c r="O1020" s="7" t="s">
        <v>90</v>
      </c>
      <c r="P1020" s="7" t="s">
        <v>1473</v>
      </c>
      <c r="Q1020" s="7" t="s">
        <v>31</v>
      </c>
    </row>
    <row r="1021" spans="1:17" s="7" customFormat="1" x14ac:dyDescent="0.35">
      <c r="A1021" s="7">
        <v>63</v>
      </c>
      <c r="B1021" s="7" t="s">
        <v>1603</v>
      </c>
      <c r="C1021" s="7">
        <v>2025</v>
      </c>
      <c r="D1021" s="7" t="s">
        <v>1604</v>
      </c>
      <c r="E1021" s="7" t="s">
        <v>1605</v>
      </c>
      <c r="F1021" s="7" t="s">
        <v>1606</v>
      </c>
      <c r="G1021" s="7" t="s">
        <v>1610</v>
      </c>
      <c r="H1021" s="7" t="s">
        <v>1611</v>
      </c>
      <c r="I1021" s="7">
        <v>61.342500000000001</v>
      </c>
      <c r="J1021" s="10">
        <v>-135.6524</v>
      </c>
      <c r="K1021" s="7" t="s">
        <v>27</v>
      </c>
      <c r="L1021" s="7" t="s">
        <v>28</v>
      </c>
      <c r="M1021" s="7" t="s">
        <v>1608</v>
      </c>
      <c r="N1021" s="7" t="s">
        <v>1473</v>
      </c>
      <c r="O1021" s="7" t="s">
        <v>90</v>
      </c>
      <c r="P1021" s="7" t="s">
        <v>1473</v>
      </c>
      <c r="Q1021" s="7" t="s">
        <v>31</v>
      </c>
    </row>
    <row r="1022" spans="1:17" s="7" customFormat="1" x14ac:dyDescent="0.35">
      <c r="A1022" s="7">
        <v>63</v>
      </c>
      <c r="B1022" s="7" t="s">
        <v>1603</v>
      </c>
      <c r="C1022" s="7">
        <v>2025</v>
      </c>
      <c r="D1022" s="7" t="s">
        <v>1604</v>
      </c>
      <c r="E1022" s="7" t="s">
        <v>1605</v>
      </c>
      <c r="F1022" s="7" t="s">
        <v>1606</v>
      </c>
      <c r="G1022" s="7" t="s">
        <v>1610</v>
      </c>
      <c r="H1022" s="7" t="s">
        <v>1611</v>
      </c>
      <c r="I1022" s="7">
        <v>61.342500000000001</v>
      </c>
      <c r="J1022" s="10">
        <v>-135.6524</v>
      </c>
      <c r="K1022" s="7" t="s">
        <v>27</v>
      </c>
      <c r="L1022" s="7" t="s">
        <v>28</v>
      </c>
      <c r="M1022" s="7" t="s">
        <v>1608</v>
      </c>
      <c r="N1022" s="7" t="s">
        <v>1473</v>
      </c>
      <c r="O1022" s="7" t="s">
        <v>90</v>
      </c>
      <c r="P1022" s="7" t="s">
        <v>1473</v>
      </c>
      <c r="Q1022" s="7" t="s">
        <v>31</v>
      </c>
    </row>
    <row r="1023" spans="1:17" s="7" customFormat="1" x14ac:dyDescent="0.35">
      <c r="A1023" s="7">
        <v>63</v>
      </c>
      <c r="B1023" s="7" t="s">
        <v>1603</v>
      </c>
      <c r="C1023" s="7">
        <v>2025</v>
      </c>
      <c r="D1023" s="7" t="s">
        <v>1604</v>
      </c>
      <c r="E1023" s="7" t="s">
        <v>1605</v>
      </c>
      <c r="F1023" s="7" t="s">
        <v>1606</v>
      </c>
      <c r="G1023" s="7" t="s">
        <v>1610</v>
      </c>
      <c r="H1023" s="7" t="s">
        <v>1612</v>
      </c>
      <c r="I1023" s="7">
        <v>60.15878</v>
      </c>
      <c r="J1023" s="10">
        <v>-134.68580499999999</v>
      </c>
      <c r="K1023" s="7" t="s">
        <v>27</v>
      </c>
      <c r="L1023" s="7" t="s">
        <v>28</v>
      </c>
      <c r="M1023" s="7" t="s">
        <v>1608</v>
      </c>
      <c r="N1023" s="7" t="s">
        <v>1473</v>
      </c>
      <c r="O1023" s="7" t="s">
        <v>90</v>
      </c>
      <c r="P1023" s="7" t="s">
        <v>1473</v>
      </c>
      <c r="Q1023" s="7" t="s">
        <v>31</v>
      </c>
    </row>
    <row r="1024" spans="1:17" s="7" customFormat="1" x14ac:dyDescent="0.35">
      <c r="A1024" s="7">
        <v>63</v>
      </c>
      <c r="B1024" s="7" t="s">
        <v>1603</v>
      </c>
      <c r="C1024" s="7">
        <v>2025</v>
      </c>
      <c r="D1024" s="7" t="s">
        <v>1604</v>
      </c>
      <c r="E1024" s="7" t="s">
        <v>1605</v>
      </c>
      <c r="F1024" s="7" t="s">
        <v>1606</v>
      </c>
      <c r="G1024" s="7" t="s">
        <v>1610</v>
      </c>
      <c r="H1024" s="7" t="s">
        <v>1612</v>
      </c>
      <c r="I1024" s="7">
        <v>60.164495000000002</v>
      </c>
      <c r="J1024" s="10">
        <v>-134.70844199999999</v>
      </c>
      <c r="K1024" s="7" t="s">
        <v>27</v>
      </c>
      <c r="L1024" s="7" t="s">
        <v>28</v>
      </c>
      <c r="M1024" s="7" t="s">
        <v>1608</v>
      </c>
      <c r="N1024" s="7" t="s">
        <v>1473</v>
      </c>
      <c r="O1024" s="7" t="s">
        <v>90</v>
      </c>
      <c r="P1024" s="7" t="s">
        <v>1473</v>
      </c>
      <c r="Q1024" s="7" t="s">
        <v>31</v>
      </c>
    </row>
    <row r="1025" spans="1:17" s="7" customFormat="1" x14ac:dyDescent="0.35">
      <c r="A1025" s="7">
        <v>63</v>
      </c>
      <c r="B1025" s="7" t="s">
        <v>1603</v>
      </c>
      <c r="C1025" s="7">
        <v>2025</v>
      </c>
      <c r="D1025" s="7" t="s">
        <v>1604</v>
      </c>
      <c r="E1025" s="7" t="s">
        <v>1605</v>
      </c>
      <c r="F1025" s="7" t="s">
        <v>1606</v>
      </c>
      <c r="G1025" s="7" t="s">
        <v>1610</v>
      </c>
      <c r="H1025" s="7" t="s">
        <v>1612</v>
      </c>
      <c r="I1025" s="7">
        <v>60.164495000000002</v>
      </c>
      <c r="J1025" s="10">
        <v>-134.70844199999999</v>
      </c>
      <c r="K1025" s="7" t="s">
        <v>27</v>
      </c>
      <c r="L1025" s="7" t="s">
        <v>28</v>
      </c>
      <c r="M1025" s="7" t="s">
        <v>1608</v>
      </c>
      <c r="N1025" s="7" t="s">
        <v>1473</v>
      </c>
      <c r="O1025" s="7" t="s">
        <v>90</v>
      </c>
      <c r="P1025" s="7" t="s">
        <v>1473</v>
      </c>
      <c r="Q1025" s="7" t="s">
        <v>31</v>
      </c>
    </row>
    <row r="1026" spans="1:17" s="7" customFormat="1" x14ac:dyDescent="0.35">
      <c r="A1026" s="7">
        <v>63</v>
      </c>
      <c r="B1026" s="7" t="s">
        <v>1603</v>
      </c>
      <c r="C1026" s="7">
        <v>2025</v>
      </c>
      <c r="D1026" s="7" t="s">
        <v>1604</v>
      </c>
      <c r="E1026" s="7" t="s">
        <v>1605</v>
      </c>
      <c r="F1026" s="7" t="s">
        <v>1606</v>
      </c>
      <c r="G1026" s="7" t="s">
        <v>1610</v>
      </c>
      <c r="H1026" s="7" t="s">
        <v>1612</v>
      </c>
      <c r="I1026" s="7">
        <v>60.164495000000002</v>
      </c>
      <c r="J1026" s="10">
        <v>-134.70844199999999</v>
      </c>
      <c r="K1026" s="7" t="s">
        <v>27</v>
      </c>
      <c r="L1026" s="7" t="s">
        <v>28</v>
      </c>
      <c r="M1026" s="7" t="s">
        <v>1608</v>
      </c>
      <c r="N1026" s="7" t="s">
        <v>1473</v>
      </c>
      <c r="O1026" s="7" t="s">
        <v>90</v>
      </c>
      <c r="P1026" s="7" t="s">
        <v>1473</v>
      </c>
      <c r="Q1026" s="7" t="s">
        <v>31</v>
      </c>
    </row>
    <row r="1027" spans="1:17" s="7" customFormat="1" x14ac:dyDescent="0.35">
      <c r="A1027" s="7">
        <v>63</v>
      </c>
      <c r="B1027" s="7" t="s">
        <v>1603</v>
      </c>
      <c r="C1027" s="7">
        <v>2025</v>
      </c>
      <c r="D1027" s="7" t="s">
        <v>1604</v>
      </c>
      <c r="E1027" s="7" t="s">
        <v>1605</v>
      </c>
      <c r="F1027" s="7" t="s">
        <v>1606</v>
      </c>
      <c r="G1027" s="7" t="s">
        <v>1610</v>
      </c>
      <c r="H1027" s="7" t="s">
        <v>1612</v>
      </c>
      <c r="I1027" s="7">
        <v>60.185268999999998</v>
      </c>
      <c r="J1027" s="10">
        <v>-134.70009400000001</v>
      </c>
      <c r="K1027" s="7" t="s">
        <v>27</v>
      </c>
      <c r="L1027" s="7" t="s">
        <v>28</v>
      </c>
      <c r="M1027" s="7" t="s">
        <v>1608</v>
      </c>
      <c r="N1027" s="7" t="s">
        <v>1473</v>
      </c>
      <c r="O1027" s="7" t="s">
        <v>90</v>
      </c>
      <c r="P1027" s="7" t="s">
        <v>1473</v>
      </c>
      <c r="Q1027" s="7" t="s">
        <v>31</v>
      </c>
    </row>
    <row r="1028" spans="1:17" s="7" customFormat="1" x14ac:dyDescent="0.35">
      <c r="A1028" s="7">
        <v>63</v>
      </c>
      <c r="B1028" s="7" t="s">
        <v>1603</v>
      </c>
      <c r="C1028" s="7">
        <v>2025</v>
      </c>
      <c r="D1028" s="7" t="s">
        <v>1604</v>
      </c>
      <c r="E1028" s="7" t="s">
        <v>1605</v>
      </c>
      <c r="F1028" s="7" t="s">
        <v>1606</v>
      </c>
      <c r="G1028" s="7" t="s">
        <v>1610</v>
      </c>
      <c r="H1028" s="7" t="s">
        <v>1612</v>
      </c>
      <c r="I1028" s="7">
        <v>60.185268999999998</v>
      </c>
      <c r="J1028" s="10">
        <v>-134.70009400000001</v>
      </c>
      <c r="K1028" s="7" t="s">
        <v>27</v>
      </c>
      <c r="L1028" s="7" t="s">
        <v>28</v>
      </c>
      <c r="M1028" s="7" t="s">
        <v>1608</v>
      </c>
      <c r="N1028" s="7" t="s">
        <v>1473</v>
      </c>
      <c r="O1028" s="7" t="s">
        <v>90</v>
      </c>
      <c r="P1028" s="7" t="s">
        <v>1473</v>
      </c>
      <c r="Q1028" s="7" t="s">
        <v>31</v>
      </c>
    </row>
    <row r="1029" spans="1:17" s="7" customFormat="1" x14ac:dyDescent="0.35">
      <c r="A1029" s="7">
        <v>63</v>
      </c>
      <c r="B1029" s="7" t="s">
        <v>1603</v>
      </c>
      <c r="C1029" s="7">
        <v>2025</v>
      </c>
      <c r="D1029" s="7" t="s">
        <v>1604</v>
      </c>
      <c r="E1029" s="7" t="s">
        <v>1605</v>
      </c>
      <c r="F1029" s="7" t="s">
        <v>1606</v>
      </c>
      <c r="G1029" s="7" t="s">
        <v>1610</v>
      </c>
      <c r="H1029" s="7" t="s">
        <v>1612</v>
      </c>
      <c r="I1029" s="7">
        <v>60.185268999999998</v>
      </c>
      <c r="J1029" s="10">
        <v>-134.70009400000001</v>
      </c>
      <c r="K1029" s="7" t="s">
        <v>27</v>
      </c>
      <c r="L1029" s="7" t="s">
        <v>28</v>
      </c>
      <c r="M1029" s="7" t="s">
        <v>1608</v>
      </c>
      <c r="N1029" s="7" t="s">
        <v>1473</v>
      </c>
      <c r="O1029" s="7" t="s">
        <v>90</v>
      </c>
      <c r="P1029" s="7" t="s">
        <v>1473</v>
      </c>
      <c r="Q1029" s="7" t="s">
        <v>31</v>
      </c>
    </row>
    <row r="1030" spans="1:17" s="7" customFormat="1" x14ac:dyDescent="0.35">
      <c r="A1030" s="7">
        <v>63</v>
      </c>
      <c r="B1030" s="7" t="s">
        <v>1603</v>
      </c>
      <c r="C1030" s="7">
        <v>2025</v>
      </c>
      <c r="D1030" s="7" t="s">
        <v>1604</v>
      </c>
      <c r="E1030" s="7" t="s">
        <v>1605</v>
      </c>
      <c r="F1030" s="7" t="s">
        <v>1606</v>
      </c>
      <c r="G1030" s="7" t="s">
        <v>1610</v>
      </c>
      <c r="H1030" s="7" t="s">
        <v>1612</v>
      </c>
      <c r="I1030" s="7">
        <v>60.15878</v>
      </c>
      <c r="J1030" s="10">
        <v>-134.68580499999999</v>
      </c>
      <c r="K1030" s="7" t="s">
        <v>27</v>
      </c>
      <c r="L1030" s="7" t="s">
        <v>28</v>
      </c>
      <c r="M1030" s="7" t="s">
        <v>1608</v>
      </c>
      <c r="N1030" s="7" t="s">
        <v>1473</v>
      </c>
      <c r="O1030" s="7" t="s">
        <v>90</v>
      </c>
      <c r="P1030" s="7" t="s">
        <v>1473</v>
      </c>
      <c r="Q1030" s="7" t="s">
        <v>31</v>
      </c>
    </row>
    <row r="1031" spans="1:17" s="7" customFormat="1" x14ac:dyDescent="0.35">
      <c r="A1031" s="7">
        <v>63</v>
      </c>
      <c r="B1031" s="7" t="s">
        <v>1603</v>
      </c>
      <c r="C1031" s="7">
        <v>2025</v>
      </c>
      <c r="D1031" s="7" t="s">
        <v>1604</v>
      </c>
      <c r="E1031" s="7" t="s">
        <v>1605</v>
      </c>
      <c r="F1031" s="7" t="s">
        <v>1606</v>
      </c>
      <c r="G1031" s="7" t="s">
        <v>1610</v>
      </c>
      <c r="H1031" s="7" t="s">
        <v>1612</v>
      </c>
      <c r="I1031" s="7">
        <v>60.15878</v>
      </c>
      <c r="J1031" s="10">
        <v>-134.68580499999999</v>
      </c>
      <c r="K1031" s="7" t="s">
        <v>27</v>
      </c>
      <c r="L1031" s="7" t="s">
        <v>28</v>
      </c>
      <c r="M1031" s="7" t="s">
        <v>1608</v>
      </c>
      <c r="N1031" s="7" t="s">
        <v>1473</v>
      </c>
      <c r="O1031" s="7" t="s">
        <v>90</v>
      </c>
      <c r="P1031" s="7" t="s">
        <v>1473</v>
      </c>
      <c r="Q1031" s="7" t="s">
        <v>31</v>
      </c>
    </row>
    <row r="1032" spans="1:17" s="7" customFormat="1" x14ac:dyDescent="0.35">
      <c r="A1032" s="7">
        <v>63</v>
      </c>
      <c r="B1032" s="7" t="s">
        <v>1603</v>
      </c>
      <c r="C1032" s="7">
        <v>2025</v>
      </c>
      <c r="D1032" s="7" t="s">
        <v>1604</v>
      </c>
      <c r="E1032" s="7" t="s">
        <v>1605</v>
      </c>
      <c r="F1032" s="7" t="s">
        <v>1606</v>
      </c>
      <c r="G1032" s="7" t="s">
        <v>1610</v>
      </c>
      <c r="H1032" s="7" t="s">
        <v>1612</v>
      </c>
      <c r="I1032" s="7">
        <v>60.185310999999999</v>
      </c>
      <c r="J1032" s="10">
        <v>-134.69995299999999</v>
      </c>
      <c r="K1032" s="7" t="s">
        <v>27</v>
      </c>
      <c r="L1032" s="7" t="s">
        <v>28</v>
      </c>
      <c r="M1032" s="7" t="s">
        <v>1608</v>
      </c>
      <c r="N1032" s="7" t="s">
        <v>1473</v>
      </c>
      <c r="O1032" s="7" t="s">
        <v>90</v>
      </c>
      <c r="P1032" s="7" t="s">
        <v>1473</v>
      </c>
      <c r="Q1032" s="7" t="s">
        <v>31</v>
      </c>
    </row>
    <row r="1033" spans="1:17" s="7" customFormat="1" x14ac:dyDescent="0.35">
      <c r="A1033" s="7">
        <v>63</v>
      </c>
      <c r="B1033" s="7" t="s">
        <v>1603</v>
      </c>
      <c r="C1033" s="7">
        <v>2025</v>
      </c>
      <c r="D1033" s="7" t="s">
        <v>1604</v>
      </c>
      <c r="E1033" s="7" t="s">
        <v>1605</v>
      </c>
      <c r="F1033" s="7" t="s">
        <v>1606</v>
      </c>
      <c r="G1033" s="7" t="s">
        <v>1610</v>
      </c>
      <c r="H1033" s="7" t="s">
        <v>1612</v>
      </c>
      <c r="I1033" s="7">
        <v>60.164498000000002</v>
      </c>
      <c r="J1033" s="10">
        <v>-134.70857599999999</v>
      </c>
      <c r="K1033" s="7" t="s">
        <v>27</v>
      </c>
      <c r="L1033" s="7" t="s">
        <v>28</v>
      </c>
      <c r="M1033" s="7" t="s">
        <v>1608</v>
      </c>
      <c r="N1033" s="7" t="s">
        <v>1473</v>
      </c>
      <c r="O1033" s="7" t="s">
        <v>90</v>
      </c>
      <c r="P1033" s="7" t="s">
        <v>1473</v>
      </c>
      <c r="Q1033" s="7" t="s">
        <v>31</v>
      </c>
    </row>
    <row r="1034" spans="1:17" s="7" customFormat="1" x14ac:dyDescent="0.35">
      <c r="A1034" s="7">
        <v>63</v>
      </c>
      <c r="B1034" s="7" t="s">
        <v>1603</v>
      </c>
      <c r="C1034" s="7">
        <v>2025</v>
      </c>
      <c r="D1034" s="7" t="s">
        <v>1604</v>
      </c>
      <c r="E1034" s="7" t="s">
        <v>1605</v>
      </c>
      <c r="F1034" s="7" t="s">
        <v>1606</v>
      </c>
      <c r="G1034" s="7" t="s">
        <v>1610</v>
      </c>
      <c r="H1034" s="7" t="s">
        <v>1612</v>
      </c>
      <c r="I1034" s="7">
        <v>60.164498000000002</v>
      </c>
      <c r="J1034" s="10">
        <v>-134.70857599999999</v>
      </c>
      <c r="K1034" s="7" t="s">
        <v>27</v>
      </c>
      <c r="L1034" s="7" t="s">
        <v>28</v>
      </c>
      <c r="M1034" s="7" t="s">
        <v>1608</v>
      </c>
      <c r="N1034" s="7" t="s">
        <v>1473</v>
      </c>
      <c r="O1034" s="7" t="s">
        <v>90</v>
      </c>
      <c r="P1034" s="7" t="s">
        <v>1473</v>
      </c>
      <c r="Q1034" s="7" t="s">
        <v>31</v>
      </c>
    </row>
    <row r="1035" spans="1:17" s="7" customFormat="1" x14ac:dyDescent="0.35">
      <c r="A1035" s="7">
        <v>63</v>
      </c>
      <c r="B1035" s="7" t="s">
        <v>1603</v>
      </c>
      <c r="C1035" s="7">
        <v>2025</v>
      </c>
      <c r="D1035" s="7" t="s">
        <v>1604</v>
      </c>
      <c r="E1035" s="7" t="s">
        <v>1605</v>
      </c>
      <c r="F1035" s="7" t="s">
        <v>1606</v>
      </c>
      <c r="G1035" s="7" t="s">
        <v>1610</v>
      </c>
      <c r="H1035" s="7" t="s">
        <v>1612</v>
      </c>
      <c r="I1035" s="7">
        <v>60.164498000000002</v>
      </c>
      <c r="J1035" s="10">
        <v>-134.70857599999999</v>
      </c>
      <c r="K1035" s="7" t="s">
        <v>27</v>
      </c>
      <c r="L1035" s="7" t="s">
        <v>28</v>
      </c>
      <c r="M1035" s="7" t="s">
        <v>1608</v>
      </c>
      <c r="N1035" s="7" t="s">
        <v>1473</v>
      </c>
      <c r="O1035" s="7" t="s">
        <v>90</v>
      </c>
      <c r="P1035" s="7" t="s">
        <v>1473</v>
      </c>
      <c r="Q1035" s="7" t="s">
        <v>31</v>
      </c>
    </row>
    <row r="1036" spans="1:17" s="7" customFormat="1" x14ac:dyDescent="0.35">
      <c r="A1036" s="7">
        <v>63</v>
      </c>
      <c r="B1036" s="7" t="s">
        <v>1603</v>
      </c>
      <c r="C1036" s="7">
        <v>2025</v>
      </c>
      <c r="D1036" s="7" t="s">
        <v>1604</v>
      </c>
      <c r="E1036" s="7" t="s">
        <v>1605</v>
      </c>
      <c r="F1036" s="7" t="s">
        <v>1606</v>
      </c>
      <c r="G1036" s="7" t="s">
        <v>1610</v>
      </c>
      <c r="H1036" s="7" t="s">
        <v>1612</v>
      </c>
      <c r="I1036" s="7">
        <v>60.164498000000002</v>
      </c>
      <c r="J1036" s="10">
        <v>-134.70857599999999</v>
      </c>
      <c r="K1036" s="7" t="s">
        <v>27</v>
      </c>
      <c r="L1036" s="7" t="s">
        <v>28</v>
      </c>
      <c r="M1036" s="7" t="s">
        <v>1608</v>
      </c>
      <c r="N1036" s="7" t="s">
        <v>1473</v>
      </c>
      <c r="O1036" s="7" t="s">
        <v>90</v>
      </c>
      <c r="P1036" s="7" t="s">
        <v>1473</v>
      </c>
      <c r="Q1036" s="7" t="s">
        <v>31</v>
      </c>
    </row>
    <row r="1037" spans="1:17" s="7" customFormat="1" x14ac:dyDescent="0.35">
      <c r="A1037" s="7">
        <v>63</v>
      </c>
      <c r="B1037" s="7" t="s">
        <v>1603</v>
      </c>
      <c r="C1037" s="7">
        <v>2025</v>
      </c>
      <c r="D1037" s="7" t="s">
        <v>1604</v>
      </c>
      <c r="E1037" s="7" t="s">
        <v>1605</v>
      </c>
      <c r="F1037" s="7" t="s">
        <v>1606</v>
      </c>
      <c r="G1037" s="7" t="s">
        <v>1610</v>
      </c>
      <c r="H1037" s="7" t="s">
        <v>1612</v>
      </c>
      <c r="I1037" s="7">
        <v>60.158718999999998</v>
      </c>
      <c r="J1037" s="10">
        <v>-134.68609699999999</v>
      </c>
      <c r="K1037" s="7" t="s">
        <v>27</v>
      </c>
      <c r="L1037" s="7" t="s">
        <v>28</v>
      </c>
      <c r="M1037" s="7" t="s">
        <v>1608</v>
      </c>
      <c r="N1037" s="7" t="s">
        <v>1473</v>
      </c>
      <c r="O1037" s="7" t="s">
        <v>90</v>
      </c>
      <c r="P1037" s="7" t="s">
        <v>1473</v>
      </c>
      <c r="Q1037" s="7" t="s">
        <v>31</v>
      </c>
    </row>
    <row r="1038" spans="1:17" s="7" customFormat="1" x14ac:dyDescent="0.35">
      <c r="A1038" s="7">
        <v>63</v>
      </c>
      <c r="B1038" s="7" t="s">
        <v>1603</v>
      </c>
      <c r="C1038" s="7">
        <v>2025</v>
      </c>
      <c r="D1038" s="7" t="s">
        <v>1604</v>
      </c>
      <c r="E1038" s="7" t="s">
        <v>1605</v>
      </c>
      <c r="F1038" s="7" t="s">
        <v>1606</v>
      </c>
      <c r="G1038" s="7" t="s">
        <v>1610</v>
      </c>
      <c r="H1038" s="7" t="s">
        <v>1612</v>
      </c>
      <c r="I1038" s="7">
        <v>60.158718999999998</v>
      </c>
      <c r="J1038" s="10">
        <v>-134.68609699999999</v>
      </c>
      <c r="K1038" s="7" t="s">
        <v>27</v>
      </c>
      <c r="L1038" s="7" t="s">
        <v>28</v>
      </c>
      <c r="M1038" s="7" t="s">
        <v>1608</v>
      </c>
      <c r="N1038" s="7" t="s">
        <v>1473</v>
      </c>
      <c r="O1038" s="7" t="s">
        <v>90</v>
      </c>
      <c r="P1038" s="7" t="s">
        <v>1473</v>
      </c>
      <c r="Q1038" s="7" t="s">
        <v>31</v>
      </c>
    </row>
    <row r="1039" spans="1:17" s="7" customFormat="1" x14ac:dyDescent="0.35">
      <c r="A1039" s="7">
        <v>63</v>
      </c>
      <c r="B1039" s="7" t="s">
        <v>1603</v>
      </c>
      <c r="C1039" s="7">
        <v>2025</v>
      </c>
      <c r="D1039" s="7" t="s">
        <v>1604</v>
      </c>
      <c r="E1039" s="7" t="s">
        <v>1605</v>
      </c>
      <c r="F1039" s="7" t="s">
        <v>1606</v>
      </c>
      <c r="G1039" s="7" t="s">
        <v>1610</v>
      </c>
      <c r="H1039" s="7" t="s">
        <v>1612</v>
      </c>
      <c r="I1039" s="7">
        <v>60.158718999999998</v>
      </c>
      <c r="J1039" s="10">
        <v>-134.68609699999999</v>
      </c>
      <c r="K1039" s="7" t="s">
        <v>27</v>
      </c>
      <c r="L1039" s="7" t="s">
        <v>28</v>
      </c>
      <c r="M1039" s="7" t="s">
        <v>1608</v>
      </c>
      <c r="N1039" s="7" t="s">
        <v>1473</v>
      </c>
      <c r="O1039" s="7" t="s">
        <v>90</v>
      </c>
      <c r="P1039" s="7" t="s">
        <v>1473</v>
      </c>
      <c r="Q1039" s="7" t="s">
        <v>31</v>
      </c>
    </row>
    <row r="1040" spans="1:17" s="7" customFormat="1" x14ac:dyDescent="0.35">
      <c r="A1040" s="7">
        <v>63</v>
      </c>
      <c r="B1040" s="7" t="s">
        <v>1603</v>
      </c>
      <c r="C1040" s="7">
        <v>2025</v>
      </c>
      <c r="D1040" s="7" t="s">
        <v>1604</v>
      </c>
      <c r="E1040" s="7" t="s">
        <v>1605</v>
      </c>
      <c r="F1040" s="7" t="s">
        <v>1606</v>
      </c>
      <c r="G1040" s="7" t="s">
        <v>1610</v>
      </c>
      <c r="H1040" s="7" t="s">
        <v>1612</v>
      </c>
      <c r="I1040" s="7">
        <v>60.185310999999999</v>
      </c>
      <c r="J1040" s="10">
        <v>-134.69995299999999</v>
      </c>
      <c r="K1040" s="7" t="s">
        <v>27</v>
      </c>
      <c r="L1040" s="7" t="s">
        <v>28</v>
      </c>
      <c r="M1040" s="7" t="s">
        <v>1608</v>
      </c>
      <c r="N1040" s="7" t="s">
        <v>1473</v>
      </c>
      <c r="O1040" s="7" t="s">
        <v>90</v>
      </c>
      <c r="P1040" s="7" t="s">
        <v>1473</v>
      </c>
      <c r="Q1040" s="7" t="s">
        <v>31</v>
      </c>
    </row>
    <row r="1041" spans="1:17" s="7" customFormat="1" x14ac:dyDescent="0.35">
      <c r="A1041" s="7">
        <v>63</v>
      </c>
      <c r="B1041" s="7" t="s">
        <v>1603</v>
      </c>
      <c r="C1041" s="7">
        <v>2025</v>
      </c>
      <c r="D1041" s="7" t="s">
        <v>1604</v>
      </c>
      <c r="E1041" s="7" t="s">
        <v>1605</v>
      </c>
      <c r="F1041" s="7" t="s">
        <v>1606</v>
      </c>
      <c r="G1041" s="7" t="s">
        <v>1610</v>
      </c>
      <c r="H1041" s="7" t="s">
        <v>1612</v>
      </c>
      <c r="I1041" s="7">
        <v>60.185310999999999</v>
      </c>
      <c r="J1041" s="10">
        <v>-134.69995299999999</v>
      </c>
      <c r="K1041" s="7" t="s">
        <v>27</v>
      </c>
      <c r="L1041" s="7" t="s">
        <v>28</v>
      </c>
      <c r="M1041" s="7" t="s">
        <v>1608</v>
      </c>
      <c r="N1041" s="7" t="s">
        <v>1473</v>
      </c>
      <c r="O1041" s="7" t="s">
        <v>90</v>
      </c>
      <c r="P1041" s="7" t="s">
        <v>1473</v>
      </c>
      <c r="Q1041" s="7" t="s">
        <v>31</v>
      </c>
    </row>
    <row r="1042" spans="1:17" s="7" customFormat="1" x14ac:dyDescent="0.35">
      <c r="A1042" s="7">
        <v>63</v>
      </c>
      <c r="B1042" s="7" t="s">
        <v>1603</v>
      </c>
      <c r="C1042" s="7">
        <v>2025</v>
      </c>
      <c r="D1042" s="7" t="s">
        <v>1604</v>
      </c>
      <c r="E1042" s="7" t="s">
        <v>1605</v>
      </c>
      <c r="F1042" s="7" t="s">
        <v>1606</v>
      </c>
      <c r="G1042" s="7" t="s">
        <v>1610</v>
      </c>
      <c r="H1042" s="7" t="s">
        <v>1612</v>
      </c>
      <c r="I1042" s="7">
        <v>60.158665399999997</v>
      </c>
      <c r="J1042" s="10">
        <v>-134.68599510000001</v>
      </c>
      <c r="K1042" s="7" t="s">
        <v>27</v>
      </c>
      <c r="L1042" s="7" t="s">
        <v>28</v>
      </c>
      <c r="M1042" s="7" t="s">
        <v>1608</v>
      </c>
      <c r="N1042" s="7" t="s">
        <v>1473</v>
      </c>
      <c r="O1042" s="7" t="s">
        <v>90</v>
      </c>
      <c r="P1042" s="7" t="s">
        <v>1473</v>
      </c>
      <c r="Q1042" s="7" t="s">
        <v>31</v>
      </c>
    </row>
    <row r="1043" spans="1:17" s="7" customFormat="1" x14ac:dyDescent="0.35">
      <c r="A1043" s="7">
        <v>63</v>
      </c>
      <c r="B1043" s="7" t="s">
        <v>1603</v>
      </c>
      <c r="C1043" s="7">
        <v>2025</v>
      </c>
      <c r="D1043" s="7" t="s">
        <v>1604</v>
      </c>
      <c r="E1043" s="7" t="s">
        <v>1605</v>
      </c>
      <c r="F1043" s="7" t="s">
        <v>1606</v>
      </c>
      <c r="G1043" s="7" t="s">
        <v>1610</v>
      </c>
      <c r="H1043" s="7" t="s">
        <v>1612</v>
      </c>
      <c r="I1043" s="7">
        <v>60.185301500000001</v>
      </c>
      <c r="J1043" s="10">
        <v>-134.70024810000001</v>
      </c>
      <c r="K1043" s="7" t="s">
        <v>27</v>
      </c>
      <c r="L1043" s="7" t="s">
        <v>28</v>
      </c>
      <c r="M1043" s="7" t="s">
        <v>1608</v>
      </c>
      <c r="N1043" s="7" t="s">
        <v>1473</v>
      </c>
      <c r="O1043" s="7" t="s">
        <v>90</v>
      </c>
      <c r="P1043" s="7" t="s">
        <v>1473</v>
      </c>
      <c r="Q1043" s="7" t="s">
        <v>31</v>
      </c>
    </row>
    <row r="1044" spans="1:17" s="7" customFormat="1" x14ac:dyDescent="0.35">
      <c r="A1044" s="7">
        <v>63</v>
      </c>
      <c r="B1044" s="7" t="s">
        <v>1603</v>
      </c>
      <c r="C1044" s="7">
        <v>2025</v>
      </c>
      <c r="D1044" s="7" t="s">
        <v>1604</v>
      </c>
      <c r="E1044" s="7" t="s">
        <v>1605</v>
      </c>
      <c r="F1044" s="7" t="s">
        <v>1606</v>
      </c>
      <c r="G1044" s="7" t="s">
        <v>1610</v>
      </c>
      <c r="H1044" s="7" t="s">
        <v>1612</v>
      </c>
      <c r="I1044" s="7">
        <v>60.185301500000001</v>
      </c>
      <c r="J1044" s="10">
        <v>-134.70024810000001</v>
      </c>
      <c r="K1044" s="7" t="s">
        <v>27</v>
      </c>
      <c r="L1044" s="7" t="s">
        <v>28</v>
      </c>
      <c r="M1044" s="7" t="s">
        <v>1608</v>
      </c>
      <c r="N1044" s="7" t="s">
        <v>1473</v>
      </c>
      <c r="O1044" s="7" t="s">
        <v>90</v>
      </c>
      <c r="P1044" s="7" t="s">
        <v>1473</v>
      </c>
      <c r="Q1044" s="7" t="s">
        <v>31</v>
      </c>
    </row>
    <row r="1045" spans="1:17" s="7" customFormat="1" x14ac:dyDescent="0.35">
      <c r="A1045" s="7">
        <v>63</v>
      </c>
      <c r="B1045" s="7" t="s">
        <v>1603</v>
      </c>
      <c r="C1045" s="7">
        <v>2025</v>
      </c>
      <c r="D1045" s="7" t="s">
        <v>1604</v>
      </c>
      <c r="E1045" s="7" t="s">
        <v>1605</v>
      </c>
      <c r="F1045" s="7" t="s">
        <v>1606</v>
      </c>
      <c r="G1045" s="7" t="s">
        <v>1610</v>
      </c>
      <c r="H1045" s="7" t="s">
        <v>1612</v>
      </c>
      <c r="I1045" s="7">
        <v>60.164498700000003</v>
      </c>
      <c r="J1045" s="10">
        <v>-134.7087081</v>
      </c>
      <c r="K1045" s="7" t="s">
        <v>27</v>
      </c>
      <c r="L1045" s="7" t="s">
        <v>28</v>
      </c>
      <c r="M1045" s="7" t="s">
        <v>1608</v>
      </c>
      <c r="N1045" s="7" t="s">
        <v>1473</v>
      </c>
      <c r="O1045" s="7" t="s">
        <v>90</v>
      </c>
      <c r="P1045" s="7" t="s">
        <v>1473</v>
      </c>
      <c r="Q1045" s="7" t="s">
        <v>31</v>
      </c>
    </row>
    <row r="1046" spans="1:17" s="7" customFormat="1" x14ac:dyDescent="0.35">
      <c r="A1046" s="7">
        <v>63</v>
      </c>
      <c r="B1046" s="7" t="s">
        <v>1603</v>
      </c>
      <c r="C1046" s="7">
        <v>2025</v>
      </c>
      <c r="D1046" s="7" t="s">
        <v>1604</v>
      </c>
      <c r="E1046" s="7" t="s">
        <v>1605</v>
      </c>
      <c r="F1046" s="7" t="s">
        <v>1606</v>
      </c>
      <c r="G1046" s="7" t="s">
        <v>1610</v>
      </c>
      <c r="H1046" s="7" t="s">
        <v>1612</v>
      </c>
      <c r="I1046" s="7">
        <v>60.164498700000003</v>
      </c>
      <c r="J1046" s="10">
        <v>-134.7087081</v>
      </c>
      <c r="K1046" s="7" t="s">
        <v>27</v>
      </c>
      <c r="L1046" s="7" t="s">
        <v>28</v>
      </c>
      <c r="M1046" s="7" t="s">
        <v>1608</v>
      </c>
      <c r="N1046" s="7" t="s">
        <v>1473</v>
      </c>
      <c r="O1046" s="7" t="s">
        <v>90</v>
      </c>
      <c r="P1046" s="7" t="s">
        <v>1473</v>
      </c>
      <c r="Q1046" s="7" t="s">
        <v>31</v>
      </c>
    </row>
    <row r="1047" spans="1:17" s="7" customFormat="1" x14ac:dyDescent="0.35">
      <c r="A1047" s="7">
        <v>63</v>
      </c>
      <c r="B1047" s="7" t="s">
        <v>1603</v>
      </c>
      <c r="C1047" s="7">
        <v>2025</v>
      </c>
      <c r="D1047" s="7" t="s">
        <v>1604</v>
      </c>
      <c r="E1047" s="7" t="s">
        <v>1605</v>
      </c>
      <c r="F1047" s="7" t="s">
        <v>1606</v>
      </c>
      <c r="G1047" s="7" t="s">
        <v>1610</v>
      </c>
      <c r="H1047" s="7" t="s">
        <v>1612</v>
      </c>
      <c r="I1047" s="7">
        <v>60.164498700000003</v>
      </c>
      <c r="J1047" s="10">
        <v>-134.7087081</v>
      </c>
      <c r="K1047" s="7" t="s">
        <v>27</v>
      </c>
      <c r="L1047" s="7" t="s">
        <v>28</v>
      </c>
      <c r="M1047" s="7" t="s">
        <v>1608</v>
      </c>
      <c r="N1047" s="7" t="s">
        <v>1473</v>
      </c>
      <c r="O1047" s="7" t="s">
        <v>90</v>
      </c>
      <c r="P1047" s="7" t="s">
        <v>1473</v>
      </c>
      <c r="Q1047" s="7" t="s">
        <v>31</v>
      </c>
    </row>
    <row r="1048" spans="1:17" s="7" customFormat="1" x14ac:dyDescent="0.35">
      <c r="A1048" s="7">
        <v>63</v>
      </c>
      <c r="B1048" s="7" t="s">
        <v>1603</v>
      </c>
      <c r="C1048" s="7">
        <v>2025</v>
      </c>
      <c r="D1048" s="7" t="s">
        <v>1604</v>
      </c>
      <c r="E1048" s="7" t="s">
        <v>1605</v>
      </c>
      <c r="F1048" s="7" t="s">
        <v>1606</v>
      </c>
      <c r="G1048" s="7" t="s">
        <v>1610</v>
      </c>
      <c r="H1048" s="7" t="s">
        <v>1612</v>
      </c>
      <c r="I1048" s="7">
        <v>60.164498700000003</v>
      </c>
      <c r="J1048" s="10">
        <v>-134.7087081</v>
      </c>
      <c r="K1048" s="7" t="s">
        <v>27</v>
      </c>
      <c r="L1048" s="7" t="s">
        <v>28</v>
      </c>
      <c r="M1048" s="7" t="s">
        <v>1608</v>
      </c>
      <c r="N1048" s="7" t="s">
        <v>1473</v>
      </c>
      <c r="O1048" s="7" t="s">
        <v>90</v>
      </c>
      <c r="P1048" s="7" t="s">
        <v>1473</v>
      </c>
      <c r="Q1048" s="7" t="s">
        <v>31</v>
      </c>
    </row>
    <row r="1049" spans="1:17" s="7" customFormat="1" x14ac:dyDescent="0.35">
      <c r="A1049" s="7">
        <v>63</v>
      </c>
      <c r="B1049" s="7" t="s">
        <v>1603</v>
      </c>
      <c r="C1049" s="7">
        <v>2025</v>
      </c>
      <c r="D1049" s="7" t="s">
        <v>1604</v>
      </c>
      <c r="E1049" s="7" t="s">
        <v>1605</v>
      </c>
      <c r="F1049" s="7" t="s">
        <v>1606</v>
      </c>
      <c r="G1049" s="7" t="s">
        <v>1610</v>
      </c>
      <c r="H1049" s="7" t="s">
        <v>1612</v>
      </c>
      <c r="I1049" s="7">
        <v>60.158665399999997</v>
      </c>
      <c r="J1049" s="10">
        <v>-134.68599510000001</v>
      </c>
      <c r="K1049" s="7" t="s">
        <v>27</v>
      </c>
      <c r="L1049" s="7" t="s">
        <v>28</v>
      </c>
      <c r="M1049" s="7" t="s">
        <v>1608</v>
      </c>
      <c r="N1049" s="7" t="s">
        <v>1473</v>
      </c>
      <c r="O1049" s="7" t="s">
        <v>90</v>
      </c>
      <c r="P1049" s="7" t="s">
        <v>1473</v>
      </c>
      <c r="Q1049" s="7" t="s">
        <v>31</v>
      </c>
    </row>
    <row r="1050" spans="1:17" s="7" customFormat="1" x14ac:dyDescent="0.35">
      <c r="A1050" s="7">
        <v>63</v>
      </c>
      <c r="B1050" s="7" t="s">
        <v>1603</v>
      </c>
      <c r="C1050" s="7">
        <v>2025</v>
      </c>
      <c r="D1050" s="7" t="s">
        <v>1604</v>
      </c>
      <c r="E1050" s="7" t="s">
        <v>1605</v>
      </c>
      <c r="F1050" s="7" t="s">
        <v>1606</v>
      </c>
      <c r="G1050" s="7" t="s">
        <v>1610</v>
      </c>
      <c r="H1050" s="7" t="s">
        <v>1612</v>
      </c>
      <c r="I1050" s="7">
        <v>60.158665399999997</v>
      </c>
      <c r="J1050" s="10">
        <v>-134.68599510000001</v>
      </c>
      <c r="K1050" s="7" t="s">
        <v>27</v>
      </c>
      <c r="L1050" s="7" t="s">
        <v>28</v>
      </c>
      <c r="M1050" s="7" t="s">
        <v>1608</v>
      </c>
      <c r="N1050" s="7" t="s">
        <v>1473</v>
      </c>
      <c r="O1050" s="7" t="s">
        <v>90</v>
      </c>
      <c r="P1050" s="7" t="s">
        <v>1473</v>
      </c>
      <c r="Q1050" s="7" t="s">
        <v>31</v>
      </c>
    </row>
    <row r="1051" spans="1:17" s="7" customFormat="1" x14ac:dyDescent="0.35">
      <c r="A1051" s="7">
        <v>63</v>
      </c>
      <c r="B1051" s="7" t="s">
        <v>1603</v>
      </c>
      <c r="C1051" s="7">
        <v>2025</v>
      </c>
      <c r="D1051" s="7" t="s">
        <v>1604</v>
      </c>
      <c r="E1051" s="7" t="s">
        <v>1605</v>
      </c>
      <c r="F1051" s="7" t="s">
        <v>1606</v>
      </c>
      <c r="G1051" s="7" t="s">
        <v>471</v>
      </c>
      <c r="H1051" s="7" t="s">
        <v>1613</v>
      </c>
      <c r="I1051" s="7">
        <v>62.695790000000002</v>
      </c>
      <c r="J1051" s="10">
        <v>-116.15860000000001</v>
      </c>
      <c r="K1051" s="7" t="s">
        <v>27</v>
      </c>
      <c r="L1051" s="7" t="s">
        <v>28</v>
      </c>
      <c r="M1051" s="7" t="s">
        <v>1608</v>
      </c>
      <c r="N1051" s="7" t="s">
        <v>1473</v>
      </c>
      <c r="O1051" s="7" t="s">
        <v>90</v>
      </c>
      <c r="P1051" s="7" t="s">
        <v>1473</v>
      </c>
      <c r="Q1051" s="7" t="s">
        <v>31</v>
      </c>
    </row>
    <row r="1052" spans="1:17" s="7" customFormat="1" x14ac:dyDescent="0.35">
      <c r="A1052" s="7">
        <v>63</v>
      </c>
      <c r="B1052" s="7" t="s">
        <v>1603</v>
      </c>
      <c r="C1052" s="7">
        <v>2025</v>
      </c>
      <c r="D1052" s="7" t="s">
        <v>1604</v>
      </c>
      <c r="E1052" s="7" t="s">
        <v>1605</v>
      </c>
      <c r="F1052" s="7" t="s">
        <v>1606</v>
      </c>
      <c r="G1052" s="7" t="s">
        <v>471</v>
      </c>
      <c r="H1052" s="7" t="s">
        <v>1613</v>
      </c>
      <c r="I1052" s="7">
        <v>62.510539999999999</v>
      </c>
      <c r="J1052" s="10">
        <v>-114.371</v>
      </c>
      <c r="K1052" s="7" t="s">
        <v>27</v>
      </c>
      <c r="L1052" s="7" t="s">
        <v>28</v>
      </c>
      <c r="M1052" s="7" t="s">
        <v>1608</v>
      </c>
      <c r="N1052" s="7" t="s">
        <v>1473</v>
      </c>
      <c r="O1052" s="7" t="s">
        <v>90</v>
      </c>
      <c r="P1052" s="7" t="s">
        <v>1473</v>
      </c>
      <c r="Q1052" s="7" t="s">
        <v>31</v>
      </c>
    </row>
    <row r="1053" spans="1:17" s="7" customFormat="1" x14ac:dyDescent="0.35">
      <c r="A1053" s="7">
        <v>63</v>
      </c>
      <c r="B1053" s="7" t="s">
        <v>1603</v>
      </c>
      <c r="C1053" s="7">
        <v>2025</v>
      </c>
      <c r="D1053" s="7" t="s">
        <v>1604</v>
      </c>
      <c r="E1053" s="7" t="s">
        <v>1605</v>
      </c>
      <c r="F1053" s="7" t="s">
        <v>1606</v>
      </c>
      <c r="G1053" s="7" t="s">
        <v>471</v>
      </c>
      <c r="H1053" s="7" t="s">
        <v>1613</v>
      </c>
      <c r="I1053" s="7">
        <v>64.265000000000001</v>
      </c>
      <c r="J1053" s="10">
        <v>-112.38890000000001</v>
      </c>
      <c r="K1053" s="7" t="s">
        <v>27</v>
      </c>
      <c r="L1053" s="7" t="s">
        <v>28</v>
      </c>
      <c r="M1053" s="7" t="s">
        <v>1608</v>
      </c>
      <c r="N1053" s="7" t="s">
        <v>1473</v>
      </c>
      <c r="O1053" s="7" t="s">
        <v>90</v>
      </c>
      <c r="P1053" s="7" t="s">
        <v>1473</v>
      </c>
      <c r="Q1053" s="7" t="s">
        <v>31</v>
      </c>
    </row>
    <row r="1054" spans="1:17" s="7" customFormat="1" x14ac:dyDescent="0.35">
      <c r="A1054" s="7">
        <v>63</v>
      </c>
      <c r="B1054" s="7" t="s">
        <v>1603</v>
      </c>
      <c r="C1054" s="7">
        <v>2025</v>
      </c>
      <c r="D1054" s="7" t="s">
        <v>1604</v>
      </c>
      <c r="E1054" s="7" t="s">
        <v>1605</v>
      </c>
      <c r="F1054" s="7" t="s">
        <v>1606</v>
      </c>
      <c r="G1054" s="7" t="s">
        <v>471</v>
      </c>
      <c r="H1054" s="7" t="s">
        <v>1613</v>
      </c>
      <c r="I1054" s="7">
        <v>65.092219999999998</v>
      </c>
      <c r="J1054" s="10">
        <v>-114.2786</v>
      </c>
      <c r="K1054" s="7" t="s">
        <v>27</v>
      </c>
      <c r="L1054" s="7" t="s">
        <v>28</v>
      </c>
      <c r="M1054" s="7" t="s">
        <v>1608</v>
      </c>
      <c r="N1054" s="7" t="s">
        <v>1473</v>
      </c>
      <c r="O1054" s="7" t="s">
        <v>90</v>
      </c>
      <c r="P1054" s="7" t="s">
        <v>1473</v>
      </c>
      <c r="Q1054" s="7" t="s">
        <v>31</v>
      </c>
    </row>
    <row r="1055" spans="1:17" s="7" customFormat="1" x14ac:dyDescent="0.35">
      <c r="A1055" s="7">
        <v>63</v>
      </c>
      <c r="B1055" s="7" t="s">
        <v>1603</v>
      </c>
      <c r="C1055" s="7">
        <v>2025</v>
      </c>
      <c r="D1055" s="7" t="s">
        <v>1604</v>
      </c>
      <c r="E1055" s="7" t="s">
        <v>1605</v>
      </c>
      <c r="F1055" s="7" t="s">
        <v>1606</v>
      </c>
      <c r="G1055" s="7" t="s">
        <v>471</v>
      </c>
      <c r="H1055" s="7" t="s">
        <v>1613</v>
      </c>
      <c r="I1055" s="7">
        <v>64.172219999999996</v>
      </c>
      <c r="J1055" s="10">
        <v>-116.0775</v>
      </c>
      <c r="K1055" s="7" t="s">
        <v>27</v>
      </c>
      <c r="L1055" s="7" t="s">
        <v>28</v>
      </c>
      <c r="M1055" s="7" t="s">
        <v>1608</v>
      </c>
      <c r="N1055" s="7" t="s">
        <v>1473</v>
      </c>
      <c r="O1055" s="7" t="s">
        <v>90</v>
      </c>
      <c r="P1055" s="7" t="s">
        <v>1473</v>
      </c>
      <c r="Q1055" s="7" t="s">
        <v>31</v>
      </c>
    </row>
    <row r="1056" spans="1:17" s="7" customFormat="1" x14ac:dyDescent="0.35">
      <c r="A1056" s="7">
        <v>63</v>
      </c>
      <c r="B1056" s="7" t="s">
        <v>1603</v>
      </c>
      <c r="C1056" s="7">
        <v>2025</v>
      </c>
      <c r="D1056" s="7" t="s">
        <v>1604</v>
      </c>
      <c r="E1056" s="7" t="s">
        <v>1605</v>
      </c>
      <c r="F1056" s="7" t="s">
        <v>1606</v>
      </c>
      <c r="G1056" s="7" t="s">
        <v>471</v>
      </c>
      <c r="H1056" s="7" t="s">
        <v>1613</v>
      </c>
      <c r="I1056" s="7">
        <v>62.696120000000001</v>
      </c>
      <c r="J1056" s="10">
        <v>-116.1592833</v>
      </c>
      <c r="K1056" s="7" t="s">
        <v>27</v>
      </c>
      <c r="L1056" s="7" t="s">
        <v>28</v>
      </c>
      <c r="M1056" s="7" t="s">
        <v>1608</v>
      </c>
      <c r="N1056" s="7" t="s">
        <v>1473</v>
      </c>
      <c r="O1056" s="7" t="s">
        <v>90</v>
      </c>
      <c r="P1056" s="7" t="s">
        <v>1473</v>
      </c>
      <c r="Q1056" s="7" t="s">
        <v>31</v>
      </c>
    </row>
    <row r="1057" spans="1:28" s="7" customFormat="1" x14ac:dyDescent="0.35">
      <c r="A1057" s="7">
        <v>63</v>
      </c>
      <c r="B1057" s="7" t="s">
        <v>1603</v>
      </c>
      <c r="C1057" s="7">
        <v>2025</v>
      </c>
      <c r="D1057" s="7" t="s">
        <v>1604</v>
      </c>
      <c r="E1057" s="7" t="s">
        <v>1605</v>
      </c>
      <c r="F1057" s="7" t="s">
        <v>1606</v>
      </c>
      <c r="G1057" s="7" t="s">
        <v>471</v>
      </c>
      <c r="H1057" s="7" t="s">
        <v>1613</v>
      </c>
      <c r="I1057" s="7">
        <v>62.5548</v>
      </c>
      <c r="J1057" s="10">
        <v>-113.342986</v>
      </c>
      <c r="K1057" s="7" t="s">
        <v>27</v>
      </c>
      <c r="L1057" s="7" t="s">
        <v>28</v>
      </c>
      <c r="M1057" s="7" t="s">
        <v>1608</v>
      </c>
      <c r="N1057" s="7" t="s">
        <v>1473</v>
      </c>
      <c r="O1057" s="7" t="s">
        <v>90</v>
      </c>
      <c r="P1057" s="7" t="s">
        <v>1473</v>
      </c>
      <c r="Q1057" s="7" t="s">
        <v>31</v>
      </c>
    </row>
    <row r="1058" spans="1:28" s="7" customFormat="1" x14ac:dyDescent="0.35">
      <c r="A1058" s="7">
        <v>63</v>
      </c>
      <c r="B1058" s="7" t="s">
        <v>1603</v>
      </c>
      <c r="C1058" s="7">
        <v>2025</v>
      </c>
      <c r="D1058" s="7" t="s">
        <v>1604</v>
      </c>
      <c r="E1058" s="7" t="s">
        <v>1605</v>
      </c>
      <c r="F1058" s="7" t="s">
        <v>1606</v>
      </c>
      <c r="G1058" s="7" t="s">
        <v>471</v>
      </c>
      <c r="H1058" s="7" t="s">
        <v>1613</v>
      </c>
      <c r="I1058" s="7">
        <v>65.0047</v>
      </c>
      <c r="J1058" s="10">
        <v>-114.1114</v>
      </c>
      <c r="K1058" s="7" t="s">
        <v>27</v>
      </c>
      <c r="L1058" s="7" t="s">
        <v>28</v>
      </c>
      <c r="M1058" s="7" t="s">
        <v>1608</v>
      </c>
      <c r="N1058" s="7" t="s">
        <v>1473</v>
      </c>
      <c r="O1058" s="7" t="s">
        <v>90</v>
      </c>
      <c r="P1058" s="7" t="s">
        <v>1473</v>
      </c>
      <c r="Q1058" s="7" t="s">
        <v>31</v>
      </c>
    </row>
    <row r="1059" spans="1:28" s="7" customFormat="1" x14ac:dyDescent="0.35">
      <c r="A1059" s="7">
        <v>63</v>
      </c>
      <c r="B1059" s="7" t="s">
        <v>1603</v>
      </c>
      <c r="C1059" s="7">
        <v>2025</v>
      </c>
      <c r="D1059" s="7" t="s">
        <v>1604</v>
      </c>
      <c r="E1059" s="7" t="s">
        <v>1605</v>
      </c>
      <c r="F1059" s="7" t="s">
        <v>1606</v>
      </c>
      <c r="G1059" s="7" t="s">
        <v>471</v>
      </c>
      <c r="H1059" s="7" t="s">
        <v>1613</v>
      </c>
      <c r="I1059" s="7">
        <v>64.203800000000001</v>
      </c>
      <c r="J1059" s="10">
        <v>-112.3533</v>
      </c>
      <c r="K1059" s="7" t="s">
        <v>27</v>
      </c>
      <c r="L1059" s="7" t="s">
        <v>28</v>
      </c>
      <c r="M1059" s="7" t="s">
        <v>1608</v>
      </c>
      <c r="N1059" s="7" t="s">
        <v>1473</v>
      </c>
      <c r="O1059" s="7" t="s">
        <v>90</v>
      </c>
      <c r="P1059" s="7" t="s">
        <v>1473</v>
      </c>
      <c r="Q1059" s="7" t="s">
        <v>31</v>
      </c>
    </row>
    <row r="1060" spans="1:28" s="7" customFormat="1" x14ac:dyDescent="0.35">
      <c r="A1060" s="7">
        <v>63</v>
      </c>
      <c r="B1060" s="7" t="s">
        <v>1603</v>
      </c>
      <c r="C1060" s="7">
        <v>2025</v>
      </c>
      <c r="D1060" s="7" t="s">
        <v>1604</v>
      </c>
      <c r="E1060" s="7" t="s">
        <v>1605</v>
      </c>
      <c r="F1060" s="7" t="s">
        <v>1606</v>
      </c>
      <c r="G1060" s="7" t="s">
        <v>25</v>
      </c>
      <c r="H1060" s="7" t="s">
        <v>1614</v>
      </c>
      <c r="I1060" s="7">
        <v>82.508453000000003</v>
      </c>
      <c r="J1060" s="10">
        <v>-62.410525999999997</v>
      </c>
      <c r="K1060" s="7" t="s">
        <v>27</v>
      </c>
      <c r="L1060" s="7" t="s">
        <v>28</v>
      </c>
      <c r="M1060" s="7" t="s">
        <v>1608</v>
      </c>
      <c r="N1060" s="7" t="s">
        <v>1473</v>
      </c>
      <c r="O1060" s="7" t="s">
        <v>90</v>
      </c>
      <c r="P1060" s="7" t="s">
        <v>1473</v>
      </c>
      <c r="Q1060" s="7" t="s">
        <v>31</v>
      </c>
    </row>
    <row r="1061" spans="1:28" s="7" customFormat="1" x14ac:dyDescent="0.35">
      <c r="A1061" s="7">
        <v>63</v>
      </c>
      <c r="B1061" s="7" t="s">
        <v>1603</v>
      </c>
      <c r="C1061" s="7">
        <v>2025</v>
      </c>
      <c r="D1061" s="7" t="s">
        <v>1604</v>
      </c>
      <c r="E1061" s="7" t="s">
        <v>1605</v>
      </c>
      <c r="F1061" s="7" t="s">
        <v>1606</v>
      </c>
      <c r="G1061" s="7" t="s">
        <v>25</v>
      </c>
      <c r="H1061" s="7" t="s">
        <v>1614</v>
      </c>
      <c r="I1061" s="7">
        <v>82.508453000000003</v>
      </c>
      <c r="J1061" s="10">
        <v>-62.410525999999997</v>
      </c>
      <c r="K1061" s="7" t="s">
        <v>27</v>
      </c>
      <c r="L1061" s="7" t="s">
        <v>28</v>
      </c>
      <c r="M1061" s="7" t="s">
        <v>1608</v>
      </c>
      <c r="N1061" s="7" t="s">
        <v>1473</v>
      </c>
      <c r="O1061" s="7" t="s">
        <v>90</v>
      </c>
      <c r="P1061" s="7" t="s">
        <v>1473</v>
      </c>
      <c r="Q1061" s="7" t="s">
        <v>31</v>
      </c>
    </row>
    <row r="1062" spans="1:28" s="7" customFormat="1" x14ac:dyDescent="0.35">
      <c r="A1062" s="7">
        <v>63</v>
      </c>
      <c r="B1062" s="7" t="s">
        <v>1603</v>
      </c>
      <c r="C1062" s="7">
        <v>2025</v>
      </c>
      <c r="D1062" s="7" t="s">
        <v>1604</v>
      </c>
      <c r="E1062" s="7" t="s">
        <v>1605</v>
      </c>
      <c r="F1062" s="7" t="s">
        <v>1606</v>
      </c>
      <c r="G1062" s="7" t="s">
        <v>25</v>
      </c>
      <c r="H1062" s="7" t="s">
        <v>1614</v>
      </c>
      <c r="I1062" s="7">
        <v>82.508453000000003</v>
      </c>
      <c r="J1062" s="10">
        <v>-62.410525999999997</v>
      </c>
      <c r="K1062" s="7" t="s">
        <v>27</v>
      </c>
      <c r="L1062" s="7" t="s">
        <v>28</v>
      </c>
      <c r="M1062" s="7" t="s">
        <v>1608</v>
      </c>
      <c r="N1062" s="7" t="s">
        <v>1473</v>
      </c>
      <c r="O1062" s="7" t="s">
        <v>90</v>
      </c>
      <c r="P1062" s="7" t="s">
        <v>1473</v>
      </c>
      <c r="Q1062" s="7" t="s">
        <v>31</v>
      </c>
    </row>
    <row r="1063" spans="1:28" s="7" customFormat="1" x14ac:dyDescent="0.35">
      <c r="A1063" s="7">
        <v>63</v>
      </c>
      <c r="B1063" s="7" t="s">
        <v>1603</v>
      </c>
      <c r="C1063" s="7">
        <v>2025</v>
      </c>
      <c r="D1063" s="7" t="s">
        <v>1604</v>
      </c>
      <c r="E1063" s="7" t="s">
        <v>1605</v>
      </c>
      <c r="F1063" s="7" t="s">
        <v>1606</v>
      </c>
      <c r="G1063" s="7" t="s">
        <v>25</v>
      </c>
      <c r="H1063" s="7" t="s">
        <v>1614</v>
      </c>
      <c r="I1063" s="7">
        <v>82.508453000000003</v>
      </c>
      <c r="J1063" s="10">
        <v>-62.410525999999997</v>
      </c>
      <c r="K1063" s="7" t="s">
        <v>27</v>
      </c>
      <c r="L1063" s="7" t="s">
        <v>28</v>
      </c>
      <c r="M1063" s="7" t="s">
        <v>1608</v>
      </c>
      <c r="N1063" s="7" t="s">
        <v>1473</v>
      </c>
      <c r="O1063" s="7" t="s">
        <v>90</v>
      </c>
      <c r="P1063" s="7" t="s">
        <v>1473</v>
      </c>
      <c r="Q1063" s="7" t="s">
        <v>31</v>
      </c>
    </row>
    <row r="1064" spans="1:28" s="7" customFormat="1" x14ac:dyDescent="0.35">
      <c r="A1064" s="7">
        <v>63</v>
      </c>
      <c r="B1064" s="7" t="s">
        <v>1603</v>
      </c>
      <c r="C1064" s="7">
        <v>2025</v>
      </c>
      <c r="D1064" s="7" t="s">
        <v>1604</v>
      </c>
      <c r="E1064" s="7" t="s">
        <v>1605</v>
      </c>
      <c r="F1064" s="7" t="s">
        <v>1606</v>
      </c>
      <c r="G1064" s="7" t="s">
        <v>25</v>
      </c>
      <c r="H1064" s="7" t="s">
        <v>1614</v>
      </c>
      <c r="I1064" s="7">
        <v>82.508453000000003</v>
      </c>
      <c r="J1064" s="10">
        <v>-62.410525999999997</v>
      </c>
      <c r="K1064" s="7" t="s">
        <v>27</v>
      </c>
      <c r="L1064" s="7" t="s">
        <v>28</v>
      </c>
      <c r="M1064" s="7" t="s">
        <v>1608</v>
      </c>
      <c r="N1064" s="7" t="s">
        <v>1473</v>
      </c>
      <c r="O1064" s="7" t="s">
        <v>90</v>
      </c>
      <c r="P1064" s="7" t="s">
        <v>1473</v>
      </c>
      <c r="Q1064" s="7" t="s">
        <v>31</v>
      </c>
    </row>
    <row r="1065" spans="1:28" s="7" customFormat="1" x14ac:dyDescent="0.35">
      <c r="A1065" s="7">
        <v>63</v>
      </c>
      <c r="B1065" s="7" t="s">
        <v>1603</v>
      </c>
      <c r="C1065" s="7">
        <v>2025</v>
      </c>
      <c r="D1065" s="7" t="s">
        <v>1604</v>
      </c>
      <c r="E1065" s="7" t="s">
        <v>1605</v>
      </c>
      <c r="F1065" s="7" t="s">
        <v>1606</v>
      </c>
      <c r="G1065" s="7" t="s">
        <v>25</v>
      </c>
      <c r="H1065" s="7" t="s">
        <v>1614</v>
      </c>
      <c r="I1065" s="7">
        <v>82.508453000000003</v>
      </c>
      <c r="J1065" s="10">
        <v>-62.410525999999997</v>
      </c>
      <c r="K1065" s="7" t="s">
        <v>27</v>
      </c>
      <c r="L1065" s="7" t="s">
        <v>28</v>
      </c>
      <c r="M1065" s="7" t="s">
        <v>1608</v>
      </c>
      <c r="N1065" s="7" t="s">
        <v>1473</v>
      </c>
      <c r="O1065" s="7" t="s">
        <v>90</v>
      </c>
      <c r="P1065" s="7" t="s">
        <v>1473</v>
      </c>
      <c r="Q1065" s="7" t="s">
        <v>31</v>
      </c>
    </row>
    <row r="1066" spans="1:28" s="7" customFormat="1" x14ac:dyDescent="0.35">
      <c r="A1066" s="7">
        <v>63</v>
      </c>
      <c r="B1066" s="7" t="s">
        <v>1603</v>
      </c>
      <c r="C1066" s="7">
        <v>2025</v>
      </c>
      <c r="D1066" s="7" t="s">
        <v>1604</v>
      </c>
      <c r="E1066" s="7" t="s">
        <v>1605</v>
      </c>
      <c r="F1066" s="7" t="s">
        <v>1606</v>
      </c>
      <c r="G1066" s="7" t="s">
        <v>25</v>
      </c>
      <c r="H1066" s="7" t="s">
        <v>1614</v>
      </c>
      <c r="I1066" s="7">
        <v>82.508453000000003</v>
      </c>
      <c r="J1066" s="10">
        <v>-62.410525999999997</v>
      </c>
      <c r="K1066" s="7" t="s">
        <v>27</v>
      </c>
      <c r="L1066" s="7" t="s">
        <v>28</v>
      </c>
      <c r="M1066" s="7" t="s">
        <v>1608</v>
      </c>
      <c r="N1066" s="7" t="s">
        <v>1473</v>
      </c>
      <c r="O1066" s="7" t="s">
        <v>90</v>
      </c>
      <c r="P1066" s="7" t="s">
        <v>1473</v>
      </c>
      <c r="Q1066" s="7" t="s">
        <v>31</v>
      </c>
    </row>
    <row r="1067" spans="1:28" s="7" customFormat="1" x14ac:dyDescent="0.35">
      <c r="A1067" s="7">
        <v>63</v>
      </c>
      <c r="B1067" s="7" t="s">
        <v>1603</v>
      </c>
      <c r="C1067" s="7">
        <v>2025</v>
      </c>
      <c r="D1067" s="7" t="s">
        <v>1604</v>
      </c>
      <c r="E1067" s="7" t="s">
        <v>1605</v>
      </c>
      <c r="F1067" s="7" t="s">
        <v>1606</v>
      </c>
      <c r="G1067" s="7" t="s">
        <v>25</v>
      </c>
      <c r="H1067" s="7" t="s">
        <v>1614</v>
      </c>
      <c r="I1067" s="7">
        <v>82.508453000000003</v>
      </c>
      <c r="J1067" s="10">
        <v>-62.410525999999997</v>
      </c>
      <c r="K1067" s="7" t="s">
        <v>27</v>
      </c>
      <c r="L1067" s="7" t="s">
        <v>28</v>
      </c>
      <c r="M1067" s="7" t="s">
        <v>1608</v>
      </c>
      <c r="N1067" s="7" t="s">
        <v>1473</v>
      </c>
      <c r="O1067" s="7" t="s">
        <v>90</v>
      </c>
      <c r="P1067" s="7" t="s">
        <v>1473</v>
      </c>
      <c r="Q1067" s="7" t="s">
        <v>31</v>
      </c>
    </row>
    <row r="1068" spans="1:28" s="7" customFormat="1" x14ac:dyDescent="0.35">
      <c r="A1068" s="7">
        <v>63</v>
      </c>
      <c r="B1068" s="7" t="s">
        <v>1603</v>
      </c>
      <c r="C1068" s="7">
        <v>2025</v>
      </c>
      <c r="D1068" s="7" t="s">
        <v>1604</v>
      </c>
      <c r="E1068" s="7" t="s">
        <v>1605</v>
      </c>
      <c r="F1068" s="7" t="s">
        <v>1606</v>
      </c>
      <c r="G1068" s="7" t="s">
        <v>25</v>
      </c>
      <c r="H1068" s="7" t="s">
        <v>1614</v>
      </c>
      <c r="I1068" s="7">
        <v>82.508453000000003</v>
      </c>
      <c r="J1068" s="10">
        <v>-62.410525999999997</v>
      </c>
      <c r="K1068" s="7" t="s">
        <v>27</v>
      </c>
      <c r="L1068" s="7" t="s">
        <v>28</v>
      </c>
      <c r="M1068" s="7" t="s">
        <v>1608</v>
      </c>
      <c r="N1068" s="7" t="s">
        <v>1473</v>
      </c>
      <c r="O1068" s="7" t="s">
        <v>90</v>
      </c>
      <c r="P1068" s="7" t="s">
        <v>1473</v>
      </c>
      <c r="Q1068" s="7" t="s">
        <v>31</v>
      </c>
    </row>
    <row r="1069" spans="1:28" s="7" customFormat="1" x14ac:dyDescent="0.35">
      <c r="A1069" s="7">
        <v>63</v>
      </c>
      <c r="B1069" s="7" t="s">
        <v>1603</v>
      </c>
      <c r="C1069" s="7">
        <v>2025</v>
      </c>
      <c r="D1069" s="7" t="s">
        <v>1604</v>
      </c>
      <c r="E1069" s="7" t="s">
        <v>1605</v>
      </c>
      <c r="F1069" s="7" t="s">
        <v>1606</v>
      </c>
      <c r="G1069" s="7" t="s">
        <v>25</v>
      </c>
      <c r="H1069" s="7" t="s">
        <v>1614</v>
      </c>
      <c r="I1069" s="7">
        <v>82.508453000000003</v>
      </c>
      <c r="J1069" s="10">
        <v>-62.410525999999997</v>
      </c>
      <c r="K1069" s="7" t="s">
        <v>27</v>
      </c>
      <c r="L1069" s="7" t="s">
        <v>28</v>
      </c>
      <c r="M1069" s="7" t="s">
        <v>1608</v>
      </c>
      <c r="N1069" s="7" t="s">
        <v>1473</v>
      </c>
      <c r="O1069" s="7" t="s">
        <v>90</v>
      </c>
      <c r="P1069" s="7" t="s">
        <v>1473</v>
      </c>
      <c r="Q1069" s="7" t="s">
        <v>31</v>
      </c>
    </row>
    <row r="1070" spans="1:28" s="7" customFormat="1" x14ac:dyDescent="0.35">
      <c r="A1070" s="3">
        <v>64</v>
      </c>
      <c r="B1070" s="3" t="s">
        <v>1615</v>
      </c>
      <c r="C1070" s="3">
        <v>2024</v>
      </c>
      <c r="D1070" s="3" t="s">
        <v>1596</v>
      </c>
      <c r="E1070" s="3" t="s">
        <v>1616</v>
      </c>
      <c r="F1070" s="3" t="s">
        <v>1617</v>
      </c>
      <c r="G1070" s="3" t="s">
        <v>86</v>
      </c>
      <c r="H1070" s="3" t="s">
        <v>1618</v>
      </c>
      <c r="I1070" s="3">
        <v>43.285155000000003</v>
      </c>
      <c r="J1070" s="3">
        <v>-79.797692999999995</v>
      </c>
      <c r="K1070" s="3" t="s">
        <v>41</v>
      </c>
      <c r="L1070" s="3" t="s">
        <v>28</v>
      </c>
      <c r="M1070" s="3" t="s">
        <v>1619</v>
      </c>
      <c r="N1070" s="3" t="s">
        <v>982</v>
      </c>
      <c r="O1070" s="3" t="s">
        <v>31</v>
      </c>
      <c r="P1070" s="3" t="s">
        <v>982</v>
      </c>
      <c r="Q1070" s="3" t="s">
        <v>31</v>
      </c>
      <c r="R1070" s="3" t="s">
        <v>1621</v>
      </c>
      <c r="S1070" s="3"/>
      <c r="T1070" s="3"/>
      <c r="U1070" s="3"/>
      <c r="V1070" s="3"/>
      <c r="W1070" s="3"/>
      <c r="X1070" s="3"/>
      <c r="Y1070" s="3"/>
      <c r="Z1070" s="3"/>
      <c r="AA1070" s="3"/>
      <c r="AB1070" s="3"/>
    </row>
    <row r="1071" spans="1:28" s="7" customFormat="1" x14ac:dyDescent="0.35">
      <c r="A1071" s="3">
        <v>64</v>
      </c>
      <c r="B1071" s="3" t="s">
        <v>1615</v>
      </c>
      <c r="C1071" s="3">
        <v>2024</v>
      </c>
      <c r="D1071" s="3" t="s">
        <v>1596</v>
      </c>
      <c r="E1071" s="3" t="s">
        <v>1616</v>
      </c>
      <c r="F1071" s="3" t="s">
        <v>1617</v>
      </c>
      <c r="G1071" s="3" t="s">
        <v>86</v>
      </c>
      <c r="H1071" s="3" t="s">
        <v>1622</v>
      </c>
      <c r="I1071" s="3">
        <v>43.280206</v>
      </c>
      <c r="J1071" s="3">
        <v>-79.873435999999998</v>
      </c>
      <c r="K1071" s="3" t="s">
        <v>41</v>
      </c>
      <c r="L1071" s="3" t="s">
        <v>28</v>
      </c>
      <c r="M1071" s="3" t="s">
        <v>1619</v>
      </c>
      <c r="N1071" s="3" t="s">
        <v>982</v>
      </c>
      <c r="O1071" s="3" t="s">
        <v>31</v>
      </c>
      <c r="P1071" s="3" t="s">
        <v>982</v>
      </c>
      <c r="Q1071" s="3" t="s">
        <v>31</v>
      </c>
      <c r="R1071" s="3" t="s">
        <v>1621</v>
      </c>
      <c r="S1071" s="3"/>
      <c r="T1071" s="3"/>
      <c r="U1071" s="3"/>
      <c r="V1071" s="3"/>
      <c r="W1071" s="3"/>
      <c r="X1071" s="3"/>
      <c r="Y1071" s="3"/>
      <c r="Z1071" s="3"/>
      <c r="AA1071" s="3"/>
      <c r="AB1071" s="3"/>
    </row>
    <row r="1072" spans="1:28" s="7" customFormat="1" x14ac:dyDescent="0.35">
      <c r="A1072" s="3">
        <v>64</v>
      </c>
      <c r="B1072" s="3" t="s">
        <v>1615</v>
      </c>
      <c r="C1072" s="3">
        <v>2024</v>
      </c>
      <c r="D1072" s="3" t="s">
        <v>1596</v>
      </c>
      <c r="E1072" s="3" t="s">
        <v>1616</v>
      </c>
      <c r="F1072" s="3" t="s">
        <v>1617</v>
      </c>
      <c r="G1072" s="3" t="s">
        <v>86</v>
      </c>
      <c r="H1072" s="3" t="s">
        <v>1622</v>
      </c>
      <c r="I1072" s="3">
        <v>43.288334999999996</v>
      </c>
      <c r="J1072" s="3">
        <v>-79.836535999999995</v>
      </c>
      <c r="K1072" s="3" t="s">
        <v>41</v>
      </c>
      <c r="L1072" s="3" t="s">
        <v>28</v>
      </c>
      <c r="M1072" s="3" t="s">
        <v>1619</v>
      </c>
      <c r="N1072" s="3" t="s">
        <v>982</v>
      </c>
      <c r="O1072" s="3" t="s">
        <v>31</v>
      </c>
      <c r="P1072" s="3" t="s">
        <v>982</v>
      </c>
      <c r="Q1072" s="3" t="s">
        <v>31</v>
      </c>
      <c r="R1072" s="3" t="s">
        <v>1621</v>
      </c>
      <c r="S1072" s="3"/>
      <c r="T1072" s="3"/>
      <c r="U1072" s="3"/>
      <c r="V1072" s="3"/>
      <c r="W1072" s="3"/>
      <c r="X1072" s="3"/>
      <c r="Y1072" s="3"/>
      <c r="Z1072" s="3"/>
      <c r="AA1072" s="3"/>
      <c r="AB1072" s="3"/>
    </row>
    <row r="1073" spans="1:28" s="7" customFormat="1" x14ac:dyDescent="0.35">
      <c r="A1073" s="3">
        <v>64</v>
      </c>
      <c r="B1073" s="3" t="s">
        <v>1615</v>
      </c>
      <c r="C1073" s="3">
        <v>2024</v>
      </c>
      <c r="D1073" s="3" t="s">
        <v>1596</v>
      </c>
      <c r="E1073" s="3" t="s">
        <v>1616</v>
      </c>
      <c r="F1073" s="3" t="s">
        <v>1617</v>
      </c>
      <c r="G1073" s="3" t="s">
        <v>86</v>
      </c>
      <c r="H1073" s="3" t="s">
        <v>1623</v>
      </c>
      <c r="I1073" s="3">
        <v>43.310436000000003</v>
      </c>
      <c r="J1073" s="3">
        <v>-78.996322000000006</v>
      </c>
      <c r="K1073" s="3" t="s">
        <v>41</v>
      </c>
      <c r="L1073" s="3" t="s">
        <v>28</v>
      </c>
      <c r="M1073" s="3" t="s">
        <v>1619</v>
      </c>
      <c r="N1073" s="3" t="s">
        <v>982</v>
      </c>
      <c r="O1073" s="3" t="s">
        <v>31</v>
      </c>
      <c r="P1073" s="3" t="s">
        <v>982</v>
      </c>
      <c r="Q1073" s="3" t="s">
        <v>31</v>
      </c>
      <c r="R1073" s="3" t="s">
        <v>1624</v>
      </c>
      <c r="S1073" s="3"/>
      <c r="T1073" s="3"/>
      <c r="U1073" s="3"/>
      <c r="V1073" s="3"/>
      <c r="W1073" s="3"/>
      <c r="X1073" s="3"/>
      <c r="Y1073" s="3"/>
      <c r="Z1073" s="3"/>
      <c r="AA1073" s="3"/>
      <c r="AB1073" s="3"/>
    </row>
    <row r="1074" spans="1:28" s="7" customFormat="1" x14ac:dyDescent="0.35">
      <c r="A1074" s="3">
        <v>64</v>
      </c>
      <c r="B1074" s="3" t="s">
        <v>1615</v>
      </c>
      <c r="C1074" s="3">
        <v>2024</v>
      </c>
      <c r="D1074" s="3" t="s">
        <v>1596</v>
      </c>
      <c r="E1074" s="3" t="s">
        <v>1616</v>
      </c>
      <c r="F1074" s="3" t="s">
        <v>1617</v>
      </c>
      <c r="G1074" s="3" t="s">
        <v>86</v>
      </c>
      <c r="H1074" s="3" t="s">
        <v>1625</v>
      </c>
      <c r="I1074" s="3">
        <v>43.945836999999997</v>
      </c>
      <c r="J1074" s="3">
        <v>-78.153439000000006</v>
      </c>
      <c r="K1074" s="3" t="s">
        <v>41</v>
      </c>
      <c r="L1074" s="3" t="s">
        <v>28</v>
      </c>
      <c r="M1074" s="3" t="s">
        <v>1619</v>
      </c>
      <c r="N1074" s="3" t="s">
        <v>982</v>
      </c>
      <c r="O1074" s="3" t="s">
        <v>31</v>
      </c>
      <c r="P1074" s="3" t="s">
        <v>982</v>
      </c>
      <c r="Q1074" s="3" t="s">
        <v>31</v>
      </c>
      <c r="R1074" s="3" t="s">
        <v>1624</v>
      </c>
      <c r="S1074" s="3"/>
      <c r="T1074" s="3"/>
      <c r="U1074" s="3"/>
      <c r="V1074" s="3"/>
      <c r="W1074" s="3"/>
      <c r="X1074" s="3"/>
      <c r="Y1074" s="3"/>
      <c r="Z1074" s="3"/>
      <c r="AA1074" s="3"/>
      <c r="AB1074" s="3"/>
    </row>
    <row r="1075" spans="1:28" s="7" customFormat="1" x14ac:dyDescent="0.35">
      <c r="A1075" s="3">
        <v>64</v>
      </c>
      <c r="B1075" s="3" t="s">
        <v>1615</v>
      </c>
      <c r="C1075" s="3">
        <v>2024</v>
      </c>
      <c r="D1075" s="3" t="s">
        <v>1596</v>
      </c>
      <c r="E1075" s="3" t="s">
        <v>1616</v>
      </c>
      <c r="F1075" s="3" t="s">
        <v>1617</v>
      </c>
      <c r="G1075" s="3" t="s">
        <v>86</v>
      </c>
      <c r="H1075" s="3" t="s">
        <v>1622</v>
      </c>
      <c r="I1075" s="3">
        <v>43.808644000000001</v>
      </c>
      <c r="J1075" s="3">
        <v>-79.007975000000002</v>
      </c>
      <c r="K1075" s="3" t="s">
        <v>41</v>
      </c>
      <c r="L1075" s="3" t="s">
        <v>28</v>
      </c>
      <c r="M1075" s="3" t="s">
        <v>1619</v>
      </c>
      <c r="N1075" s="3" t="s">
        <v>982</v>
      </c>
      <c r="O1075" s="3" t="s">
        <v>31</v>
      </c>
      <c r="P1075" s="3" t="s">
        <v>982</v>
      </c>
      <c r="Q1075" s="3" t="s">
        <v>31</v>
      </c>
      <c r="R1075" s="3"/>
      <c r="S1075" s="3"/>
      <c r="T1075" s="3"/>
      <c r="U1075" s="3"/>
      <c r="V1075" s="3"/>
      <c r="W1075" s="3"/>
      <c r="X1075" s="3"/>
      <c r="Y1075" s="3"/>
      <c r="Z1075" s="3"/>
      <c r="AA1075" s="3"/>
      <c r="AB1075" s="3"/>
    </row>
    <row r="1076" spans="1:28" s="7" customFormat="1" x14ac:dyDescent="0.35">
      <c r="A1076" s="3">
        <v>64</v>
      </c>
      <c r="B1076" s="3" t="s">
        <v>1615</v>
      </c>
      <c r="C1076" s="3">
        <v>2024</v>
      </c>
      <c r="D1076" s="3" t="s">
        <v>1596</v>
      </c>
      <c r="E1076" s="3" t="s">
        <v>1616</v>
      </c>
      <c r="F1076" s="3" t="s">
        <v>1617</v>
      </c>
      <c r="G1076" s="3" t="s">
        <v>86</v>
      </c>
      <c r="H1076" s="3" t="s">
        <v>1622</v>
      </c>
      <c r="I1076" s="3">
        <v>44.082715</v>
      </c>
      <c r="J1076" s="3">
        <v>-77.563032000000007</v>
      </c>
      <c r="K1076" s="3" t="s">
        <v>41</v>
      </c>
      <c r="L1076" s="3" t="s">
        <v>28</v>
      </c>
      <c r="M1076" s="3" t="s">
        <v>1619</v>
      </c>
      <c r="N1076" s="3" t="s">
        <v>982</v>
      </c>
      <c r="O1076" s="3" t="s">
        <v>31</v>
      </c>
      <c r="P1076" s="3" t="s">
        <v>982</v>
      </c>
      <c r="Q1076" s="3" t="s">
        <v>31</v>
      </c>
      <c r="R1076" s="3"/>
      <c r="S1076" s="3"/>
      <c r="T1076" s="3"/>
      <c r="U1076" s="3"/>
      <c r="V1076" s="3"/>
      <c r="W1076" s="3"/>
      <c r="X1076" s="3"/>
      <c r="Y1076" s="3"/>
      <c r="Z1076" s="3"/>
      <c r="AA1076" s="3"/>
      <c r="AB1076" s="3"/>
    </row>
    <row r="1077" spans="1:28" s="7" customFormat="1" x14ac:dyDescent="0.35">
      <c r="A1077" s="3">
        <v>64</v>
      </c>
      <c r="B1077" s="3" t="s">
        <v>1615</v>
      </c>
      <c r="C1077" s="3">
        <v>2024</v>
      </c>
      <c r="D1077" s="3" t="s">
        <v>1596</v>
      </c>
      <c r="E1077" s="3" t="s">
        <v>1616</v>
      </c>
      <c r="F1077" s="3" t="s">
        <v>1617</v>
      </c>
      <c r="G1077" s="3" t="s">
        <v>86</v>
      </c>
      <c r="H1077" s="3" t="s">
        <v>1622</v>
      </c>
      <c r="I1077" s="3">
        <v>43.951430000000002</v>
      </c>
      <c r="J1077" s="3">
        <v>-76.770645000000002</v>
      </c>
      <c r="K1077" s="3" t="s">
        <v>41</v>
      </c>
      <c r="L1077" s="3" t="s">
        <v>28</v>
      </c>
      <c r="M1077" s="3" t="s">
        <v>1619</v>
      </c>
      <c r="N1077" s="3" t="s">
        <v>982</v>
      </c>
      <c r="O1077" s="3" t="s">
        <v>31</v>
      </c>
      <c r="P1077" s="3" t="s">
        <v>982</v>
      </c>
      <c r="Q1077" s="3" t="s">
        <v>31</v>
      </c>
      <c r="R1077" s="3"/>
      <c r="S1077" s="3"/>
      <c r="T1077" s="3"/>
      <c r="U1077" s="3"/>
      <c r="V1077" s="3"/>
      <c r="W1077" s="3"/>
      <c r="X1077" s="3"/>
      <c r="Y1077" s="3"/>
      <c r="Z1077" s="3"/>
      <c r="AA1077" s="3"/>
      <c r="AB1077" s="3"/>
    </row>
    <row r="1078" spans="1:28" s="7" customFormat="1" x14ac:dyDescent="0.35">
      <c r="A1078" s="3">
        <v>64</v>
      </c>
      <c r="B1078" s="3" t="s">
        <v>1615</v>
      </c>
      <c r="C1078" s="3">
        <v>2024</v>
      </c>
      <c r="D1078" s="3" t="s">
        <v>1596</v>
      </c>
      <c r="E1078" s="3" t="s">
        <v>1616</v>
      </c>
      <c r="F1078" s="3" t="s">
        <v>1617</v>
      </c>
      <c r="G1078" s="3" t="s">
        <v>86</v>
      </c>
      <c r="H1078" s="3" t="s">
        <v>1622</v>
      </c>
      <c r="I1078" s="7">
        <v>44.205356000000002</v>
      </c>
      <c r="J1078" s="7">
        <v>-76.479326</v>
      </c>
      <c r="K1078" s="3" t="s">
        <v>41</v>
      </c>
      <c r="L1078" s="3" t="s">
        <v>28</v>
      </c>
      <c r="M1078" s="3" t="s">
        <v>1619</v>
      </c>
      <c r="N1078" s="3" t="s">
        <v>982</v>
      </c>
      <c r="O1078" s="3" t="s">
        <v>31</v>
      </c>
      <c r="P1078" s="3" t="s">
        <v>982</v>
      </c>
      <c r="Q1078" s="3" t="s">
        <v>31</v>
      </c>
    </row>
    <row r="1079" spans="1:28" s="7" customFormat="1" x14ac:dyDescent="0.35">
      <c r="A1079" s="7">
        <v>65</v>
      </c>
      <c r="B1079" s="7" t="s">
        <v>1626</v>
      </c>
      <c r="C1079" s="7">
        <v>2024</v>
      </c>
      <c r="D1079" s="7" t="s">
        <v>1627</v>
      </c>
      <c r="E1079" s="7" t="s">
        <v>1628</v>
      </c>
      <c r="F1079" s="7" t="s">
        <v>432</v>
      </c>
      <c r="G1079" s="7" t="s">
        <v>494</v>
      </c>
      <c r="H1079" s="7" t="s">
        <v>1629</v>
      </c>
      <c r="I1079" s="7">
        <v>44.384669000000002</v>
      </c>
      <c r="J1079" s="7" t="s">
        <v>1630</v>
      </c>
      <c r="K1079" s="7" t="s">
        <v>138</v>
      </c>
      <c r="L1079" s="7" t="s">
        <v>163</v>
      </c>
      <c r="M1079" s="7" t="s">
        <v>1631</v>
      </c>
      <c r="N1079" s="7" t="s">
        <v>1632</v>
      </c>
      <c r="O1079" s="7" t="s">
        <v>31</v>
      </c>
      <c r="P1079" s="7" t="s">
        <v>1632</v>
      </c>
      <c r="Q1079" s="7" t="s">
        <v>31</v>
      </c>
    </row>
    <row r="1080" spans="1:28" s="7" customFormat="1" x14ac:dyDescent="0.35">
      <c r="A1080" s="7">
        <v>65</v>
      </c>
      <c r="B1080" s="7" t="s">
        <v>1626</v>
      </c>
      <c r="C1080" s="7">
        <v>2024</v>
      </c>
      <c r="D1080" s="7" t="s">
        <v>1627</v>
      </c>
      <c r="E1080" s="7" t="s">
        <v>1628</v>
      </c>
      <c r="F1080" s="7" t="s">
        <v>432</v>
      </c>
      <c r="G1080" s="7" t="s">
        <v>494</v>
      </c>
      <c r="H1080" s="7" t="s">
        <v>1634</v>
      </c>
      <c r="I1080" s="7" t="s">
        <v>1635</v>
      </c>
      <c r="J1080" s="7" t="s">
        <v>1636</v>
      </c>
      <c r="K1080" s="7" t="s">
        <v>138</v>
      </c>
      <c r="L1080" s="7" t="s">
        <v>163</v>
      </c>
      <c r="M1080" s="7" t="s">
        <v>1631</v>
      </c>
      <c r="N1080" s="7" t="s">
        <v>1632</v>
      </c>
      <c r="O1080" s="7" t="s">
        <v>31</v>
      </c>
      <c r="P1080" s="7" t="s">
        <v>1632</v>
      </c>
      <c r="Q1080" s="7" t="s">
        <v>31</v>
      </c>
    </row>
    <row r="1081" spans="1:28" s="7" customFormat="1" x14ac:dyDescent="0.35">
      <c r="A1081" s="7">
        <v>67</v>
      </c>
      <c r="B1081" s="7" t="s">
        <v>1637</v>
      </c>
      <c r="C1081" s="7">
        <v>2024</v>
      </c>
      <c r="D1081" s="7" t="s">
        <v>1638</v>
      </c>
      <c r="E1081" s="7" t="s">
        <v>1639</v>
      </c>
      <c r="F1081" s="7" t="s">
        <v>1640</v>
      </c>
      <c r="G1081" s="7" t="s">
        <v>86</v>
      </c>
      <c r="H1081" s="7" t="s">
        <v>1641</v>
      </c>
      <c r="I1081" s="7">
        <v>43.754778999999999</v>
      </c>
      <c r="J1081" s="10">
        <v>-78.966153000000006</v>
      </c>
      <c r="K1081" s="7" t="s">
        <v>103</v>
      </c>
      <c r="L1081" s="7" t="s">
        <v>28</v>
      </c>
      <c r="M1081" s="7" t="s">
        <v>1642</v>
      </c>
      <c r="N1081" s="7">
        <v>1030</v>
      </c>
      <c r="O1081" s="7" t="s">
        <v>31</v>
      </c>
      <c r="P1081" s="7">
        <f>N1081</f>
        <v>1030</v>
      </c>
      <c r="Q1081" s="7" t="s">
        <v>31</v>
      </c>
    </row>
    <row r="1082" spans="1:28" s="7" customFormat="1" x14ac:dyDescent="0.35">
      <c r="A1082" s="7">
        <v>67</v>
      </c>
      <c r="B1082" s="7" t="s">
        <v>1637</v>
      </c>
      <c r="C1082" s="7">
        <v>2024</v>
      </c>
      <c r="D1082" s="7" t="s">
        <v>1638</v>
      </c>
      <c r="E1082" s="7" t="s">
        <v>1639</v>
      </c>
      <c r="F1082" s="7" t="s">
        <v>1640</v>
      </c>
      <c r="G1082" s="7" t="s">
        <v>86</v>
      </c>
      <c r="H1082" s="7" t="s">
        <v>1643</v>
      </c>
      <c r="I1082" s="64">
        <v>44.722881000000001</v>
      </c>
      <c r="J1082" s="65">
        <v>-81.778653000000006</v>
      </c>
      <c r="K1082" s="7" t="s">
        <v>103</v>
      </c>
      <c r="L1082" s="7" t="s">
        <v>28</v>
      </c>
      <c r="M1082" s="7" t="s">
        <v>1642</v>
      </c>
      <c r="N1082" s="7">
        <v>1030</v>
      </c>
      <c r="O1082" s="7" t="s">
        <v>31</v>
      </c>
      <c r="P1082" s="7">
        <f>N1082</f>
        <v>1030</v>
      </c>
      <c r="Q1082" s="7" t="s">
        <v>31</v>
      </c>
    </row>
    <row r="1083" spans="1:28" s="7" customFormat="1" x14ac:dyDescent="0.35">
      <c r="A1083" s="7">
        <v>68</v>
      </c>
      <c r="B1083" s="4" t="s">
        <v>1644</v>
      </c>
      <c r="C1083" s="4">
        <v>2022</v>
      </c>
      <c r="D1083" s="4" t="s">
        <v>1645</v>
      </c>
      <c r="E1083" s="8" t="s">
        <v>1646</v>
      </c>
      <c r="F1083" s="7" t="s">
        <v>1647</v>
      </c>
      <c r="G1083" s="3" t="s">
        <v>86</v>
      </c>
      <c r="H1083" s="9" t="s">
        <v>1649</v>
      </c>
      <c r="I1083" s="7">
        <v>45.350557000000002</v>
      </c>
      <c r="J1083" s="7">
        <v>-75.816085000000001</v>
      </c>
      <c r="K1083" s="7" t="s">
        <v>41</v>
      </c>
      <c r="L1083" s="7" t="s">
        <v>223</v>
      </c>
      <c r="M1083" s="7" t="s">
        <v>1648</v>
      </c>
      <c r="N1083" s="7" t="s">
        <v>474</v>
      </c>
      <c r="O1083" s="7" t="s">
        <v>31</v>
      </c>
      <c r="P1083" s="7" t="s">
        <v>474</v>
      </c>
      <c r="Q1083" s="7" t="s">
        <v>31</v>
      </c>
    </row>
    <row r="1084" spans="1:28" s="7" customFormat="1" x14ac:dyDescent="0.35">
      <c r="A1084" s="7">
        <v>68</v>
      </c>
      <c r="B1084" s="4" t="s">
        <v>1644</v>
      </c>
      <c r="C1084" s="4">
        <v>2022</v>
      </c>
      <c r="D1084" s="4" t="s">
        <v>1645</v>
      </c>
      <c r="E1084" s="8" t="s">
        <v>1646</v>
      </c>
      <c r="F1084" s="7" t="s">
        <v>1647</v>
      </c>
      <c r="G1084" s="3" t="s">
        <v>86</v>
      </c>
      <c r="H1084" s="9" t="s">
        <v>1650</v>
      </c>
      <c r="I1084" s="7">
        <v>45.350557000000002</v>
      </c>
      <c r="J1084" s="7">
        <v>-75.816085000000001</v>
      </c>
      <c r="K1084" s="7" t="s">
        <v>41</v>
      </c>
      <c r="L1084" s="7" t="s">
        <v>223</v>
      </c>
      <c r="M1084" s="7" t="s">
        <v>1648</v>
      </c>
      <c r="N1084" s="7" t="s">
        <v>474</v>
      </c>
      <c r="O1084" s="7" t="s">
        <v>31</v>
      </c>
      <c r="P1084" s="7" t="s">
        <v>474</v>
      </c>
      <c r="Q1084" s="7" t="s">
        <v>31</v>
      </c>
    </row>
    <row r="1085" spans="1:28" s="7" customFormat="1" x14ac:dyDescent="0.35">
      <c r="A1085" s="7">
        <v>68</v>
      </c>
      <c r="B1085" s="4" t="s">
        <v>1644</v>
      </c>
      <c r="C1085" s="4">
        <v>2022</v>
      </c>
      <c r="D1085" s="4" t="s">
        <v>1645</v>
      </c>
      <c r="E1085" s="8" t="s">
        <v>1646</v>
      </c>
      <c r="F1085" s="7" t="s">
        <v>1647</v>
      </c>
      <c r="G1085" s="3" t="s">
        <v>86</v>
      </c>
      <c r="H1085" s="9" t="s">
        <v>1651</v>
      </c>
      <c r="I1085" s="7">
        <v>45.350557000000002</v>
      </c>
      <c r="J1085" s="7">
        <v>-75.816085000000001</v>
      </c>
      <c r="K1085" s="7" t="s">
        <v>41</v>
      </c>
      <c r="L1085" s="7" t="s">
        <v>223</v>
      </c>
      <c r="M1085" s="7" t="s">
        <v>1648</v>
      </c>
      <c r="N1085" s="7" t="s">
        <v>474</v>
      </c>
      <c r="O1085" s="7" t="s">
        <v>31</v>
      </c>
      <c r="P1085" s="7" t="s">
        <v>474</v>
      </c>
      <c r="Q1085" s="7" t="s">
        <v>31</v>
      </c>
    </row>
    <row r="1086" spans="1:28" s="7" customFormat="1" x14ac:dyDescent="0.35">
      <c r="A1086" s="7">
        <v>68</v>
      </c>
      <c r="B1086" s="4" t="s">
        <v>1644</v>
      </c>
      <c r="C1086" s="4">
        <v>2022</v>
      </c>
      <c r="D1086" s="4" t="s">
        <v>1645</v>
      </c>
      <c r="E1086" s="8" t="s">
        <v>1646</v>
      </c>
      <c r="F1086" s="7" t="s">
        <v>1647</v>
      </c>
      <c r="G1086" s="3" t="s">
        <v>86</v>
      </c>
      <c r="H1086" s="9" t="s">
        <v>1652</v>
      </c>
      <c r="I1086" s="7">
        <v>45.350557000000002</v>
      </c>
      <c r="J1086" s="7">
        <v>-75.816085000000001</v>
      </c>
      <c r="K1086" s="7" t="s">
        <v>41</v>
      </c>
      <c r="L1086" s="7" t="s">
        <v>223</v>
      </c>
      <c r="M1086" s="7" t="s">
        <v>1648</v>
      </c>
      <c r="N1086" s="7" t="s">
        <v>474</v>
      </c>
      <c r="O1086" s="7" t="s">
        <v>31</v>
      </c>
      <c r="P1086" s="7" t="s">
        <v>474</v>
      </c>
      <c r="Q1086" s="7" t="s">
        <v>31</v>
      </c>
    </row>
    <row r="1087" spans="1:28" s="7" customFormat="1" x14ac:dyDescent="0.35">
      <c r="A1087" s="7">
        <v>68</v>
      </c>
      <c r="B1087" s="4" t="s">
        <v>1644</v>
      </c>
      <c r="C1087" s="4">
        <v>2022</v>
      </c>
      <c r="D1087" s="4" t="s">
        <v>1645</v>
      </c>
      <c r="E1087" s="8" t="s">
        <v>1646</v>
      </c>
      <c r="F1087" s="7" t="s">
        <v>1647</v>
      </c>
      <c r="G1087" s="3" t="s">
        <v>86</v>
      </c>
      <c r="H1087" s="9" t="s">
        <v>1653</v>
      </c>
      <c r="I1087" s="7">
        <v>45.350557000000002</v>
      </c>
      <c r="J1087" s="7">
        <v>-75.816085000000001</v>
      </c>
      <c r="K1087" s="7" t="s">
        <v>41</v>
      </c>
      <c r="L1087" s="7" t="s">
        <v>223</v>
      </c>
      <c r="M1087" s="7" t="s">
        <v>1648</v>
      </c>
      <c r="N1087" s="7" t="s">
        <v>474</v>
      </c>
      <c r="O1087" s="7" t="s">
        <v>31</v>
      </c>
      <c r="P1087" s="7" t="s">
        <v>474</v>
      </c>
      <c r="Q1087" s="7" t="s">
        <v>31</v>
      </c>
    </row>
    <row r="1088" spans="1:28" s="7" customFormat="1" x14ac:dyDescent="0.35">
      <c r="A1088" s="7">
        <v>68</v>
      </c>
      <c r="B1088" s="4" t="s">
        <v>1644</v>
      </c>
      <c r="C1088" s="4">
        <v>2022</v>
      </c>
      <c r="D1088" s="4" t="s">
        <v>1645</v>
      </c>
      <c r="E1088" s="8" t="s">
        <v>1646</v>
      </c>
      <c r="F1088" s="7" t="s">
        <v>1647</v>
      </c>
      <c r="G1088" s="3" t="s">
        <v>86</v>
      </c>
      <c r="H1088" s="9" t="s">
        <v>1654</v>
      </c>
      <c r="I1088" s="7">
        <v>45.350557000000002</v>
      </c>
      <c r="J1088" s="7">
        <v>-75.816085000000001</v>
      </c>
      <c r="K1088" s="7" t="s">
        <v>41</v>
      </c>
      <c r="L1088" s="7" t="s">
        <v>223</v>
      </c>
      <c r="M1088" s="7" t="s">
        <v>1648</v>
      </c>
      <c r="N1088" s="7" t="s">
        <v>474</v>
      </c>
      <c r="O1088" s="7" t="s">
        <v>31</v>
      </c>
      <c r="P1088" s="7" t="s">
        <v>474</v>
      </c>
      <c r="Q1088" s="7" t="s">
        <v>31</v>
      </c>
    </row>
    <row r="1089" spans="1:18" s="7" customFormat="1" x14ac:dyDescent="0.35">
      <c r="A1089" s="7">
        <v>68</v>
      </c>
      <c r="B1089" s="4" t="s">
        <v>1644</v>
      </c>
      <c r="C1089" s="4">
        <v>2022</v>
      </c>
      <c r="D1089" s="4" t="s">
        <v>1645</v>
      </c>
      <c r="E1089" s="8" t="s">
        <v>1646</v>
      </c>
      <c r="F1089" s="7" t="s">
        <v>1647</v>
      </c>
      <c r="G1089" s="3" t="s">
        <v>86</v>
      </c>
      <c r="H1089" s="9" t="s">
        <v>1655</v>
      </c>
      <c r="I1089" s="7">
        <v>45.350557000000002</v>
      </c>
      <c r="J1089" s="7">
        <v>-75.816085000000001</v>
      </c>
      <c r="K1089" s="7" t="s">
        <v>41</v>
      </c>
      <c r="L1089" s="7" t="s">
        <v>223</v>
      </c>
      <c r="M1089" s="7" t="s">
        <v>1648</v>
      </c>
      <c r="N1089" s="7" t="s">
        <v>474</v>
      </c>
      <c r="O1089" s="7" t="s">
        <v>31</v>
      </c>
      <c r="P1089" s="7" t="s">
        <v>474</v>
      </c>
      <c r="Q1089" s="7" t="s">
        <v>31</v>
      </c>
    </row>
    <row r="1090" spans="1:18" s="7" customFormat="1" x14ac:dyDescent="0.35">
      <c r="A1090" s="7">
        <v>68</v>
      </c>
      <c r="B1090" s="4" t="s">
        <v>1644</v>
      </c>
      <c r="C1090" s="4">
        <v>2022</v>
      </c>
      <c r="D1090" s="4" t="s">
        <v>1645</v>
      </c>
      <c r="E1090" s="8" t="s">
        <v>1646</v>
      </c>
      <c r="F1090" s="7" t="s">
        <v>1647</v>
      </c>
      <c r="G1090" s="3" t="s">
        <v>86</v>
      </c>
      <c r="H1090" s="9" t="s">
        <v>1656</v>
      </c>
      <c r="I1090" s="7">
        <v>45.350557000000002</v>
      </c>
      <c r="J1090" s="7">
        <v>-75.816085000000001</v>
      </c>
      <c r="K1090" s="7" t="s">
        <v>41</v>
      </c>
      <c r="L1090" s="7" t="s">
        <v>223</v>
      </c>
      <c r="M1090" s="7" t="s">
        <v>1648</v>
      </c>
      <c r="N1090" s="7" t="s">
        <v>474</v>
      </c>
      <c r="O1090" s="7" t="s">
        <v>31</v>
      </c>
      <c r="P1090" s="7" t="s">
        <v>474</v>
      </c>
      <c r="Q1090" s="7" t="s">
        <v>31</v>
      </c>
    </row>
    <row r="1091" spans="1:18" s="7" customFormat="1" x14ac:dyDescent="0.35">
      <c r="A1091" s="7">
        <v>68</v>
      </c>
      <c r="B1091" s="4" t="s">
        <v>1644</v>
      </c>
      <c r="C1091" s="4">
        <v>2022</v>
      </c>
      <c r="D1091" s="4" t="s">
        <v>1645</v>
      </c>
      <c r="E1091" s="8" t="s">
        <v>1646</v>
      </c>
      <c r="F1091" s="7" t="s">
        <v>1647</v>
      </c>
      <c r="G1091" s="3" t="s">
        <v>86</v>
      </c>
      <c r="H1091" s="9" t="s">
        <v>1657</v>
      </c>
      <c r="I1091" s="7">
        <v>45.350557000000002</v>
      </c>
      <c r="J1091" s="7">
        <v>-75.816085000000001</v>
      </c>
      <c r="K1091" s="7" t="s">
        <v>41</v>
      </c>
      <c r="L1091" s="7" t="s">
        <v>223</v>
      </c>
      <c r="M1091" s="7" t="s">
        <v>1648</v>
      </c>
      <c r="N1091" s="7" t="s">
        <v>474</v>
      </c>
      <c r="O1091" s="7" t="s">
        <v>31</v>
      </c>
      <c r="P1091" s="7" t="s">
        <v>474</v>
      </c>
      <c r="Q1091" s="7" t="s">
        <v>31</v>
      </c>
    </row>
    <row r="1092" spans="1:18" s="7" customFormat="1" x14ac:dyDescent="0.35">
      <c r="A1092" s="7">
        <v>68</v>
      </c>
      <c r="B1092" s="4" t="s">
        <v>1644</v>
      </c>
      <c r="C1092" s="4">
        <v>2022</v>
      </c>
      <c r="D1092" s="4" t="s">
        <v>1645</v>
      </c>
      <c r="E1092" s="8" t="s">
        <v>1646</v>
      </c>
      <c r="F1092" s="7" t="s">
        <v>1647</v>
      </c>
      <c r="G1092" s="3" t="s">
        <v>86</v>
      </c>
      <c r="H1092" s="9" t="s">
        <v>1658</v>
      </c>
      <c r="I1092" s="7">
        <v>45.350557000000002</v>
      </c>
      <c r="J1092" s="7">
        <v>-75.816085000000001</v>
      </c>
      <c r="K1092" s="7" t="s">
        <v>41</v>
      </c>
      <c r="L1092" s="7" t="s">
        <v>223</v>
      </c>
      <c r="M1092" s="7" t="s">
        <v>1648</v>
      </c>
      <c r="N1092" s="7" t="s">
        <v>474</v>
      </c>
      <c r="O1092" s="7" t="s">
        <v>31</v>
      </c>
      <c r="P1092" s="7" t="s">
        <v>474</v>
      </c>
      <c r="Q1092" s="7" t="s">
        <v>31</v>
      </c>
    </row>
    <row r="1093" spans="1:18" s="7" customFormat="1" x14ac:dyDescent="0.35">
      <c r="A1093" s="7">
        <v>69</v>
      </c>
      <c r="B1093" s="7" t="s">
        <v>1659</v>
      </c>
      <c r="C1093" s="7">
        <v>2021</v>
      </c>
      <c r="D1093" s="7" t="s">
        <v>1660</v>
      </c>
      <c r="E1093" s="7" t="s">
        <v>1661</v>
      </c>
      <c r="F1093" s="7" t="s">
        <v>1662</v>
      </c>
      <c r="G1093" s="7" t="s">
        <v>39</v>
      </c>
      <c r="H1093" s="7" t="s">
        <v>1663</v>
      </c>
      <c r="I1093" s="7">
        <v>78.527820000000006</v>
      </c>
      <c r="J1093" s="7">
        <v>-130.94309999999999</v>
      </c>
      <c r="K1093" s="7" t="s">
        <v>41</v>
      </c>
      <c r="L1093" s="7" t="s">
        <v>42</v>
      </c>
      <c r="M1093" s="7" t="s">
        <v>1664</v>
      </c>
      <c r="N1093" s="7" t="s">
        <v>1665</v>
      </c>
      <c r="O1093" s="7" t="s">
        <v>90</v>
      </c>
      <c r="P1093" s="7" t="s">
        <v>1665</v>
      </c>
      <c r="Q1093" s="7" t="s">
        <v>31</v>
      </c>
      <c r="R1093" s="7" t="s">
        <v>1667</v>
      </c>
    </row>
    <row r="1094" spans="1:18" s="7" customFormat="1" x14ac:dyDescent="0.35">
      <c r="A1094" s="7">
        <v>69</v>
      </c>
      <c r="B1094" s="7" t="s">
        <v>1659</v>
      </c>
      <c r="C1094" s="7">
        <v>2021</v>
      </c>
      <c r="D1094" s="7" t="s">
        <v>1660</v>
      </c>
      <c r="E1094" s="7" t="s">
        <v>1661</v>
      </c>
      <c r="F1094" s="7" t="s">
        <v>1662</v>
      </c>
      <c r="G1094" s="7" t="s">
        <v>39</v>
      </c>
      <c r="H1094" s="7" t="s">
        <v>1663</v>
      </c>
      <c r="I1094" s="7">
        <v>70.564300000000003</v>
      </c>
      <c r="J1094" s="7">
        <v>-124.98681999999999</v>
      </c>
      <c r="K1094" s="7" t="s">
        <v>41</v>
      </c>
      <c r="L1094" s="7" t="s">
        <v>42</v>
      </c>
      <c r="M1094" s="7" t="s">
        <v>1664</v>
      </c>
      <c r="N1094" s="7" t="s">
        <v>1665</v>
      </c>
      <c r="O1094" s="7" t="s">
        <v>90</v>
      </c>
      <c r="P1094" s="7" t="s">
        <v>1665</v>
      </c>
      <c r="Q1094" s="7" t="s">
        <v>31</v>
      </c>
      <c r="R1094" s="7" t="s">
        <v>1667</v>
      </c>
    </row>
    <row r="1095" spans="1:18" s="7" customFormat="1" x14ac:dyDescent="0.35">
      <c r="A1095" s="7">
        <v>69</v>
      </c>
      <c r="B1095" s="7" t="s">
        <v>1659</v>
      </c>
      <c r="C1095" s="7">
        <v>2021</v>
      </c>
      <c r="D1095" s="7" t="s">
        <v>1660</v>
      </c>
      <c r="E1095" s="7" t="s">
        <v>1661</v>
      </c>
      <c r="F1095" s="7" t="s">
        <v>1662</v>
      </c>
      <c r="G1095" s="7" t="s">
        <v>39</v>
      </c>
      <c r="H1095" s="7" t="s">
        <v>1663</v>
      </c>
      <c r="I1095" s="7">
        <v>72.990480000000005</v>
      </c>
      <c r="J1095" s="7">
        <v>-136.32975999999999</v>
      </c>
      <c r="K1095" s="7" t="s">
        <v>41</v>
      </c>
      <c r="L1095" s="7" t="s">
        <v>42</v>
      </c>
      <c r="M1095" s="7" t="s">
        <v>1664</v>
      </c>
      <c r="N1095" s="7" t="s">
        <v>1665</v>
      </c>
      <c r="O1095" s="7" t="s">
        <v>90</v>
      </c>
      <c r="P1095" s="7" t="s">
        <v>1665</v>
      </c>
      <c r="Q1095" s="7" t="s">
        <v>31</v>
      </c>
      <c r="R1095" s="7" t="s">
        <v>1667</v>
      </c>
    </row>
    <row r="1096" spans="1:18" s="7" customFormat="1" x14ac:dyDescent="0.35">
      <c r="A1096" s="7">
        <v>69</v>
      </c>
      <c r="B1096" s="7" t="s">
        <v>1659</v>
      </c>
      <c r="C1096" s="7">
        <v>2021</v>
      </c>
      <c r="D1096" s="7" t="s">
        <v>1660</v>
      </c>
      <c r="E1096" s="7" t="s">
        <v>1661</v>
      </c>
      <c r="F1096" s="7" t="s">
        <v>1662</v>
      </c>
      <c r="G1096" s="7" t="s">
        <v>25</v>
      </c>
      <c r="H1096" s="7" t="s">
        <v>1668</v>
      </c>
      <c r="I1096" s="7">
        <v>74.488</v>
      </c>
      <c r="J1096" s="7">
        <v>-83.03</v>
      </c>
      <c r="K1096" s="7" t="s">
        <v>41</v>
      </c>
      <c r="L1096" s="7" t="s">
        <v>42</v>
      </c>
      <c r="M1096" s="7" t="s">
        <v>1664</v>
      </c>
      <c r="N1096" s="7" t="s">
        <v>1665</v>
      </c>
      <c r="O1096" s="7" t="s">
        <v>90</v>
      </c>
      <c r="P1096" s="7" t="s">
        <v>1665</v>
      </c>
      <c r="Q1096" s="7" t="s">
        <v>31</v>
      </c>
      <c r="R1096" s="7" t="s">
        <v>1667</v>
      </c>
    </row>
    <row r="1097" spans="1:18" s="7" customFormat="1" x14ac:dyDescent="0.35">
      <c r="A1097" s="7">
        <v>69</v>
      </c>
      <c r="B1097" s="7" t="s">
        <v>1659</v>
      </c>
      <c r="C1097" s="7">
        <v>2021</v>
      </c>
      <c r="D1097" s="7" t="s">
        <v>1660</v>
      </c>
      <c r="E1097" s="7" t="s">
        <v>1661</v>
      </c>
      <c r="F1097" s="7" t="s">
        <v>1662</v>
      </c>
      <c r="G1097" s="7" t="s">
        <v>25</v>
      </c>
      <c r="H1097" s="7" t="s">
        <v>1668</v>
      </c>
      <c r="I1097" s="7">
        <v>74.528000000000006</v>
      </c>
      <c r="J1097" s="7">
        <v>-85.447000000000003</v>
      </c>
      <c r="K1097" s="7" t="s">
        <v>41</v>
      </c>
      <c r="L1097" s="7" t="s">
        <v>42</v>
      </c>
      <c r="M1097" s="7" t="s">
        <v>1664</v>
      </c>
      <c r="N1097" s="7" t="s">
        <v>1665</v>
      </c>
      <c r="O1097" s="7" t="s">
        <v>90</v>
      </c>
      <c r="P1097" s="7" t="s">
        <v>1665</v>
      </c>
      <c r="Q1097" s="7" t="s">
        <v>31</v>
      </c>
      <c r="R1097" s="7" t="s">
        <v>1667</v>
      </c>
    </row>
    <row r="1098" spans="1:18" s="7" customFormat="1" x14ac:dyDescent="0.35">
      <c r="A1098" s="7">
        <v>69</v>
      </c>
      <c r="B1098" s="7" t="s">
        <v>1659</v>
      </c>
      <c r="C1098" s="7">
        <v>2021</v>
      </c>
      <c r="D1098" s="7" t="s">
        <v>1660</v>
      </c>
      <c r="E1098" s="7" t="s">
        <v>1661</v>
      </c>
      <c r="F1098" s="7" t="s">
        <v>1662</v>
      </c>
      <c r="G1098" s="7" t="s">
        <v>25</v>
      </c>
      <c r="H1098" s="7" t="s">
        <v>1668</v>
      </c>
      <c r="I1098" s="7">
        <v>74.531000000000006</v>
      </c>
      <c r="J1098" s="7">
        <v>-89.036299999999997</v>
      </c>
      <c r="K1098" s="7" t="s">
        <v>41</v>
      </c>
      <c r="L1098" s="7" t="s">
        <v>42</v>
      </c>
      <c r="M1098" s="7" t="s">
        <v>1664</v>
      </c>
      <c r="N1098" s="7" t="s">
        <v>1665</v>
      </c>
      <c r="O1098" s="7" t="s">
        <v>90</v>
      </c>
      <c r="P1098" s="7" t="s">
        <v>1665</v>
      </c>
      <c r="Q1098" s="7" t="s">
        <v>31</v>
      </c>
      <c r="R1098" s="7" t="s">
        <v>1667</v>
      </c>
    </row>
    <row r="1099" spans="1:18" s="7" customFormat="1" x14ac:dyDescent="0.35">
      <c r="A1099" s="7">
        <v>69</v>
      </c>
      <c r="B1099" s="7" t="s">
        <v>1659</v>
      </c>
      <c r="C1099" s="7">
        <v>2021</v>
      </c>
      <c r="D1099" s="7" t="s">
        <v>1660</v>
      </c>
      <c r="E1099" s="7" t="s">
        <v>1661</v>
      </c>
      <c r="F1099" s="7" t="s">
        <v>1662</v>
      </c>
      <c r="G1099" s="7" t="s">
        <v>25</v>
      </c>
      <c r="H1099" s="7" t="s">
        <v>1668</v>
      </c>
      <c r="I1099" s="7">
        <v>74.703000000000003</v>
      </c>
      <c r="J1099" s="7">
        <v>-91.971000000000004</v>
      </c>
      <c r="K1099" s="7" t="s">
        <v>41</v>
      </c>
      <c r="L1099" s="7" t="s">
        <v>42</v>
      </c>
      <c r="M1099" s="7" t="s">
        <v>1664</v>
      </c>
      <c r="N1099" s="7" t="s">
        <v>1665</v>
      </c>
      <c r="O1099" s="7" t="s">
        <v>90</v>
      </c>
      <c r="P1099" s="7" t="s">
        <v>1665</v>
      </c>
      <c r="Q1099" s="7" t="s">
        <v>31</v>
      </c>
      <c r="R1099" s="7" t="s">
        <v>1667</v>
      </c>
    </row>
    <row r="1100" spans="1:18" s="7" customFormat="1" x14ac:dyDescent="0.35">
      <c r="A1100" s="7">
        <v>69</v>
      </c>
      <c r="B1100" s="7" t="s">
        <v>1659</v>
      </c>
      <c r="C1100" s="7">
        <v>2021</v>
      </c>
      <c r="D1100" s="7" t="s">
        <v>1660</v>
      </c>
      <c r="E1100" s="7" t="s">
        <v>1661</v>
      </c>
      <c r="F1100" s="7" t="s">
        <v>1662</v>
      </c>
      <c r="G1100" s="7" t="s">
        <v>25</v>
      </c>
      <c r="H1100" s="7" t="s">
        <v>1668</v>
      </c>
      <c r="I1100" s="7">
        <v>74.733999999999995</v>
      </c>
      <c r="J1100" s="7">
        <v>-92.039000000000001</v>
      </c>
      <c r="K1100" s="7" t="s">
        <v>41</v>
      </c>
      <c r="L1100" s="7" t="s">
        <v>42</v>
      </c>
      <c r="M1100" s="7" t="s">
        <v>1664</v>
      </c>
      <c r="N1100" s="7" t="s">
        <v>1665</v>
      </c>
      <c r="O1100" s="7" t="s">
        <v>90</v>
      </c>
      <c r="P1100" s="7" t="s">
        <v>1665</v>
      </c>
      <c r="Q1100" s="7" t="s">
        <v>31</v>
      </c>
      <c r="R1100" s="7" t="s">
        <v>1667</v>
      </c>
    </row>
    <row r="1101" spans="1:18" s="7" customFormat="1" x14ac:dyDescent="0.35">
      <c r="A1101" s="7">
        <v>69</v>
      </c>
      <c r="B1101" s="7" t="s">
        <v>1659</v>
      </c>
      <c r="C1101" s="7">
        <v>2021</v>
      </c>
      <c r="D1101" s="7" t="s">
        <v>1660</v>
      </c>
      <c r="E1101" s="7" t="s">
        <v>1661</v>
      </c>
      <c r="F1101" s="7" t="s">
        <v>1662</v>
      </c>
      <c r="G1101" s="7" t="s">
        <v>25</v>
      </c>
      <c r="H1101" s="7" t="s">
        <v>1668</v>
      </c>
      <c r="I1101" s="7">
        <v>74.016999999999996</v>
      </c>
      <c r="J1101" s="7">
        <v>-89.867999999999995</v>
      </c>
      <c r="K1101" s="7" t="s">
        <v>41</v>
      </c>
      <c r="L1101" s="7" t="s">
        <v>42</v>
      </c>
      <c r="M1101" s="7" t="s">
        <v>1664</v>
      </c>
      <c r="N1101" s="7" t="s">
        <v>1665</v>
      </c>
      <c r="O1101" s="7" t="s">
        <v>90</v>
      </c>
      <c r="P1101" s="7" t="s">
        <v>1665</v>
      </c>
      <c r="Q1101" s="7" t="s">
        <v>31</v>
      </c>
      <c r="R1101" s="7" t="s">
        <v>1667</v>
      </c>
    </row>
    <row r="1102" spans="1:18" s="7" customFormat="1" x14ac:dyDescent="0.35">
      <c r="A1102" s="7">
        <v>69</v>
      </c>
      <c r="B1102" s="7" t="s">
        <v>1659</v>
      </c>
      <c r="C1102" s="7">
        <v>2021</v>
      </c>
      <c r="D1102" s="7" t="s">
        <v>1660</v>
      </c>
      <c r="E1102" s="7" t="s">
        <v>1661</v>
      </c>
      <c r="F1102" s="7" t="s">
        <v>1662</v>
      </c>
      <c r="G1102" s="7" t="s">
        <v>25</v>
      </c>
      <c r="H1102" s="7" t="s">
        <v>1668</v>
      </c>
      <c r="I1102" s="7">
        <v>73.504000000000005</v>
      </c>
      <c r="J1102" s="7">
        <v>-90.569000000000003</v>
      </c>
      <c r="K1102" s="7" t="s">
        <v>41</v>
      </c>
      <c r="L1102" s="7" t="s">
        <v>42</v>
      </c>
      <c r="M1102" s="7" t="s">
        <v>1664</v>
      </c>
      <c r="N1102" s="7" t="s">
        <v>1665</v>
      </c>
      <c r="O1102" s="7" t="s">
        <v>90</v>
      </c>
      <c r="P1102" s="7" t="s">
        <v>1665</v>
      </c>
      <c r="Q1102" s="7" t="s">
        <v>31</v>
      </c>
      <c r="R1102" s="7" t="s">
        <v>1667</v>
      </c>
    </row>
    <row r="1103" spans="1:18" s="7" customFormat="1" x14ac:dyDescent="0.35">
      <c r="A1103" s="7">
        <v>69</v>
      </c>
      <c r="B1103" s="7" t="s">
        <v>1659</v>
      </c>
      <c r="C1103" s="7">
        <v>2021</v>
      </c>
      <c r="D1103" s="7" t="s">
        <v>1660</v>
      </c>
      <c r="E1103" s="7" t="s">
        <v>1661</v>
      </c>
      <c r="F1103" s="7" t="s">
        <v>1662</v>
      </c>
      <c r="G1103" s="7" t="s">
        <v>25</v>
      </c>
      <c r="H1103" s="7" t="s">
        <v>1668</v>
      </c>
      <c r="I1103" s="7">
        <v>72.006</v>
      </c>
      <c r="J1103" s="7">
        <v>-94.215999999999994</v>
      </c>
      <c r="K1103" s="7" t="s">
        <v>41</v>
      </c>
      <c r="L1103" s="7" t="s">
        <v>42</v>
      </c>
      <c r="M1103" s="7" t="s">
        <v>1664</v>
      </c>
      <c r="N1103" s="7" t="s">
        <v>1665</v>
      </c>
      <c r="O1103" s="7" t="s">
        <v>90</v>
      </c>
      <c r="P1103" s="7" t="s">
        <v>1665</v>
      </c>
      <c r="Q1103" s="7" t="s">
        <v>31</v>
      </c>
      <c r="R1103" s="7" t="s">
        <v>1667</v>
      </c>
    </row>
    <row r="1104" spans="1:18" s="7" customFormat="1" x14ac:dyDescent="0.35">
      <c r="A1104" s="7">
        <v>69</v>
      </c>
      <c r="B1104" s="7" t="s">
        <v>1659</v>
      </c>
      <c r="C1104" s="7">
        <v>2021</v>
      </c>
      <c r="D1104" s="7" t="s">
        <v>1660</v>
      </c>
      <c r="E1104" s="7" t="s">
        <v>1661</v>
      </c>
      <c r="F1104" s="7" t="s">
        <v>1662</v>
      </c>
      <c r="G1104" s="7" t="s">
        <v>25</v>
      </c>
      <c r="H1104" s="7" t="s">
        <v>1668</v>
      </c>
      <c r="I1104" s="7">
        <v>71.926000000000002</v>
      </c>
      <c r="J1104" s="7">
        <v>-95.626000000000005</v>
      </c>
      <c r="K1104" s="7" t="s">
        <v>41</v>
      </c>
      <c r="L1104" s="7" t="s">
        <v>42</v>
      </c>
      <c r="M1104" s="7" t="s">
        <v>1664</v>
      </c>
      <c r="N1104" s="7" t="s">
        <v>1665</v>
      </c>
      <c r="O1104" s="7" t="s">
        <v>90</v>
      </c>
      <c r="P1104" s="7" t="s">
        <v>1665</v>
      </c>
      <c r="Q1104" s="7" t="s">
        <v>31</v>
      </c>
      <c r="R1104" s="7" t="s">
        <v>1667</v>
      </c>
    </row>
    <row r="1105" spans="1:18" s="7" customFormat="1" x14ac:dyDescent="0.35">
      <c r="A1105" s="7">
        <v>69</v>
      </c>
      <c r="B1105" s="7" t="s">
        <v>1659</v>
      </c>
      <c r="C1105" s="7">
        <v>2021</v>
      </c>
      <c r="D1105" s="7" t="s">
        <v>1660</v>
      </c>
      <c r="E1105" s="7" t="s">
        <v>1661</v>
      </c>
      <c r="F1105" s="7" t="s">
        <v>1662</v>
      </c>
      <c r="G1105" s="7" t="s">
        <v>25</v>
      </c>
      <c r="H1105" s="7" t="s">
        <v>1668</v>
      </c>
      <c r="I1105" s="7">
        <v>71.789000000000001</v>
      </c>
      <c r="J1105" s="7">
        <v>-96.82</v>
      </c>
      <c r="K1105" s="7" t="s">
        <v>41</v>
      </c>
      <c r="L1105" s="7" t="s">
        <v>42</v>
      </c>
      <c r="M1105" s="7" t="s">
        <v>1664</v>
      </c>
      <c r="N1105" s="7" t="s">
        <v>1665</v>
      </c>
      <c r="O1105" s="7" t="s">
        <v>90</v>
      </c>
      <c r="P1105" s="7" t="s">
        <v>1665</v>
      </c>
      <c r="Q1105" s="7" t="s">
        <v>31</v>
      </c>
      <c r="R1105" s="7" t="s">
        <v>1667</v>
      </c>
    </row>
    <row r="1106" spans="1:18" s="7" customFormat="1" x14ac:dyDescent="0.35">
      <c r="A1106" s="7">
        <v>69</v>
      </c>
      <c r="B1106" s="7" t="s">
        <v>1659</v>
      </c>
      <c r="C1106" s="7">
        <v>2021</v>
      </c>
      <c r="D1106" s="7" t="s">
        <v>1660</v>
      </c>
      <c r="E1106" s="7" t="s">
        <v>1661</v>
      </c>
      <c r="F1106" s="7" t="s">
        <v>1662</v>
      </c>
      <c r="G1106" s="7" t="s">
        <v>25</v>
      </c>
      <c r="H1106" s="7" t="s">
        <v>1668</v>
      </c>
      <c r="I1106" s="7">
        <v>71.456000000000003</v>
      </c>
      <c r="J1106" s="7">
        <v>-97.031000000000006</v>
      </c>
      <c r="K1106" s="7" t="s">
        <v>41</v>
      </c>
      <c r="L1106" s="7" t="s">
        <v>42</v>
      </c>
      <c r="M1106" s="7" t="s">
        <v>1664</v>
      </c>
      <c r="N1106" s="7" t="s">
        <v>1665</v>
      </c>
      <c r="O1106" s="7" t="s">
        <v>90</v>
      </c>
      <c r="P1106" s="7" t="s">
        <v>1665</v>
      </c>
      <c r="Q1106" s="7" t="s">
        <v>31</v>
      </c>
      <c r="R1106" s="7" t="s">
        <v>1667</v>
      </c>
    </row>
    <row r="1107" spans="1:18" s="7" customFormat="1" x14ac:dyDescent="0.35">
      <c r="A1107" s="7">
        <v>69</v>
      </c>
      <c r="B1107" s="7" t="s">
        <v>1659</v>
      </c>
      <c r="C1107" s="7">
        <v>2021</v>
      </c>
      <c r="D1107" s="7" t="s">
        <v>1660</v>
      </c>
      <c r="E1107" s="7" t="s">
        <v>1661</v>
      </c>
      <c r="F1107" s="7" t="s">
        <v>1662</v>
      </c>
      <c r="G1107" s="7" t="s">
        <v>25</v>
      </c>
      <c r="H1107" s="7" t="s">
        <v>1668</v>
      </c>
      <c r="I1107" s="7">
        <v>69.665000000000006</v>
      </c>
      <c r="J1107" s="7">
        <v>-98.405000000000001</v>
      </c>
      <c r="K1107" s="7" t="s">
        <v>41</v>
      </c>
      <c r="L1107" s="7" t="s">
        <v>42</v>
      </c>
      <c r="M1107" s="7" t="s">
        <v>1664</v>
      </c>
      <c r="N1107" s="7" t="s">
        <v>1665</v>
      </c>
      <c r="O1107" s="7" t="s">
        <v>90</v>
      </c>
      <c r="P1107" s="7" t="s">
        <v>1665</v>
      </c>
      <c r="Q1107" s="7" t="s">
        <v>31</v>
      </c>
      <c r="R1107" s="7" t="s">
        <v>1667</v>
      </c>
    </row>
    <row r="1108" spans="1:18" s="7" customFormat="1" ht="15.75" customHeight="1" x14ac:dyDescent="0.35">
      <c r="A1108" s="7">
        <v>69</v>
      </c>
      <c r="B1108" s="7" t="s">
        <v>1659</v>
      </c>
      <c r="C1108" s="7">
        <v>2021</v>
      </c>
      <c r="D1108" s="7" t="s">
        <v>1660</v>
      </c>
      <c r="E1108" s="7" t="s">
        <v>1661</v>
      </c>
      <c r="F1108" s="7" t="s">
        <v>1662</v>
      </c>
      <c r="G1108" s="7" t="s">
        <v>25</v>
      </c>
      <c r="H1108" s="7" t="s">
        <v>1669</v>
      </c>
      <c r="I1108" s="7">
        <v>72.387</v>
      </c>
      <c r="J1108" s="7">
        <v>-66.453599999999994</v>
      </c>
      <c r="K1108" s="7" t="s">
        <v>41</v>
      </c>
      <c r="L1108" s="7" t="s">
        <v>42</v>
      </c>
      <c r="M1108" s="7" t="s">
        <v>1664</v>
      </c>
      <c r="N1108" s="7" t="s">
        <v>1665</v>
      </c>
      <c r="O1108" s="7" t="s">
        <v>90</v>
      </c>
      <c r="P1108" s="7" t="s">
        <v>1665</v>
      </c>
      <c r="Q1108" s="7" t="s">
        <v>31</v>
      </c>
      <c r="R1108" s="7" t="s">
        <v>1667</v>
      </c>
    </row>
    <row r="1109" spans="1:18" s="7" customFormat="1" ht="15.75" customHeight="1" x14ac:dyDescent="0.35">
      <c r="A1109" s="7">
        <v>70</v>
      </c>
      <c r="B1109" s="4" t="s">
        <v>1670</v>
      </c>
      <c r="C1109" s="4">
        <v>2023</v>
      </c>
      <c r="D1109" s="4" t="s">
        <v>1638</v>
      </c>
      <c r="E1109" s="8" t="s">
        <v>1671</v>
      </c>
      <c r="F1109" s="7" t="s">
        <v>1647</v>
      </c>
      <c r="G1109" s="3" t="s">
        <v>86</v>
      </c>
      <c r="H1109" s="7" t="s">
        <v>1672</v>
      </c>
      <c r="I1109" s="7">
        <v>45.61598</v>
      </c>
      <c r="J1109" s="7">
        <v>-74.599279999999993</v>
      </c>
      <c r="K1109" s="7" t="s">
        <v>138</v>
      </c>
      <c r="L1109" s="7" t="s">
        <v>223</v>
      </c>
      <c r="N1109" s="7" t="s">
        <v>245</v>
      </c>
      <c r="P1109" s="7" t="s">
        <v>245</v>
      </c>
    </row>
    <row r="1110" spans="1:18" s="7" customFormat="1" ht="15.75" customHeight="1" x14ac:dyDescent="0.35">
      <c r="A1110" s="7">
        <v>70</v>
      </c>
      <c r="B1110" s="4" t="s">
        <v>1670</v>
      </c>
      <c r="C1110" s="4">
        <v>2023</v>
      </c>
      <c r="D1110" s="4" t="s">
        <v>1638</v>
      </c>
      <c r="E1110" s="8" t="s">
        <v>1671</v>
      </c>
      <c r="F1110" s="7" t="s">
        <v>1647</v>
      </c>
      <c r="G1110" s="3" t="s">
        <v>86</v>
      </c>
      <c r="H1110" s="7" t="s">
        <v>1674</v>
      </c>
      <c r="I1110" s="7">
        <v>45.611809999999998</v>
      </c>
      <c r="J1110" s="7">
        <v>-74.603560000000002</v>
      </c>
      <c r="K1110" s="7" t="s">
        <v>138</v>
      </c>
      <c r="L1110" s="7" t="s">
        <v>223</v>
      </c>
      <c r="N1110" s="7" t="s">
        <v>245</v>
      </c>
      <c r="P1110" s="7" t="s">
        <v>245</v>
      </c>
    </row>
    <row r="1111" spans="1:18" s="7" customFormat="1" ht="15.75" customHeight="1" x14ac:dyDescent="0.35">
      <c r="A1111" s="7">
        <v>70</v>
      </c>
      <c r="B1111" s="4" t="s">
        <v>1670</v>
      </c>
      <c r="C1111" s="4">
        <v>2023</v>
      </c>
      <c r="D1111" s="4" t="s">
        <v>1638</v>
      </c>
      <c r="E1111" s="8" t="s">
        <v>1671</v>
      </c>
      <c r="F1111" s="7" t="s">
        <v>1647</v>
      </c>
      <c r="G1111" s="3" t="s">
        <v>86</v>
      </c>
      <c r="H1111" s="7" t="s">
        <v>1676</v>
      </c>
      <c r="I1111" s="7">
        <v>45.4985</v>
      </c>
      <c r="J1111" s="7">
        <v>-75.505219999999994</v>
      </c>
      <c r="K1111" s="7" t="s">
        <v>138</v>
      </c>
      <c r="L1111" s="7" t="s">
        <v>223</v>
      </c>
      <c r="N1111" s="7" t="s">
        <v>245</v>
      </c>
      <c r="P1111" s="7" t="s">
        <v>245</v>
      </c>
    </row>
    <row r="1112" spans="1:18" s="7" customFormat="1" ht="15.75" customHeight="1" x14ac:dyDescent="0.35">
      <c r="A1112" s="7">
        <v>70</v>
      </c>
      <c r="B1112" s="4" t="s">
        <v>1670</v>
      </c>
      <c r="C1112" s="4">
        <v>2023</v>
      </c>
      <c r="D1112" s="4" t="s">
        <v>1638</v>
      </c>
      <c r="E1112" s="8" t="s">
        <v>1671</v>
      </c>
      <c r="F1112" s="7" t="s">
        <v>1647</v>
      </c>
      <c r="G1112" s="3" t="s">
        <v>86</v>
      </c>
      <c r="H1112" s="7" t="s">
        <v>1678</v>
      </c>
      <c r="I1112" s="7">
        <v>45.463329999999999</v>
      </c>
      <c r="J1112" s="7">
        <v>-75.617940000000004</v>
      </c>
      <c r="K1112" s="7" t="s">
        <v>138</v>
      </c>
      <c r="L1112" s="7" t="s">
        <v>223</v>
      </c>
      <c r="N1112" s="7" t="s">
        <v>245</v>
      </c>
      <c r="P1112" s="7" t="s">
        <v>245</v>
      </c>
    </row>
    <row r="1113" spans="1:18" s="7" customFormat="1" ht="15.75" customHeight="1" x14ac:dyDescent="0.35">
      <c r="A1113" s="7">
        <v>70</v>
      </c>
      <c r="B1113" s="4" t="s">
        <v>1670</v>
      </c>
      <c r="C1113" s="4">
        <v>2023</v>
      </c>
      <c r="D1113" s="4" t="s">
        <v>1638</v>
      </c>
      <c r="E1113" s="8" t="s">
        <v>1671</v>
      </c>
      <c r="F1113" s="7" t="s">
        <v>1647</v>
      </c>
      <c r="G1113" s="3" t="s">
        <v>86</v>
      </c>
      <c r="H1113" s="7" t="s">
        <v>1680</v>
      </c>
      <c r="I1113" s="7">
        <v>45.463259999999998</v>
      </c>
      <c r="J1113" s="7">
        <v>-75.626649999999998</v>
      </c>
      <c r="K1113" s="7" t="s">
        <v>138</v>
      </c>
      <c r="L1113" s="7" t="s">
        <v>223</v>
      </c>
      <c r="N1113" s="7" t="s">
        <v>245</v>
      </c>
      <c r="P1113" s="7" t="s">
        <v>245</v>
      </c>
    </row>
    <row r="1114" spans="1:18" s="7" customFormat="1" ht="15.75" customHeight="1" x14ac:dyDescent="0.35">
      <c r="A1114" s="7">
        <v>70</v>
      </c>
      <c r="B1114" s="4" t="s">
        <v>1670</v>
      </c>
      <c r="C1114" s="4">
        <v>2023</v>
      </c>
      <c r="D1114" s="4" t="s">
        <v>1638</v>
      </c>
      <c r="E1114" s="8" t="s">
        <v>1671</v>
      </c>
      <c r="F1114" s="7" t="s">
        <v>1647</v>
      </c>
      <c r="G1114" s="3" t="s">
        <v>86</v>
      </c>
      <c r="H1114" s="7" t="s">
        <v>1682</v>
      </c>
      <c r="I1114" s="7">
        <v>45.467709999999997</v>
      </c>
      <c r="J1114" s="7">
        <v>-75.64425</v>
      </c>
      <c r="K1114" s="7" t="s">
        <v>138</v>
      </c>
      <c r="L1114" s="7" t="s">
        <v>223</v>
      </c>
      <c r="N1114" s="7" t="s">
        <v>245</v>
      </c>
      <c r="P1114" s="7" t="s">
        <v>245</v>
      </c>
    </row>
    <row r="1115" spans="1:18" s="7" customFormat="1" ht="15.75" customHeight="1" x14ac:dyDescent="0.35">
      <c r="A1115" s="7">
        <v>70</v>
      </c>
      <c r="B1115" s="4" t="s">
        <v>1670</v>
      </c>
      <c r="C1115" s="4">
        <v>2023</v>
      </c>
      <c r="D1115" s="4" t="s">
        <v>1638</v>
      </c>
      <c r="E1115" s="8" t="s">
        <v>1671</v>
      </c>
      <c r="F1115" s="7" t="s">
        <v>1647</v>
      </c>
      <c r="G1115" s="3" t="s">
        <v>86</v>
      </c>
      <c r="H1115" s="7" t="s">
        <v>1684</v>
      </c>
      <c r="I1115" s="7">
        <v>45.457299999999996</v>
      </c>
      <c r="J1115" s="7">
        <v>-75.674819999999997</v>
      </c>
      <c r="K1115" s="7" t="s">
        <v>138</v>
      </c>
      <c r="L1115" s="7" t="s">
        <v>223</v>
      </c>
      <c r="N1115" s="7" t="s">
        <v>245</v>
      </c>
      <c r="P1115" s="7" t="s">
        <v>245</v>
      </c>
    </row>
    <row r="1116" spans="1:18" s="7" customFormat="1" ht="15.75" customHeight="1" x14ac:dyDescent="0.35">
      <c r="A1116" s="7">
        <v>70</v>
      </c>
      <c r="B1116" s="4" t="s">
        <v>1670</v>
      </c>
      <c r="C1116" s="4">
        <v>2023</v>
      </c>
      <c r="D1116" s="4" t="s">
        <v>1638</v>
      </c>
      <c r="E1116" s="8" t="s">
        <v>1671</v>
      </c>
      <c r="F1116" s="7" t="s">
        <v>1647</v>
      </c>
      <c r="G1116" s="3" t="s">
        <v>86</v>
      </c>
      <c r="H1116" s="7" t="s">
        <v>1686</v>
      </c>
      <c r="I1116" s="7">
        <v>45.418660000000003</v>
      </c>
      <c r="J1116" s="7">
        <v>-75.748490000000004</v>
      </c>
      <c r="K1116" s="7" t="s">
        <v>138</v>
      </c>
      <c r="L1116" s="7" t="s">
        <v>223</v>
      </c>
      <c r="N1116" s="7" t="s">
        <v>245</v>
      </c>
      <c r="P1116" s="7" t="s">
        <v>245</v>
      </c>
    </row>
    <row r="1117" spans="1:18" s="7" customFormat="1" ht="15.75" customHeight="1" x14ac:dyDescent="0.35">
      <c r="A1117" s="7">
        <v>70</v>
      </c>
      <c r="B1117" s="4" t="s">
        <v>1670</v>
      </c>
      <c r="C1117" s="4">
        <v>2023</v>
      </c>
      <c r="D1117" s="4" t="s">
        <v>1638</v>
      </c>
      <c r="E1117" s="8" t="s">
        <v>1671</v>
      </c>
      <c r="F1117" s="7" t="s">
        <v>1647</v>
      </c>
      <c r="G1117" s="3" t="s">
        <v>86</v>
      </c>
      <c r="H1117" s="7" t="s">
        <v>1688</v>
      </c>
      <c r="I1117" s="7">
        <v>45.407559999999997</v>
      </c>
      <c r="J1117" s="7">
        <v>-75.747060000000005</v>
      </c>
      <c r="K1117" s="7" t="s">
        <v>138</v>
      </c>
      <c r="L1117" s="7" t="s">
        <v>223</v>
      </c>
      <c r="N1117" s="7" t="s">
        <v>245</v>
      </c>
      <c r="P1117" s="7" t="s">
        <v>245</v>
      </c>
    </row>
    <row r="1118" spans="1:18" s="7" customFormat="1" ht="15.75" customHeight="1" x14ac:dyDescent="0.35">
      <c r="A1118" s="7">
        <v>70</v>
      </c>
      <c r="B1118" s="4" t="s">
        <v>1670</v>
      </c>
      <c r="C1118" s="4">
        <v>2023</v>
      </c>
      <c r="D1118" s="4" t="s">
        <v>1638</v>
      </c>
      <c r="E1118" s="8" t="s">
        <v>1671</v>
      </c>
      <c r="F1118" s="7" t="s">
        <v>1647</v>
      </c>
      <c r="G1118" s="3" t="s">
        <v>86</v>
      </c>
      <c r="H1118" s="7" t="s">
        <v>1690</v>
      </c>
      <c r="I1118" s="7">
        <v>45.409610000000001</v>
      </c>
      <c r="J1118" s="7">
        <v>-75.755650000000003</v>
      </c>
      <c r="K1118" s="7" t="s">
        <v>138</v>
      </c>
      <c r="L1118" s="7" t="s">
        <v>223</v>
      </c>
      <c r="N1118" s="7" t="s">
        <v>245</v>
      </c>
      <c r="P1118" s="7" t="s">
        <v>245</v>
      </c>
    </row>
    <row r="1119" spans="1:18" s="7" customFormat="1" ht="15.75" customHeight="1" x14ac:dyDescent="0.35">
      <c r="A1119" s="7">
        <v>70</v>
      </c>
      <c r="B1119" s="4" t="s">
        <v>1670</v>
      </c>
      <c r="C1119" s="4">
        <v>2023</v>
      </c>
      <c r="D1119" s="4" t="s">
        <v>1638</v>
      </c>
      <c r="E1119" s="8" t="s">
        <v>1671</v>
      </c>
      <c r="F1119" s="7" t="s">
        <v>1647</v>
      </c>
      <c r="G1119" s="3" t="s">
        <v>86</v>
      </c>
      <c r="H1119" s="7" t="s">
        <v>1692</v>
      </c>
      <c r="I1119" s="7">
        <v>45.396059999999999</v>
      </c>
      <c r="J1119" s="7">
        <v>-75.762119999999996</v>
      </c>
      <c r="K1119" s="7" t="s">
        <v>138</v>
      </c>
      <c r="L1119" s="7" t="s">
        <v>223</v>
      </c>
      <c r="N1119" s="7" t="s">
        <v>245</v>
      </c>
      <c r="P1119" s="7" t="s">
        <v>245</v>
      </c>
    </row>
    <row r="1120" spans="1:18" s="7" customFormat="1" ht="15.75" customHeight="1" x14ac:dyDescent="0.35">
      <c r="A1120" s="7">
        <v>70</v>
      </c>
      <c r="B1120" s="4" t="s">
        <v>1670</v>
      </c>
      <c r="C1120" s="4">
        <v>2023</v>
      </c>
      <c r="D1120" s="4" t="s">
        <v>1638</v>
      </c>
      <c r="E1120" s="8" t="s">
        <v>1671</v>
      </c>
      <c r="F1120" s="7" t="s">
        <v>1647</v>
      </c>
      <c r="G1120" s="3" t="s">
        <v>86</v>
      </c>
      <c r="H1120" s="7" t="s">
        <v>1694</v>
      </c>
      <c r="I1120" s="7">
        <v>45.39443</v>
      </c>
      <c r="J1120" s="7">
        <v>-75.761430000000004</v>
      </c>
      <c r="K1120" s="7" t="s">
        <v>138</v>
      </c>
      <c r="L1120" s="7" t="s">
        <v>223</v>
      </c>
      <c r="N1120" s="7" t="s">
        <v>245</v>
      </c>
      <c r="P1120" s="7" t="s">
        <v>245</v>
      </c>
    </row>
    <row r="1121" spans="1:16" s="7" customFormat="1" ht="15.75" customHeight="1" x14ac:dyDescent="0.35">
      <c r="A1121" s="7">
        <v>70</v>
      </c>
      <c r="B1121" s="4" t="s">
        <v>1670</v>
      </c>
      <c r="C1121" s="4">
        <v>2023</v>
      </c>
      <c r="D1121" s="4" t="s">
        <v>1638</v>
      </c>
      <c r="E1121" s="8" t="s">
        <v>1671</v>
      </c>
      <c r="F1121" s="7" t="s">
        <v>1647</v>
      </c>
      <c r="G1121" s="3" t="s">
        <v>86</v>
      </c>
      <c r="H1121" s="7" t="s">
        <v>1696</v>
      </c>
      <c r="I1121" s="7">
        <v>45.384270000000001</v>
      </c>
      <c r="J1121" s="7">
        <v>-75.799059999999997</v>
      </c>
      <c r="K1121" s="7" t="s">
        <v>138</v>
      </c>
      <c r="L1121" s="7" t="s">
        <v>223</v>
      </c>
      <c r="N1121" s="7" t="s">
        <v>245</v>
      </c>
      <c r="P1121" s="7" t="s">
        <v>245</v>
      </c>
    </row>
    <row r="1122" spans="1:16" s="7" customFormat="1" ht="15.75" customHeight="1" x14ac:dyDescent="0.35">
      <c r="A1122" s="7">
        <v>70</v>
      </c>
      <c r="B1122" s="4" t="s">
        <v>1670</v>
      </c>
      <c r="C1122" s="4">
        <v>2023</v>
      </c>
      <c r="D1122" s="4" t="s">
        <v>1638</v>
      </c>
      <c r="E1122" s="8" t="s">
        <v>1671</v>
      </c>
      <c r="F1122" s="7" t="s">
        <v>1647</v>
      </c>
      <c r="G1122" s="3" t="s">
        <v>86</v>
      </c>
      <c r="H1122" s="7" t="s">
        <v>1698</v>
      </c>
      <c r="I1122" s="7">
        <v>45.379669999999997</v>
      </c>
      <c r="J1122" s="7">
        <v>-75.80977</v>
      </c>
      <c r="K1122" s="7" t="s">
        <v>138</v>
      </c>
      <c r="L1122" s="7" t="s">
        <v>223</v>
      </c>
      <c r="N1122" s="7" t="s">
        <v>245</v>
      </c>
      <c r="P1122" s="7" t="s">
        <v>245</v>
      </c>
    </row>
    <row r="1123" spans="1:16" s="7" customFormat="1" ht="15.75" customHeight="1" x14ac:dyDescent="0.35">
      <c r="A1123" s="7">
        <v>70</v>
      </c>
      <c r="B1123" s="4" t="s">
        <v>1670</v>
      </c>
      <c r="C1123" s="4">
        <v>2023</v>
      </c>
      <c r="D1123" s="4" t="s">
        <v>1638</v>
      </c>
      <c r="E1123" s="8" t="s">
        <v>1671</v>
      </c>
      <c r="F1123" s="7" t="s">
        <v>1647</v>
      </c>
      <c r="G1123" s="3" t="s">
        <v>86</v>
      </c>
      <c r="H1123" s="7" t="s">
        <v>1700</v>
      </c>
      <c r="I1123" s="7">
        <v>45.4071</v>
      </c>
      <c r="J1123" s="7">
        <v>-75.879069999999999</v>
      </c>
      <c r="K1123" s="7" t="s">
        <v>138</v>
      </c>
      <c r="L1123" s="7" t="s">
        <v>223</v>
      </c>
      <c r="N1123" s="7" t="s">
        <v>245</v>
      </c>
      <c r="P1123" s="7" t="s">
        <v>245</v>
      </c>
    </row>
    <row r="1124" spans="1:16" s="7" customFormat="1" ht="15.75" customHeight="1" x14ac:dyDescent="0.35">
      <c r="A1124" s="7">
        <v>70</v>
      </c>
      <c r="B1124" s="4" t="s">
        <v>1670</v>
      </c>
      <c r="C1124" s="4">
        <v>2023</v>
      </c>
      <c r="D1124" s="4" t="s">
        <v>1638</v>
      </c>
      <c r="E1124" s="8" t="s">
        <v>1671</v>
      </c>
      <c r="F1124" s="7" t="s">
        <v>1647</v>
      </c>
      <c r="G1124" s="3" t="s">
        <v>86</v>
      </c>
      <c r="H1124" s="7" t="s">
        <v>1702</v>
      </c>
      <c r="I1124" s="7">
        <v>45.489130000000003</v>
      </c>
      <c r="J1124" s="7">
        <v>-76.003270000000001</v>
      </c>
      <c r="K1124" s="7" t="s">
        <v>138</v>
      </c>
      <c r="L1124" s="7" t="s">
        <v>223</v>
      </c>
      <c r="N1124" s="7" t="s">
        <v>245</v>
      </c>
      <c r="P1124" s="7" t="s">
        <v>245</v>
      </c>
    </row>
    <row r="1125" spans="1:16" s="7" customFormat="1" ht="15.75" customHeight="1" x14ac:dyDescent="0.35">
      <c r="A1125" s="7">
        <v>70</v>
      </c>
      <c r="B1125" s="4" t="s">
        <v>1670</v>
      </c>
      <c r="C1125" s="4">
        <v>2023</v>
      </c>
      <c r="D1125" s="4" t="s">
        <v>1638</v>
      </c>
      <c r="E1125" s="8" t="s">
        <v>1671</v>
      </c>
      <c r="F1125" s="7" t="s">
        <v>1647</v>
      </c>
      <c r="G1125" s="3" t="s">
        <v>86</v>
      </c>
      <c r="H1125" s="7" t="s">
        <v>1704</v>
      </c>
      <c r="I1125" s="7">
        <v>45.4788</v>
      </c>
      <c r="J1125" s="7">
        <v>-76.009910000000005</v>
      </c>
      <c r="K1125" s="7" t="s">
        <v>138</v>
      </c>
      <c r="L1125" s="7" t="s">
        <v>223</v>
      </c>
      <c r="N1125" s="7" t="s">
        <v>245</v>
      </c>
      <c r="P1125" s="7" t="s">
        <v>245</v>
      </c>
    </row>
    <row r="1126" spans="1:16" s="7" customFormat="1" ht="15.75" customHeight="1" x14ac:dyDescent="0.35">
      <c r="A1126" s="7">
        <v>70</v>
      </c>
      <c r="B1126" s="4" t="s">
        <v>1670</v>
      </c>
      <c r="C1126" s="4">
        <v>2023</v>
      </c>
      <c r="D1126" s="4" t="s">
        <v>1638</v>
      </c>
      <c r="E1126" s="8" t="s">
        <v>1671</v>
      </c>
      <c r="F1126" s="7" t="s">
        <v>1647</v>
      </c>
      <c r="G1126" s="3" t="s">
        <v>86</v>
      </c>
      <c r="H1126" s="7" t="s">
        <v>1706</v>
      </c>
      <c r="I1126" s="7">
        <v>45.488610000000001</v>
      </c>
      <c r="J1126" s="7">
        <v>-76.018609999999995</v>
      </c>
      <c r="K1126" s="7" t="s">
        <v>138</v>
      </c>
      <c r="L1126" s="7" t="s">
        <v>223</v>
      </c>
      <c r="N1126" s="7" t="s">
        <v>245</v>
      </c>
      <c r="P1126" s="7" t="s">
        <v>245</v>
      </c>
    </row>
    <row r="1127" spans="1:16" s="7" customFormat="1" ht="15.75" customHeight="1" x14ac:dyDescent="0.35">
      <c r="A1127" s="7">
        <v>70</v>
      </c>
      <c r="B1127" s="4" t="s">
        <v>1670</v>
      </c>
      <c r="C1127" s="4">
        <v>2023</v>
      </c>
      <c r="D1127" s="4" t="s">
        <v>1638</v>
      </c>
      <c r="E1127" s="8" t="s">
        <v>1671</v>
      </c>
      <c r="F1127" s="7" t="s">
        <v>1647</v>
      </c>
      <c r="G1127" s="3" t="s">
        <v>86</v>
      </c>
      <c r="H1127" s="7" t="s">
        <v>1708</v>
      </c>
      <c r="I1127" s="7">
        <v>45.463360000000002</v>
      </c>
      <c r="J1127" s="7">
        <v>-76.282899999999998</v>
      </c>
      <c r="K1127" s="7" t="s">
        <v>138</v>
      </c>
      <c r="L1127" s="7" t="s">
        <v>223</v>
      </c>
      <c r="N1127" s="7" t="s">
        <v>245</v>
      </c>
      <c r="P1127" s="7" t="s">
        <v>245</v>
      </c>
    </row>
    <row r="1128" spans="1:16" s="7" customFormat="1" ht="15.75" customHeight="1" x14ac:dyDescent="0.35">
      <c r="A1128" s="7">
        <v>70</v>
      </c>
      <c r="B1128" s="4" t="s">
        <v>1670</v>
      </c>
      <c r="C1128" s="4">
        <v>2023</v>
      </c>
      <c r="D1128" s="4" t="s">
        <v>1638</v>
      </c>
      <c r="E1128" s="8" t="s">
        <v>1671</v>
      </c>
      <c r="F1128" s="7" t="s">
        <v>1647</v>
      </c>
      <c r="G1128" s="3" t="s">
        <v>86</v>
      </c>
      <c r="H1128" s="7" t="s">
        <v>1710</v>
      </c>
      <c r="I1128" s="7">
        <v>45.469990000000003</v>
      </c>
      <c r="J1128" s="7">
        <v>-76.321269999999998</v>
      </c>
      <c r="K1128" s="7" t="s">
        <v>138</v>
      </c>
      <c r="L1128" s="7" t="s">
        <v>223</v>
      </c>
      <c r="N1128" s="7" t="s">
        <v>245</v>
      </c>
      <c r="P1128" s="7" t="s">
        <v>245</v>
      </c>
    </row>
    <row r="1129" spans="1:16" s="7" customFormat="1" ht="15.75" customHeight="1" x14ac:dyDescent="0.35">
      <c r="A1129" s="7">
        <v>70</v>
      </c>
      <c r="B1129" s="4" t="s">
        <v>1670</v>
      </c>
      <c r="C1129" s="4">
        <v>2023</v>
      </c>
      <c r="D1129" s="4" t="s">
        <v>1638</v>
      </c>
      <c r="E1129" s="8" t="s">
        <v>1671</v>
      </c>
      <c r="F1129" s="7" t="s">
        <v>1647</v>
      </c>
      <c r="G1129" s="3" t="s">
        <v>86</v>
      </c>
      <c r="H1129" s="7" t="s">
        <v>1712</v>
      </c>
      <c r="I1129" s="7">
        <v>45.440460000000002</v>
      </c>
      <c r="J1129" s="7">
        <v>-76.337119999999999</v>
      </c>
      <c r="K1129" s="7" t="s">
        <v>138</v>
      </c>
      <c r="L1129" s="7" t="s">
        <v>223</v>
      </c>
      <c r="N1129" s="7" t="s">
        <v>245</v>
      </c>
      <c r="P1129" s="7" t="s">
        <v>245</v>
      </c>
    </row>
    <row r="1130" spans="1:16" s="7" customFormat="1" ht="15.75" customHeight="1" x14ac:dyDescent="0.35">
      <c r="A1130" s="7">
        <v>70</v>
      </c>
      <c r="B1130" s="4" t="s">
        <v>1670</v>
      </c>
      <c r="C1130" s="4">
        <v>2023</v>
      </c>
      <c r="D1130" s="4" t="s">
        <v>1638</v>
      </c>
      <c r="E1130" s="8" t="s">
        <v>1671</v>
      </c>
      <c r="F1130" s="7" t="s">
        <v>1647</v>
      </c>
      <c r="G1130" s="3" t="s">
        <v>86</v>
      </c>
      <c r="H1130" s="7" t="s">
        <v>1714</v>
      </c>
      <c r="I1130" s="7">
        <v>45.443570000000001</v>
      </c>
      <c r="J1130" s="7">
        <v>-76.349850000000004</v>
      </c>
      <c r="K1130" s="7" t="s">
        <v>138</v>
      </c>
      <c r="L1130" s="7" t="s">
        <v>223</v>
      </c>
      <c r="N1130" s="7" t="s">
        <v>245</v>
      </c>
      <c r="P1130" s="7" t="s">
        <v>245</v>
      </c>
    </row>
    <row r="1131" spans="1:16" s="7" customFormat="1" ht="15.75" customHeight="1" x14ac:dyDescent="0.35">
      <c r="A1131" s="7">
        <v>70</v>
      </c>
      <c r="B1131" s="4" t="s">
        <v>1670</v>
      </c>
      <c r="C1131" s="4">
        <v>2023</v>
      </c>
      <c r="D1131" s="4" t="s">
        <v>1638</v>
      </c>
      <c r="E1131" s="8" t="s">
        <v>1671</v>
      </c>
      <c r="F1131" s="7" t="s">
        <v>1647</v>
      </c>
      <c r="G1131" s="3" t="s">
        <v>86</v>
      </c>
      <c r="H1131" s="7" t="s">
        <v>1716</v>
      </c>
      <c r="I1131" s="7">
        <v>45.509830000000001</v>
      </c>
      <c r="J1131" s="7">
        <v>-76.404340000000005</v>
      </c>
      <c r="K1131" s="7" t="s">
        <v>138</v>
      </c>
      <c r="L1131" s="7" t="s">
        <v>223</v>
      </c>
      <c r="N1131" s="7" t="s">
        <v>245</v>
      </c>
      <c r="P1131" s="7" t="s">
        <v>245</v>
      </c>
    </row>
    <row r="1132" spans="1:16" s="7" customFormat="1" ht="15.75" customHeight="1" x14ac:dyDescent="0.35">
      <c r="A1132" s="7">
        <v>70</v>
      </c>
      <c r="B1132" s="4" t="s">
        <v>1670</v>
      </c>
      <c r="C1132" s="4">
        <v>2023</v>
      </c>
      <c r="D1132" s="4" t="s">
        <v>1638</v>
      </c>
      <c r="E1132" s="8" t="s">
        <v>1671</v>
      </c>
      <c r="F1132" s="7" t="s">
        <v>1647</v>
      </c>
      <c r="G1132" s="3" t="s">
        <v>86</v>
      </c>
      <c r="H1132" s="7" t="s">
        <v>1718</v>
      </c>
      <c r="I1132" s="7">
        <v>45.517940000000003</v>
      </c>
      <c r="J1132" s="7">
        <v>-76.428479999999993</v>
      </c>
      <c r="K1132" s="7" t="s">
        <v>138</v>
      </c>
      <c r="L1132" s="7" t="s">
        <v>223</v>
      </c>
      <c r="N1132" s="7" t="s">
        <v>245</v>
      </c>
      <c r="P1132" s="7" t="s">
        <v>245</v>
      </c>
    </row>
    <row r="1133" spans="1:16" s="7" customFormat="1" ht="15.75" customHeight="1" x14ac:dyDescent="0.35">
      <c r="A1133" s="7">
        <v>70</v>
      </c>
      <c r="B1133" s="4" t="s">
        <v>1670</v>
      </c>
      <c r="C1133" s="4">
        <v>2023</v>
      </c>
      <c r="D1133" s="4" t="s">
        <v>1638</v>
      </c>
      <c r="E1133" s="8" t="s">
        <v>1671</v>
      </c>
      <c r="F1133" s="7" t="s">
        <v>1647</v>
      </c>
      <c r="G1133" s="3" t="s">
        <v>86</v>
      </c>
      <c r="H1133" s="7" t="s">
        <v>1720</v>
      </c>
      <c r="I1133" s="7">
        <v>45.495359999999998</v>
      </c>
      <c r="J1133" s="7">
        <v>-76.464100000000002</v>
      </c>
      <c r="K1133" s="7" t="s">
        <v>138</v>
      </c>
      <c r="L1133" s="7" t="s">
        <v>223</v>
      </c>
      <c r="N1133" s="7" t="s">
        <v>245</v>
      </c>
      <c r="P1133" s="7" t="s">
        <v>245</v>
      </c>
    </row>
    <row r="1134" spans="1:16" s="7" customFormat="1" ht="15.75" customHeight="1" x14ac:dyDescent="0.35">
      <c r="A1134" s="7">
        <v>70</v>
      </c>
      <c r="B1134" s="4" t="s">
        <v>1670</v>
      </c>
      <c r="C1134" s="4">
        <v>2023</v>
      </c>
      <c r="D1134" s="4" t="s">
        <v>1638</v>
      </c>
      <c r="E1134" s="8" t="s">
        <v>1671</v>
      </c>
      <c r="F1134" s="7" t="s">
        <v>1647</v>
      </c>
      <c r="G1134" s="3" t="s">
        <v>86</v>
      </c>
      <c r="H1134" s="7" t="s">
        <v>1722</v>
      </c>
      <c r="I1134" s="7">
        <v>45.520600000000002</v>
      </c>
      <c r="J1134" s="7">
        <v>-76.457170000000005</v>
      </c>
      <c r="K1134" s="7" t="s">
        <v>138</v>
      </c>
      <c r="L1134" s="7" t="s">
        <v>223</v>
      </c>
      <c r="N1134" s="7" t="s">
        <v>245</v>
      </c>
      <c r="P1134" s="7" t="s">
        <v>245</v>
      </c>
    </row>
    <row r="1135" spans="1:16" s="7" customFormat="1" ht="15.75" customHeight="1" x14ac:dyDescent="0.35">
      <c r="A1135" s="7">
        <v>70</v>
      </c>
      <c r="B1135" s="4" t="s">
        <v>1670</v>
      </c>
      <c r="C1135" s="4">
        <v>2023</v>
      </c>
      <c r="D1135" s="4" t="s">
        <v>1638</v>
      </c>
      <c r="E1135" s="8" t="s">
        <v>1671</v>
      </c>
      <c r="F1135" s="7" t="s">
        <v>1647</v>
      </c>
      <c r="G1135" s="3" t="s">
        <v>86</v>
      </c>
      <c r="H1135" s="7" t="s">
        <v>1724</v>
      </c>
      <c r="I1135" s="7">
        <v>45.524360000000001</v>
      </c>
      <c r="J1135" s="7">
        <v>-76.46902</v>
      </c>
      <c r="K1135" s="7" t="s">
        <v>138</v>
      </c>
      <c r="L1135" s="7" t="s">
        <v>223</v>
      </c>
      <c r="N1135" s="7" t="s">
        <v>245</v>
      </c>
      <c r="P1135" s="7" t="s">
        <v>245</v>
      </c>
    </row>
    <row r="1136" spans="1:16" s="7" customFormat="1" ht="15.75" customHeight="1" x14ac:dyDescent="0.35">
      <c r="A1136" s="7">
        <v>70</v>
      </c>
      <c r="B1136" s="4" t="s">
        <v>1670</v>
      </c>
      <c r="C1136" s="4">
        <v>2023</v>
      </c>
      <c r="D1136" s="4" t="s">
        <v>1638</v>
      </c>
      <c r="E1136" s="8" t="s">
        <v>1671</v>
      </c>
      <c r="F1136" s="7" t="s">
        <v>1647</v>
      </c>
      <c r="G1136" s="3" t="s">
        <v>86</v>
      </c>
      <c r="H1136" s="7" t="s">
        <v>1726</v>
      </c>
      <c r="I1136" s="7">
        <v>45.511119999999998</v>
      </c>
      <c r="J1136" s="7">
        <v>-76.500550000000004</v>
      </c>
      <c r="K1136" s="7" t="s">
        <v>138</v>
      </c>
      <c r="L1136" s="7" t="s">
        <v>223</v>
      </c>
      <c r="N1136" s="7" t="s">
        <v>245</v>
      </c>
      <c r="P1136" s="7" t="s">
        <v>245</v>
      </c>
    </row>
    <row r="1137" spans="1:16" s="7" customFormat="1" ht="15.75" customHeight="1" x14ac:dyDescent="0.35">
      <c r="A1137" s="7">
        <v>70</v>
      </c>
      <c r="B1137" s="4" t="s">
        <v>1670</v>
      </c>
      <c r="C1137" s="4">
        <v>2023</v>
      </c>
      <c r="D1137" s="4" t="s">
        <v>1638</v>
      </c>
      <c r="E1137" s="8" t="s">
        <v>1671</v>
      </c>
      <c r="F1137" s="7" t="s">
        <v>1647</v>
      </c>
      <c r="G1137" s="3" t="s">
        <v>86</v>
      </c>
      <c r="H1137" s="7" t="s">
        <v>1728</v>
      </c>
      <c r="I1137" s="7">
        <v>45.558480000000003</v>
      </c>
      <c r="J1137" s="7">
        <v>-76.651830000000004</v>
      </c>
      <c r="K1137" s="7" t="s">
        <v>138</v>
      </c>
      <c r="L1137" s="7" t="s">
        <v>223</v>
      </c>
      <c r="N1137" s="7" t="s">
        <v>245</v>
      </c>
      <c r="P1137" s="7" t="s">
        <v>245</v>
      </c>
    </row>
    <row r="1138" spans="1:16" s="7" customFormat="1" ht="15.75" customHeight="1" x14ac:dyDescent="0.35">
      <c r="A1138" s="7">
        <v>70</v>
      </c>
      <c r="B1138" s="4" t="s">
        <v>1670</v>
      </c>
      <c r="C1138" s="4">
        <v>2023</v>
      </c>
      <c r="D1138" s="4" t="s">
        <v>1638</v>
      </c>
      <c r="E1138" s="8" t="s">
        <v>1671</v>
      </c>
      <c r="F1138" s="7" t="s">
        <v>1647</v>
      </c>
      <c r="G1138" s="3" t="s">
        <v>86</v>
      </c>
      <c r="H1138" s="7" t="s">
        <v>1730</v>
      </c>
      <c r="I1138" s="7">
        <v>45.560609999999997</v>
      </c>
      <c r="J1138" s="7">
        <v>-76.657030000000006</v>
      </c>
      <c r="K1138" s="7" t="s">
        <v>138</v>
      </c>
      <c r="L1138" s="7" t="s">
        <v>223</v>
      </c>
      <c r="N1138" s="7" t="s">
        <v>245</v>
      </c>
      <c r="P1138" s="7" t="s">
        <v>245</v>
      </c>
    </row>
    <row r="1139" spans="1:16" s="7" customFormat="1" ht="15.75" customHeight="1" x14ac:dyDescent="0.35">
      <c r="A1139" s="7">
        <v>70</v>
      </c>
      <c r="B1139" s="4" t="s">
        <v>1670</v>
      </c>
      <c r="C1139" s="4">
        <v>2023</v>
      </c>
      <c r="D1139" s="4" t="s">
        <v>1638</v>
      </c>
      <c r="E1139" s="8" t="s">
        <v>1671</v>
      </c>
      <c r="F1139" s="7" t="s">
        <v>1647</v>
      </c>
      <c r="G1139" s="3" t="s">
        <v>86</v>
      </c>
      <c r="H1139" s="7" t="s">
        <v>1732</v>
      </c>
      <c r="I1139" s="7">
        <v>45.572209999999998</v>
      </c>
      <c r="J1139" s="7">
        <v>-76.663780000000003</v>
      </c>
      <c r="K1139" s="7" t="s">
        <v>138</v>
      </c>
      <c r="L1139" s="7" t="s">
        <v>223</v>
      </c>
      <c r="N1139" s="7" t="s">
        <v>245</v>
      </c>
      <c r="P1139" s="7" t="s">
        <v>245</v>
      </c>
    </row>
    <row r="1140" spans="1:16" s="7" customFormat="1" ht="15.75" customHeight="1" x14ac:dyDescent="0.35">
      <c r="A1140" s="7">
        <v>70</v>
      </c>
      <c r="B1140" s="4" t="s">
        <v>1670</v>
      </c>
      <c r="C1140" s="4">
        <v>2023</v>
      </c>
      <c r="D1140" s="4" t="s">
        <v>1638</v>
      </c>
      <c r="E1140" s="8" t="s">
        <v>1671</v>
      </c>
      <c r="F1140" s="7" t="s">
        <v>1647</v>
      </c>
      <c r="G1140" s="3" t="s">
        <v>86</v>
      </c>
      <c r="H1140" s="7" t="s">
        <v>1734</v>
      </c>
      <c r="I1140" s="7">
        <v>45.601799999999997</v>
      </c>
      <c r="J1140" s="7">
        <v>-76.668549999999996</v>
      </c>
      <c r="K1140" s="7" t="s">
        <v>138</v>
      </c>
      <c r="L1140" s="7" t="s">
        <v>223</v>
      </c>
      <c r="N1140" s="7" t="s">
        <v>245</v>
      </c>
      <c r="P1140" s="7" t="s">
        <v>245</v>
      </c>
    </row>
    <row r="1141" spans="1:16" s="7" customFormat="1" ht="15.75" customHeight="1" x14ac:dyDescent="0.35">
      <c r="A1141" s="7">
        <v>70</v>
      </c>
      <c r="B1141" s="4" t="s">
        <v>1670</v>
      </c>
      <c r="C1141" s="4">
        <v>2023</v>
      </c>
      <c r="D1141" s="4" t="s">
        <v>1638</v>
      </c>
      <c r="E1141" s="8" t="s">
        <v>1671</v>
      </c>
      <c r="F1141" s="7" t="s">
        <v>1647</v>
      </c>
      <c r="G1141" s="3" t="s">
        <v>86</v>
      </c>
      <c r="H1141" s="7" t="s">
        <v>1736</v>
      </c>
      <c r="I1141" s="7">
        <v>45.613729999999997</v>
      </c>
      <c r="J1141" s="7">
        <v>-76.683700000000002</v>
      </c>
      <c r="K1141" s="7" t="s">
        <v>138</v>
      </c>
      <c r="L1141" s="7" t="s">
        <v>223</v>
      </c>
      <c r="N1141" s="7" t="s">
        <v>245</v>
      </c>
      <c r="P1141" s="7" t="s">
        <v>245</v>
      </c>
    </row>
    <row r="1142" spans="1:16" s="7" customFormat="1" ht="15.75" customHeight="1" x14ac:dyDescent="0.35">
      <c r="A1142" s="7">
        <v>70</v>
      </c>
      <c r="B1142" s="4" t="s">
        <v>1670</v>
      </c>
      <c r="C1142" s="4">
        <v>2023</v>
      </c>
      <c r="D1142" s="4" t="s">
        <v>1638</v>
      </c>
      <c r="E1142" s="8" t="s">
        <v>1671</v>
      </c>
      <c r="F1142" s="7" t="s">
        <v>1647</v>
      </c>
      <c r="G1142" s="3" t="s">
        <v>86</v>
      </c>
      <c r="H1142" s="7" t="s">
        <v>1738</v>
      </c>
      <c r="I1142" s="7">
        <v>45.628410000000002</v>
      </c>
      <c r="J1142" s="7">
        <v>-76.666970000000006</v>
      </c>
      <c r="K1142" s="7" t="s">
        <v>138</v>
      </c>
      <c r="L1142" s="7" t="s">
        <v>223</v>
      </c>
      <c r="N1142" s="7" t="s">
        <v>245</v>
      </c>
      <c r="P1142" s="7" t="s">
        <v>245</v>
      </c>
    </row>
    <row r="1143" spans="1:16" s="7" customFormat="1" ht="15.75" customHeight="1" x14ac:dyDescent="0.35">
      <c r="A1143" s="7">
        <v>70</v>
      </c>
      <c r="B1143" s="4" t="s">
        <v>1670</v>
      </c>
      <c r="C1143" s="4">
        <v>2023</v>
      </c>
      <c r="D1143" s="4" t="s">
        <v>1638</v>
      </c>
      <c r="E1143" s="8" t="s">
        <v>1671</v>
      </c>
      <c r="F1143" s="7" t="s">
        <v>1647</v>
      </c>
      <c r="G1143" s="3" t="s">
        <v>86</v>
      </c>
      <c r="H1143" s="7" t="s">
        <v>1740</v>
      </c>
      <c r="I1143" s="7">
        <v>45.660530000000001</v>
      </c>
      <c r="J1143" s="7">
        <v>-76.722459999999998</v>
      </c>
      <c r="K1143" s="7" t="s">
        <v>138</v>
      </c>
      <c r="L1143" s="7" t="s">
        <v>223</v>
      </c>
      <c r="N1143" s="7" t="s">
        <v>245</v>
      </c>
      <c r="P1143" s="7" t="s">
        <v>245</v>
      </c>
    </row>
    <row r="1144" spans="1:16" s="7" customFormat="1" ht="15.75" customHeight="1" x14ac:dyDescent="0.35">
      <c r="A1144" s="7">
        <v>70</v>
      </c>
      <c r="B1144" s="4" t="s">
        <v>1670</v>
      </c>
      <c r="C1144" s="4">
        <v>2023</v>
      </c>
      <c r="D1144" s="4" t="s">
        <v>1638</v>
      </c>
      <c r="E1144" s="8" t="s">
        <v>1671</v>
      </c>
      <c r="F1144" s="7" t="s">
        <v>1647</v>
      </c>
      <c r="G1144" s="3" t="s">
        <v>86</v>
      </c>
      <c r="H1144" s="7" t="s">
        <v>1742</v>
      </c>
      <c r="I1144" s="7">
        <v>45.878880000000002</v>
      </c>
      <c r="J1144" s="7">
        <v>-76.859740000000002</v>
      </c>
      <c r="K1144" s="7" t="s">
        <v>138</v>
      </c>
      <c r="L1144" s="7" t="s">
        <v>223</v>
      </c>
      <c r="N1144" s="7" t="s">
        <v>245</v>
      </c>
      <c r="P1144" s="7" t="s">
        <v>245</v>
      </c>
    </row>
    <row r="1145" spans="1:16" s="7" customFormat="1" ht="15.75" customHeight="1" x14ac:dyDescent="0.35">
      <c r="A1145" s="7">
        <v>70</v>
      </c>
      <c r="B1145" s="4" t="s">
        <v>1670</v>
      </c>
      <c r="C1145" s="4">
        <v>2023</v>
      </c>
      <c r="D1145" s="4" t="s">
        <v>1638</v>
      </c>
      <c r="E1145" s="8" t="s">
        <v>1671</v>
      </c>
      <c r="F1145" s="7" t="s">
        <v>1647</v>
      </c>
      <c r="G1145" s="3" t="s">
        <v>86</v>
      </c>
      <c r="H1145" s="7" t="s">
        <v>1744</v>
      </c>
      <c r="I1145" s="7">
        <v>45.811599999999999</v>
      </c>
      <c r="J1145" s="7">
        <v>-77.029989999999998</v>
      </c>
      <c r="K1145" s="7" t="s">
        <v>138</v>
      </c>
      <c r="L1145" s="7" t="s">
        <v>223</v>
      </c>
      <c r="N1145" s="7" t="s">
        <v>245</v>
      </c>
      <c r="P1145" s="7" t="s">
        <v>245</v>
      </c>
    </row>
    <row r="1146" spans="1:16" s="7" customFormat="1" ht="15.75" customHeight="1" x14ac:dyDescent="0.35">
      <c r="A1146" s="7">
        <v>70</v>
      </c>
      <c r="B1146" s="4" t="s">
        <v>1670</v>
      </c>
      <c r="C1146" s="4">
        <v>2023</v>
      </c>
      <c r="D1146" s="4" t="s">
        <v>1638</v>
      </c>
      <c r="E1146" s="8" t="s">
        <v>1671</v>
      </c>
      <c r="F1146" s="7" t="s">
        <v>1647</v>
      </c>
      <c r="G1146" s="3" t="s">
        <v>86</v>
      </c>
      <c r="H1146" s="7" t="s">
        <v>1746</v>
      </c>
      <c r="I1146" s="7">
        <v>45.816389999999998</v>
      </c>
      <c r="J1146" s="7">
        <v>-77.046980000000005</v>
      </c>
      <c r="K1146" s="7" t="s">
        <v>138</v>
      </c>
      <c r="L1146" s="7" t="s">
        <v>223</v>
      </c>
      <c r="N1146" s="7" t="s">
        <v>245</v>
      </c>
      <c r="P1146" s="7" t="s">
        <v>245</v>
      </c>
    </row>
    <row r="1147" spans="1:16" s="7" customFormat="1" ht="15.75" customHeight="1" x14ac:dyDescent="0.35">
      <c r="A1147" s="7">
        <v>70</v>
      </c>
      <c r="B1147" s="4" t="s">
        <v>1670</v>
      </c>
      <c r="C1147" s="4">
        <v>2023</v>
      </c>
      <c r="D1147" s="4" t="s">
        <v>1638</v>
      </c>
      <c r="E1147" s="8" t="s">
        <v>1671</v>
      </c>
      <c r="F1147" s="7" t="s">
        <v>1647</v>
      </c>
      <c r="G1147" s="3" t="s">
        <v>86</v>
      </c>
      <c r="H1147" s="7" t="s">
        <v>1748</v>
      </c>
      <c r="I1147" s="7">
        <v>45.82987</v>
      </c>
      <c r="J1147" s="7">
        <v>-77.096680000000006</v>
      </c>
      <c r="K1147" s="7" t="s">
        <v>138</v>
      </c>
      <c r="L1147" s="7" t="s">
        <v>223</v>
      </c>
      <c r="N1147" s="7" t="s">
        <v>245</v>
      </c>
      <c r="P1147" s="7" t="s">
        <v>245</v>
      </c>
    </row>
    <row r="1148" spans="1:16" s="7" customFormat="1" ht="15.75" customHeight="1" x14ac:dyDescent="0.35">
      <c r="A1148" s="7">
        <v>70</v>
      </c>
      <c r="B1148" s="4" t="s">
        <v>1670</v>
      </c>
      <c r="C1148" s="4">
        <v>2023</v>
      </c>
      <c r="D1148" s="4" t="s">
        <v>1638</v>
      </c>
      <c r="E1148" s="8" t="s">
        <v>1671</v>
      </c>
      <c r="F1148" s="7" t="s">
        <v>1647</v>
      </c>
      <c r="G1148" s="3" t="s">
        <v>86</v>
      </c>
      <c r="H1148" s="7" t="s">
        <v>1750</v>
      </c>
      <c r="I1148" s="7">
        <v>45.829749999999997</v>
      </c>
      <c r="J1148" s="7">
        <v>-77.130570000000006</v>
      </c>
      <c r="K1148" s="7" t="s">
        <v>138</v>
      </c>
      <c r="L1148" s="7" t="s">
        <v>223</v>
      </c>
      <c r="N1148" s="7" t="s">
        <v>245</v>
      </c>
      <c r="P1148" s="7" t="s">
        <v>245</v>
      </c>
    </row>
    <row r="1149" spans="1:16" s="7" customFormat="1" ht="15.75" customHeight="1" x14ac:dyDescent="0.35">
      <c r="A1149" s="7">
        <v>70</v>
      </c>
      <c r="B1149" s="4" t="s">
        <v>1670</v>
      </c>
      <c r="C1149" s="4">
        <v>2023</v>
      </c>
      <c r="D1149" s="4" t="s">
        <v>1638</v>
      </c>
      <c r="E1149" s="8" t="s">
        <v>1671</v>
      </c>
      <c r="F1149" s="7" t="s">
        <v>1647</v>
      </c>
      <c r="G1149" s="3" t="s">
        <v>86</v>
      </c>
      <c r="H1149" s="7" t="s">
        <v>1752</v>
      </c>
      <c r="I1149" s="7">
        <v>45.86</v>
      </c>
      <c r="J1149" s="7">
        <v>-77.138999999999996</v>
      </c>
      <c r="K1149" s="7" t="s">
        <v>138</v>
      </c>
      <c r="L1149" s="7" t="s">
        <v>223</v>
      </c>
      <c r="N1149" s="7" t="s">
        <v>245</v>
      </c>
      <c r="P1149" s="7" t="s">
        <v>245</v>
      </c>
    </row>
    <row r="1150" spans="1:16" s="7" customFormat="1" ht="15.75" customHeight="1" x14ac:dyDescent="0.35">
      <c r="A1150" s="7">
        <v>70</v>
      </c>
      <c r="B1150" s="4" t="s">
        <v>1670</v>
      </c>
      <c r="C1150" s="4">
        <v>2023</v>
      </c>
      <c r="D1150" s="4" t="s">
        <v>1638</v>
      </c>
      <c r="E1150" s="8" t="s">
        <v>1671</v>
      </c>
      <c r="F1150" s="7" t="s">
        <v>1647</v>
      </c>
      <c r="G1150" s="3" t="s">
        <v>86</v>
      </c>
      <c r="H1150" s="7" t="s">
        <v>1754</v>
      </c>
      <c r="I1150" s="7">
        <v>46.697189999999999</v>
      </c>
      <c r="J1150" s="7">
        <v>-79.098380000000006</v>
      </c>
      <c r="K1150" s="7" t="s">
        <v>138</v>
      </c>
      <c r="L1150" s="7" t="s">
        <v>223</v>
      </c>
      <c r="N1150" s="7" t="s">
        <v>245</v>
      </c>
      <c r="P1150" s="7" t="s">
        <v>245</v>
      </c>
    </row>
    <row r="1151" spans="1:16" s="7" customFormat="1" ht="15.75" customHeight="1" x14ac:dyDescent="0.35">
      <c r="A1151" s="7">
        <v>70</v>
      </c>
      <c r="B1151" s="4" t="s">
        <v>1670</v>
      </c>
      <c r="C1151" s="4">
        <v>2023</v>
      </c>
      <c r="D1151" s="4" t="s">
        <v>1638</v>
      </c>
      <c r="E1151" s="8" t="s">
        <v>1671</v>
      </c>
      <c r="F1151" s="7" t="s">
        <v>1647</v>
      </c>
      <c r="G1151" s="3" t="s">
        <v>86</v>
      </c>
      <c r="H1151" s="7" t="s">
        <v>1756</v>
      </c>
      <c r="I1151" s="7">
        <v>47.296999999999997</v>
      </c>
      <c r="J1151" s="7">
        <v>-79.459900000000005</v>
      </c>
      <c r="K1151" s="7" t="s">
        <v>138</v>
      </c>
      <c r="L1151" s="7" t="s">
        <v>223</v>
      </c>
      <c r="N1151" s="7" t="s">
        <v>245</v>
      </c>
      <c r="P1151" s="7" t="s">
        <v>245</v>
      </c>
    </row>
    <row r="1152" spans="1:16" s="7" customFormat="1" ht="15.75" customHeight="1" x14ac:dyDescent="0.35">
      <c r="A1152" s="7">
        <v>70</v>
      </c>
      <c r="B1152" s="4" t="s">
        <v>1670</v>
      </c>
      <c r="C1152" s="4">
        <v>2023</v>
      </c>
      <c r="D1152" s="4" t="s">
        <v>1638</v>
      </c>
      <c r="E1152" s="8" t="s">
        <v>1671</v>
      </c>
      <c r="F1152" s="7" t="s">
        <v>1647</v>
      </c>
      <c r="G1152" s="3" t="s">
        <v>86</v>
      </c>
      <c r="H1152" s="7" t="s">
        <v>1758</v>
      </c>
      <c r="I1152" s="7">
        <v>47.393909999999998</v>
      </c>
      <c r="J1152" s="7">
        <v>-79.541759999999996</v>
      </c>
      <c r="K1152" s="7" t="s">
        <v>138</v>
      </c>
      <c r="L1152" s="7" t="s">
        <v>223</v>
      </c>
      <c r="N1152" s="7" t="s">
        <v>245</v>
      </c>
      <c r="P1152" s="7" t="s">
        <v>245</v>
      </c>
    </row>
    <row r="1153" spans="1:16" s="7" customFormat="1" ht="15.75" customHeight="1" x14ac:dyDescent="0.35">
      <c r="A1153" s="7">
        <v>70</v>
      </c>
      <c r="B1153" s="4" t="s">
        <v>1670</v>
      </c>
      <c r="C1153" s="4">
        <v>2023</v>
      </c>
      <c r="D1153" s="4" t="s">
        <v>1638</v>
      </c>
      <c r="E1153" s="8" t="s">
        <v>1671</v>
      </c>
      <c r="F1153" s="7" t="s">
        <v>1647</v>
      </c>
      <c r="G1153" s="3" t="s">
        <v>86</v>
      </c>
      <c r="H1153" s="7" t="s">
        <v>1760</v>
      </c>
      <c r="I1153" s="7">
        <v>47.442770000000003</v>
      </c>
      <c r="J1153" s="7">
        <v>-79.627030000000005</v>
      </c>
      <c r="K1153" s="7" t="s">
        <v>138</v>
      </c>
      <c r="L1153" s="7" t="s">
        <v>223</v>
      </c>
      <c r="N1153" s="7" t="s">
        <v>245</v>
      </c>
      <c r="P1153" s="7" t="s">
        <v>245</v>
      </c>
    </row>
    <row r="1154" spans="1:16" s="7" customFormat="1" ht="15.75" customHeight="1" x14ac:dyDescent="0.35">
      <c r="A1154" s="7">
        <v>70</v>
      </c>
      <c r="B1154" s="4" t="s">
        <v>1670</v>
      </c>
      <c r="C1154" s="4">
        <v>2023</v>
      </c>
      <c r="D1154" s="4" t="s">
        <v>1638</v>
      </c>
      <c r="E1154" s="8" t="s">
        <v>1671</v>
      </c>
      <c r="F1154" s="7" t="s">
        <v>1647</v>
      </c>
      <c r="G1154" s="3" t="s">
        <v>86</v>
      </c>
      <c r="H1154" s="7" t="s">
        <v>1762</v>
      </c>
      <c r="I1154" s="7">
        <v>47.478029999999997</v>
      </c>
      <c r="J1154" s="7">
        <v>-79.60933</v>
      </c>
      <c r="K1154" s="7" t="s">
        <v>138</v>
      </c>
      <c r="L1154" s="7" t="s">
        <v>223</v>
      </c>
      <c r="N1154" s="7" t="s">
        <v>245</v>
      </c>
      <c r="P1154" s="7" t="s">
        <v>245</v>
      </c>
    </row>
    <row r="1155" spans="1:16" s="7" customFormat="1" ht="15.75" customHeight="1" x14ac:dyDescent="0.35">
      <c r="A1155" s="7">
        <v>70</v>
      </c>
      <c r="B1155" s="4" t="s">
        <v>1670</v>
      </c>
      <c r="C1155" s="4">
        <v>2023</v>
      </c>
      <c r="D1155" s="4" t="s">
        <v>1638</v>
      </c>
      <c r="E1155" s="8" t="s">
        <v>1671</v>
      </c>
      <c r="F1155" s="7" t="s">
        <v>1647</v>
      </c>
      <c r="G1155" s="3" t="s">
        <v>86</v>
      </c>
      <c r="H1155" s="7" t="s">
        <v>1764</v>
      </c>
      <c r="I1155" s="7">
        <v>47.475299999999997</v>
      </c>
      <c r="J1155" s="7">
        <v>-79.662999999999997</v>
      </c>
      <c r="K1155" s="7" t="s">
        <v>138</v>
      </c>
      <c r="L1155" s="7" t="s">
        <v>223</v>
      </c>
      <c r="N1155" s="7" t="s">
        <v>245</v>
      </c>
      <c r="P1155" s="7" t="s">
        <v>245</v>
      </c>
    </row>
    <row r="1156" spans="1:16" s="7" customFormat="1" ht="15.75" customHeight="1" x14ac:dyDescent="0.35">
      <c r="A1156" s="7">
        <v>70</v>
      </c>
      <c r="B1156" s="4" t="s">
        <v>1670</v>
      </c>
      <c r="C1156" s="4">
        <v>2023</v>
      </c>
      <c r="D1156" s="4" t="s">
        <v>1638</v>
      </c>
      <c r="E1156" s="8" t="s">
        <v>1671</v>
      </c>
      <c r="F1156" s="7" t="s">
        <v>1647</v>
      </c>
      <c r="G1156" s="3" t="s">
        <v>86</v>
      </c>
      <c r="H1156" s="7" t="s">
        <v>1766</v>
      </c>
      <c r="I1156" s="7">
        <v>47.488239999999998</v>
      </c>
      <c r="J1156" s="7">
        <v>-79.671040000000005</v>
      </c>
      <c r="K1156" s="7" t="s">
        <v>138</v>
      </c>
      <c r="L1156" s="7" t="s">
        <v>223</v>
      </c>
      <c r="N1156" s="7" t="s">
        <v>245</v>
      </c>
      <c r="P1156" s="7" t="s">
        <v>245</v>
      </c>
    </row>
    <row r="1157" spans="1:16" s="7" customFormat="1" ht="15.75" customHeight="1" x14ac:dyDescent="0.35">
      <c r="A1157" s="7">
        <v>70</v>
      </c>
      <c r="B1157" s="4" t="s">
        <v>1670</v>
      </c>
      <c r="C1157" s="4">
        <v>2023</v>
      </c>
      <c r="D1157" s="4" t="s">
        <v>1638</v>
      </c>
      <c r="E1157" s="8" t="s">
        <v>1671</v>
      </c>
      <c r="F1157" s="7" t="s">
        <v>1647</v>
      </c>
      <c r="G1157" s="3" t="s">
        <v>86</v>
      </c>
      <c r="H1157" s="7" t="s">
        <v>1768</v>
      </c>
      <c r="I1157" s="7">
        <v>47.499319999999997</v>
      </c>
      <c r="J1157" s="7">
        <v>-79.677599999999998</v>
      </c>
      <c r="K1157" s="7" t="s">
        <v>138</v>
      </c>
      <c r="L1157" s="7" t="s">
        <v>223</v>
      </c>
      <c r="N1157" s="7" t="s">
        <v>245</v>
      </c>
      <c r="P1157" s="7" t="s">
        <v>245</v>
      </c>
    </row>
    <row r="1158" spans="1:16" s="7" customFormat="1" ht="15.75" customHeight="1" x14ac:dyDescent="0.35">
      <c r="A1158" s="7">
        <v>70</v>
      </c>
      <c r="B1158" s="4" t="s">
        <v>1670</v>
      </c>
      <c r="C1158" s="4">
        <v>2023</v>
      </c>
      <c r="D1158" s="4" t="s">
        <v>1638</v>
      </c>
      <c r="E1158" s="8" t="s">
        <v>1671</v>
      </c>
      <c r="F1158" s="7" t="s">
        <v>1647</v>
      </c>
      <c r="G1158" s="3" t="s">
        <v>86</v>
      </c>
      <c r="H1158" s="7" t="s">
        <v>1770</v>
      </c>
      <c r="I1158" s="7">
        <v>47.503689999999999</v>
      </c>
      <c r="J1158" s="7">
        <v>-79.674440000000004</v>
      </c>
      <c r="K1158" s="7" t="s">
        <v>138</v>
      </c>
      <c r="L1158" s="7" t="s">
        <v>223</v>
      </c>
      <c r="N1158" s="7" t="s">
        <v>245</v>
      </c>
      <c r="P1158" s="7" t="s">
        <v>245</v>
      </c>
    </row>
    <row r="1159" spans="1:16" s="7" customFormat="1" ht="15.75" customHeight="1" x14ac:dyDescent="0.35">
      <c r="A1159" s="7">
        <v>70</v>
      </c>
      <c r="B1159" s="4" t="s">
        <v>1670</v>
      </c>
      <c r="C1159" s="4">
        <v>2023</v>
      </c>
      <c r="D1159" s="4" t="s">
        <v>1638</v>
      </c>
      <c r="E1159" s="8" t="s">
        <v>1671</v>
      </c>
      <c r="F1159" s="7" t="s">
        <v>1647</v>
      </c>
      <c r="G1159" s="3" t="s">
        <v>86</v>
      </c>
      <c r="H1159" s="7" t="s">
        <v>1772</v>
      </c>
      <c r="I1159" s="7">
        <v>47.506180000000001</v>
      </c>
      <c r="J1159" s="7">
        <v>-79.670029999999997</v>
      </c>
      <c r="K1159" s="7" t="s">
        <v>138</v>
      </c>
      <c r="L1159" s="7" t="s">
        <v>223</v>
      </c>
      <c r="N1159" s="7" t="s">
        <v>245</v>
      </c>
      <c r="P1159" s="7" t="s">
        <v>245</v>
      </c>
    </row>
    <row r="1160" spans="1:16" s="7" customFormat="1" ht="15.75" customHeight="1" x14ac:dyDescent="0.35">
      <c r="A1160" s="7">
        <v>70</v>
      </c>
      <c r="B1160" s="4" t="s">
        <v>1670</v>
      </c>
      <c r="C1160" s="4">
        <v>2023</v>
      </c>
      <c r="D1160" s="4" t="s">
        <v>1638</v>
      </c>
      <c r="E1160" s="8" t="s">
        <v>1671</v>
      </c>
      <c r="F1160" s="7" t="s">
        <v>1647</v>
      </c>
      <c r="G1160" s="3" t="s">
        <v>86</v>
      </c>
      <c r="H1160" s="7" t="s">
        <v>1774</v>
      </c>
      <c r="I1160" s="7">
        <v>47.51341</v>
      </c>
      <c r="J1160" s="7">
        <v>-79.659649999999999</v>
      </c>
      <c r="K1160" s="7" t="s">
        <v>138</v>
      </c>
      <c r="L1160" s="7" t="s">
        <v>223</v>
      </c>
      <c r="N1160" s="7" t="s">
        <v>245</v>
      </c>
      <c r="P1160" s="7" t="s">
        <v>245</v>
      </c>
    </row>
    <row r="1161" spans="1:16" s="7" customFormat="1" ht="15.75" customHeight="1" x14ac:dyDescent="0.35">
      <c r="A1161" s="7">
        <v>70</v>
      </c>
      <c r="B1161" s="4" t="s">
        <v>1670</v>
      </c>
      <c r="C1161" s="4">
        <v>2023</v>
      </c>
      <c r="D1161" s="4" t="s">
        <v>1638</v>
      </c>
      <c r="E1161" s="8" t="s">
        <v>1671</v>
      </c>
      <c r="F1161" s="7" t="s">
        <v>1647</v>
      </c>
      <c r="G1161" s="3" t="s">
        <v>86</v>
      </c>
      <c r="H1161" s="7" t="s">
        <v>1776</v>
      </c>
      <c r="I1161" s="7">
        <v>47.540500000000002</v>
      </c>
      <c r="J1161" s="7">
        <v>-79.584599999999995</v>
      </c>
      <c r="K1161" s="7" t="s">
        <v>138</v>
      </c>
      <c r="L1161" s="7" t="s">
        <v>223</v>
      </c>
      <c r="N1161" s="7" t="s">
        <v>245</v>
      </c>
      <c r="P1161" s="7" t="s">
        <v>245</v>
      </c>
    </row>
    <row r="1162" spans="1:16" s="7" customFormat="1" ht="15.75" customHeight="1" x14ac:dyDescent="0.35">
      <c r="A1162" s="7">
        <v>70</v>
      </c>
      <c r="B1162" s="4" t="s">
        <v>1670</v>
      </c>
      <c r="C1162" s="4">
        <v>2023</v>
      </c>
      <c r="D1162" s="4" t="s">
        <v>1638</v>
      </c>
      <c r="E1162" s="8" t="s">
        <v>1671</v>
      </c>
      <c r="F1162" s="7" t="s">
        <v>1647</v>
      </c>
      <c r="G1162" s="3" t="s">
        <v>86</v>
      </c>
      <c r="H1162" s="7" t="s">
        <v>1778</v>
      </c>
      <c r="I1162" s="7">
        <v>47.571710000000003</v>
      </c>
      <c r="J1162" s="7">
        <v>-79.494529999999997</v>
      </c>
      <c r="K1162" s="7" t="s">
        <v>138</v>
      </c>
      <c r="L1162" s="7" t="s">
        <v>223</v>
      </c>
      <c r="N1162" s="7" t="s">
        <v>245</v>
      </c>
      <c r="P1162" s="7" t="s">
        <v>245</v>
      </c>
    </row>
    <row r="1163" spans="1:16" s="7" customFormat="1" ht="15.75" customHeight="1" x14ac:dyDescent="0.35">
      <c r="A1163" s="7">
        <v>70</v>
      </c>
      <c r="B1163" s="4" t="s">
        <v>1670</v>
      </c>
      <c r="C1163" s="4">
        <v>2023</v>
      </c>
      <c r="D1163" s="4" t="s">
        <v>1638</v>
      </c>
      <c r="E1163" s="8" t="s">
        <v>1671</v>
      </c>
      <c r="F1163" s="7" t="s">
        <v>1647</v>
      </c>
      <c r="G1163" s="3" t="s">
        <v>86</v>
      </c>
      <c r="H1163" s="7" t="s">
        <v>1780</v>
      </c>
      <c r="I1163" s="7">
        <v>47.576129999999999</v>
      </c>
      <c r="J1163" s="7">
        <v>-79.490989999999996</v>
      </c>
      <c r="K1163" s="7" t="s">
        <v>138</v>
      </c>
      <c r="L1163" s="7" t="s">
        <v>223</v>
      </c>
      <c r="N1163" s="7" t="s">
        <v>245</v>
      </c>
      <c r="P1163" s="7" t="s">
        <v>245</v>
      </c>
    </row>
    <row r="1164" spans="1:16" s="7" customFormat="1" ht="15.75" customHeight="1" x14ac:dyDescent="0.35">
      <c r="A1164" s="7">
        <v>70</v>
      </c>
      <c r="B1164" s="4" t="s">
        <v>1670</v>
      </c>
      <c r="C1164" s="4">
        <v>2023</v>
      </c>
      <c r="D1164" s="4" t="s">
        <v>1638</v>
      </c>
      <c r="E1164" s="8" t="s">
        <v>1671</v>
      </c>
      <c r="F1164" s="7" t="s">
        <v>1647</v>
      </c>
      <c r="G1164" s="3" t="s">
        <v>86</v>
      </c>
      <c r="H1164" s="7" t="s">
        <v>1782</v>
      </c>
      <c r="I1164" s="7">
        <v>45.571680000000001</v>
      </c>
      <c r="J1164" s="7">
        <v>-75.851249999999993</v>
      </c>
      <c r="K1164" s="7" t="s">
        <v>138</v>
      </c>
      <c r="L1164" s="7" t="s">
        <v>223</v>
      </c>
      <c r="N1164" s="7" t="s">
        <v>245</v>
      </c>
      <c r="P1164" s="7" t="s">
        <v>245</v>
      </c>
    </row>
    <row r="1165" spans="1:16" s="7" customFormat="1" ht="15.75" customHeight="1" x14ac:dyDescent="0.35">
      <c r="A1165" s="7">
        <v>70</v>
      </c>
      <c r="B1165" s="4" t="s">
        <v>1670</v>
      </c>
      <c r="C1165" s="4">
        <v>2023</v>
      </c>
      <c r="D1165" s="4" t="s">
        <v>1638</v>
      </c>
      <c r="E1165" s="8" t="s">
        <v>1671</v>
      </c>
      <c r="F1165" s="7" t="s">
        <v>1647</v>
      </c>
      <c r="G1165" s="3" t="s">
        <v>86</v>
      </c>
      <c r="H1165" s="7" t="s">
        <v>1784</v>
      </c>
      <c r="I1165" s="7">
        <v>45.570959999999999</v>
      </c>
      <c r="J1165" s="7">
        <v>-75.887010000000004</v>
      </c>
      <c r="K1165" s="7" t="s">
        <v>138</v>
      </c>
      <c r="L1165" s="7" t="s">
        <v>223</v>
      </c>
      <c r="N1165" s="7" t="s">
        <v>245</v>
      </c>
      <c r="P1165" s="7" t="s">
        <v>245</v>
      </c>
    </row>
    <row r="1166" spans="1:16" s="7" customFormat="1" ht="15.75" customHeight="1" x14ac:dyDescent="0.35">
      <c r="A1166" s="7">
        <v>70</v>
      </c>
      <c r="B1166" s="4" t="s">
        <v>1670</v>
      </c>
      <c r="C1166" s="4">
        <v>2023</v>
      </c>
      <c r="D1166" s="4" t="s">
        <v>1638</v>
      </c>
      <c r="E1166" s="8" t="s">
        <v>1671</v>
      </c>
      <c r="F1166" s="7" t="s">
        <v>1647</v>
      </c>
      <c r="G1166" s="3" t="s">
        <v>86</v>
      </c>
      <c r="H1166" s="7" t="s">
        <v>1786</v>
      </c>
      <c r="I1166" s="7">
        <v>45.636890000000001</v>
      </c>
      <c r="J1166" s="7">
        <v>-75.932209999999998</v>
      </c>
      <c r="K1166" s="7" t="s">
        <v>138</v>
      </c>
      <c r="L1166" s="7" t="s">
        <v>223</v>
      </c>
      <c r="N1166" s="7" t="s">
        <v>245</v>
      </c>
      <c r="P1166" s="7" t="s">
        <v>245</v>
      </c>
    </row>
    <row r="1167" spans="1:16" s="7" customFormat="1" ht="15.75" customHeight="1" x14ac:dyDescent="0.35">
      <c r="A1167" s="7">
        <v>70</v>
      </c>
      <c r="B1167" s="4" t="s">
        <v>1670</v>
      </c>
      <c r="C1167" s="4">
        <v>2023</v>
      </c>
      <c r="D1167" s="4" t="s">
        <v>1638</v>
      </c>
      <c r="E1167" s="8" t="s">
        <v>1671</v>
      </c>
      <c r="F1167" s="7" t="s">
        <v>1647</v>
      </c>
      <c r="G1167" s="3" t="s">
        <v>86</v>
      </c>
      <c r="H1167" s="7" t="s">
        <v>1787</v>
      </c>
      <c r="I1167" s="7">
        <v>45.640210000000003</v>
      </c>
      <c r="J1167" s="7">
        <v>-75.927269999999993</v>
      </c>
      <c r="K1167" s="7" t="s">
        <v>138</v>
      </c>
      <c r="L1167" s="7" t="s">
        <v>223</v>
      </c>
      <c r="N1167" s="7" t="s">
        <v>245</v>
      </c>
      <c r="P1167" s="7" t="s">
        <v>245</v>
      </c>
    </row>
    <row r="1168" spans="1:16" s="7" customFormat="1" ht="15.75" customHeight="1" x14ac:dyDescent="0.35">
      <c r="A1168" s="7">
        <v>70</v>
      </c>
      <c r="B1168" s="4" t="s">
        <v>1670</v>
      </c>
      <c r="C1168" s="4">
        <v>2023</v>
      </c>
      <c r="D1168" s="4" t="s">
        <v>1638</v>
      </c>
      <c r="E1168" s="8" t="s">
        <v>1671</v>
      </c>
      <c r="F1168" s="7" t="s">
        <v>1647</v>
      </c>
      <c r="G1168" s="3" t="s">
        <v>86</v>
      </c>
      <c r="H1168" s="7" t="s">
        <v>1789</v>
      </c>
      <c r="I1168" s="7">
        <v>45.643560000000001</v>
      </c>
      <c r="J1168" s="7">
        <v>-75.918999999999997</v>
      </c>
      <c r="K1168" s="7" t="s">
        <v>138</v>
      </c>
      <c r="L1168" s="7" t="s">
        <v>223</v>
      </c>
      <c r="N1168" s="7" t="s">
        <v>245</v>
      </c>
      <c r="P1168" s="7" t="s">
        <v>245</v>
      </c>
    </row>
    <row r="1169" spans="1:17" s="7" customFormat="1" ht="15.75" customHeight="1" x14ac:dyDescent="0.35">
      <c r="A1169" s="7">
        <v>70</v>
      </c>
      <c r="B1169" s="4" t="s">
        <v>1670</v>
      </c>
      <c r="C1169" s="4">
        <v>2023</v>
      </c>
      <c r="D1169" s="4" t="s">
        <v>1638</v>
      </c>
      <c r="E1169" s="8" t="s">
        <v>1671</v>
      </c>
      <c r="F1169" s="7" t="s">
        <v>1647</v>
      </c>
      <c r="G1169" s="3" t="s">
        <v>86</v>
      </c>
      <c r="H1169" s="7" t="s">
        <v>1791</v>
      </c>
      <c r="I1169" s="7">
        <v>44.981789999999997</v>
      </c>
      <c r="J1169" s="7">
        <v>-75.798929999999999</v>
      </c>
      <c r="K1169" s="7" t="s">
        <v>138</v>
      </c>
      <c r="L1169" s="7" t="s">
        <v>223</v>
      </c>
      <c r="N1169" s="7" t="s">
        <v>245</v>
      </c>
      <c r="P1169" s="7" t="s">
        <v>245</v>
      </c>
    </row>
    <row r="1170" spans="1:17" s="7" customFormat="1" ht="15.75" customHeight="1" x14ac:dyDescent="0.35">
      <c r="A1170" s="7">
        <v>70</v>
      </c>
      <c r="B1170" s="4" t="s">
        <v>1670</v>
      </c>
      <c r="C1170" s="4">
        <v>2023</v>
      </c>
      <c r="D1170" s="4" t="s">
        <v>1638</v>
      </c>
      <c r="E1170" s="8" t="s">
        <v>1671</v>
      </c>
      <c r="F1170" s="7" t="s">
        <v>1647</v>
      </c>
      <c r="G1170" s="3" t="s">
        <v>86</v>
      </c>
      <c r="H1170" s="7" t="s">
        <v>1793</v>
      </c>
      <c r="I1170" s="7">
        <v>45.442300000000003</v>
      </c>
      <c r="J1170" s="7">
        <v>-76.348889999999997</v>
      </c>
      <c r="K1170" s="7" t="s">
        <v>138</v>
      </c>
      <c r="L1170" s="7" t="s">
        <v>223</v>
      </c>
      <c r="N1170" s="7" t="s">
        <v>245</v>
      </c>
      <c r="P1170" s="7" t="s">
        <v>245</v>
      </c>
    </row>
    <row r="1171" spans="1:17" s="7" customFormat="1" ht="15.75" customHeight="1" x14ac:dyDescent="0.35">
      <c r="A1171" s="7">
        <v>70</v>
      </c>
      <c r="B1171" s="4" t="s">
        <v>1670</v>
      </c>
      <c r="C1171" s="4">
        <v>2023</v>
      </c>
      <c r="D1171" s="4" t="s">
        <v>1638</v>
      </c>
      <c r="E1171" s="8" t="s">
        <v>1671</v>
      </c>
      <c r="F1171" s="7" t="s">
        <v>1647</v>
      </c>
      <c r="G1171" s="3" t="s">
        <v>86</v>
      </c>
      <c r="H1171" s="7" t="s">
        <v>1795</v>
      </c>
      <c r="I1171" s="7">
        <v>45.64846</v>
      </c>
      <c r="J1171" s="7">
        <v>-77.571759999999998</v>
      </c>
      <c r="K1171" s="7" t="s">
        <v>138</v>
      </c>
      <c r="L1171" s="7" t="s">
        <v>223</v>
      </c>
      <c r="N1171" s="7" t="s">
        <v>245</v>
      </c>
      <c r="P1171" s="7" t="s">
        <v>245</v>
      </c>
    </row>
    <row r="1172" spans="1:17" s="7" customFormat="1" ht="15.75" customHeight="1" x14ac:dyDescent="0.35">
      <c r="A1172" s="7">
        <v>70</v>
      </c>
      <c r="B1172" s="4" t="s">
        <v>1670</v>
      </c>
      <c r="C1172" s="4">
        <v>2023</v>
      </c>
      <c r="D1172" s="4" t="s">
        <v>1638</v>
      </c>
      <c r="E1172" s="8" t="s">
        <v>1671</v>
      </c>
      <c r="F1172" s="7" t="s">
        <v>1647</v>
      </c>
      <c r="G1172" s="3" t="s">
        <v>86</v>
      </c>
      <c r="H1172" s="7" t="s">
        <v>1797</v>
      </c>
      <c r="I1172" s="7">
        <v>47.042879999999997</v>
      </c>
      <c r="J1172" s="7">
        <v>-79.268510000000006</v>
      </c>
      <c r="K1172" s="7" t="s">
        <v>138</v>
      </c>
      <c r="L1172" s="7" t="s">
        <v>223</v>
      </c>
      <c r="N1172" s="7" t="s">
        <v>245</v>
      </c>
      <c r="P1172" s="7" t="s">
        <v>245</v>
      </c>
    </row>
    <row r="1173" spans="1:17" s="7" customFormat="1" ht="15.75" customHeight="1" x14ac:dyDescent="0.35">
      <c r="A1173" s="7">
        <v>70</v>
      </c>
      <c r="B1173" s="4" t="s">
        <v>1670</v>
      </c>
      <c r="C1173" s="4">
        <v>2023</v>
      </c>
      <c r="D1173" s="4" t="s">
        <v>1638</v>
      </c>
      <c r="E1173" s="8" t="s">
        <v>1671</v>
      </c>
      <c r="F1173" s="7" t="s">
        <v>1647</v>
      </c>
      <c r="G1173" s="3" t="s">
        <v>86</v>
      </c>
      <c r="H1173" s="7" t="s">
        <v>1798</v>
      </c>
      <c r="I1173" s="7">
        <v>47.264380000000003</v>
      </c>
      <c r="J1173" s="7">
        <v>-79.158180000000002</v>
      </c>
      <c r="K1173" s="7" t="s">
        <v>138</v>
      </c>
      <c r="L1173" s="7" t="s">
        <v>223</v>
      </c>
      <c r="N1173" s="7" t="s">
        <v>245</v>
      </c>
      <c r="P1173" s="7" t="s">
        <v>245</v>
      </c>
    </row>
    <row r="1174" spans="1:17" s="7" customFormat="1" ht="15.75" customHeight="1" x14ac:dyDescent="0.35">
      <c r="A1174" s="7">
        <v>70</v>
      </c>
      <c r="B1174" s="4" t="s">
        <v>1670</v>
      </c>
      <c r="C1174" s="4">
        <v>2023</v>
      </c>
      <c r="D1174" s="4" t="s">
        <v>1638</v>
      </c>
      <c r="E1174" s="8" t="s">
        <v>1671</v>
      </c>
      <c r="F1174" s="7" t="s">
        <v>1647</v>
      </c>
      <c r="G1174" s="3" t="s">
        <v>86</v>
      </c>
      <c r="H1174" s="7" t="s">
        <v>1800</v>
      </c>
      <c r="I1174" s="7">
        <v>48.431440000000002</v>
      </c>
      <c r="J1174" s="7">
        <v>-78.691559999999996</v>
      </c>
      <c r="K1174" s="7" t="s">
        <v>138</v>
      </c>
      <c r="L1174" s="7" t="s">
        <v>223</v>
      </c>
      <c r="N1174" s="7" t="s">
        <v>245</v>
      </c>
      <c r="P1174" s="7" t="s">
        <v>245</v>
      </c>
    </row>
    <row r="1175" spans="1:17" s="7" customFormat="1" x14ac:dyDescent="0.35">
      <c r="A1175" s="7">
        <v>71</v>
      </c>
      <c r="B1175" s="7" t="s">
        <v>1802</v>
      </c>
      <c r="C1175" s="7">
        <v>2021</v>
      </c>
      <c r="D1175" s="7" t="s">
        <v>1638</v>
      </c>
      <c r="E1175" s="7" t="s">
        <v>1803</v>
      </c>
      <c r="F1175" s="7" t="s">
        <v>1804</v>
      </c>
      <c r="G1175" s="3" t="s">
        <v>508</v>
      </c>
      <c r="H1175" s="7" t="s">
        <v>1805</v>
      </c>
      <c r="I1175" s="7">
        <v>53.367400000000004</v>
      </c>
      <c r="J1175" s="10">
        <v>-113.75279999999999</v>
      </c>
      <c r="K1175" s="7" t="s">
        <v>41</v>
      </c>
      <c r="L1175" s="7" t="s">
        <v>223</v>
      </c>
      <c r="M1175" s="7" t="s">
        <v>1806</v>
      </c>
      <c r="N1175" s="7">
        <v>375</v>
      </c>
      <c r="O1175" s="7" t="s">
        <v>31</v>
      </c>
      <c r="P1175" s="7">
        <f t="shared" ref="P1175:P1182" si="11">N1175</f>
        <v>375</v>
      </c>
      <c r="Q1175" s="7" t="s">
        <v>31</v>
      </c>
    </row>
    <row r="1176" spans="1:17" s="7" customFormat="1" x14ac:dyDescent="0.35">
      <c r="A1176" s="7">
        <v>71</v>
      </c>
      <c r="B1176" s="7" t="s">
        <v>1802</v>
      </c>
      <c r="C1176" s="7">
        <v>2021</v>
      </c>
      <c r="D1176" s="7" t="s">
        <v>1638</v>
      </c>
      <c r="E1176" s="7" t="s">
        <v>1803</v>
      </c>
      <c r="F1176" s="7" t="s">
        <v>1804</v>
      </c>
      <c r="G1176" s="3" t="s">
        <v>508</v>
      </c>
      <c r="H1176" s="7" t="s">
        <v>1808</v>
      </c>
      <c r="I1176" s="7">
        <v>53.512</v>
      </c>
      <c r="J1176" s="10">
        <v>-113.5471</v>
      </c>
      <c r="K1176" s="7" t="s">
        <v>41</v>
      </c>
      <c r="L1176" s="7" t="s">
        <v>223</v>
      </c>
      <c r="M1176" s="7" t="s">
        <v>1809</v>
      </c>
      <c r="N1176" s="7">
        <v>89</v>
      </c>
      <c r="O1176" s="7" t="s">
        <v>31</v>
      </c>
      <c r="P1176" s="7">
        <f t="shared" si="11"/>
        <v>89</v>
      </c>
      <c r="Q1176" s="7" t="s">
        <v>31</v>
      </c>
    </row>
    <row r="1177" spans="1:17" s="7" customFormat="1" x14ac:dyDescent="0.35">
      <c r="A1177" s="7">
        <v>71</v>
      </c>
      <c r="B1177" s="7" t="s">
        <v>1802</v>
      </c>
      <c r="C1177" s="7">
        <v>2021</v>
      </c>
      <c r="D1177" s="7" t="s">
        <v>1638</v>
      </c>
      <c r="E1177" s="7" t="s">
        <v>1803</v>
      </c>
      <c r="F1177" s="7" t="s">
        <v>1804</v>
      </c>
      <c r="G1177" s="3" t="s">
        <v>508</v>
      </c>
      <c r="H1177" s="7" t="s">
        <v>1810</v>
      </c>
      <c r="I1177" s="7">
        <v>53.545699999999997</v>
      </c>
      <c r="J1177" s="10">
        <v>-113.5391</v>
      </c>
      <c r="K1177" s="7" t="s">
        <v>41</v>
      </c>
      <c r="L1177" s="7" t="s">
        <v>223</v>
      </c>
      <c r="M1177" s="7" t="s">
        <v>1811</v>
      </c>
      <c r="N1177" s="7">
        <v>187.5</v>
      </c>
      <c r="O1177" s="7" t="s">
        <v>31</v>
      </c>
      <c r="P1177" s="7">
        <f t="shared" si="11"/>
        <v>187.5</v>
      </c>
      <c r="Q1177" s="7" t="s">
        <v>31</v>
      </c>
    </row>
    <row r="1178" spans="1:17" s="7" customFormat="1" x14ac:dyDescent="0.35">
      <c r="A1178" s="7">
        <v>71</v>
      </c>
      <c r="B1178" s="7" t="s">
        <v>1802</v>
      </c>
      <c r="C1178" s="7">
        <v>2021</v>
      </c>
      <c r="D1178" s="7" t="s">
        <v>1638</v>
      </c>
      <c r="E1178" s="7" t="s">
        <v>1803</v>
      </c>
      <c r="F1178" s="7" t="s">
        <v>1804</v>
      </c>
      <c r="G1178" s="3" t="s">
        <v>508</v>
      </c>
      <c r="H1178" s="7" t="s">
        <v>1812</v>
      </c>
      <c r="I1178" s="7">
        <v>53.542000000000002</v>
      </c>
      <c r="J1178" s="10">
        <v>-113.4632</v>
      </c>
      <c r="K1178" s="7" t="s">
        <v>41</v>
      </c>
      <c r="L1178" s="7" t="s">
        <v>223</v>
      </c>
      <c r="M1178" s="7" t="s">
        <v>1809</v>
      </c>
      <c r="N1178" s="7">
        <v>89</v>
      </c>
      <c r="O1178" s="7" t="s">
        <v>31</v>
      </c>
      <c r="P1178" s="7">
        <f t="shared" si="11"/>
        <v>89</v>
      </c>
      <c r="Q1178" s="7" t="s">
        <v>31</v>
      </c>
    </row>
    <row r="1179" spans="1:17" s="7" customFormat="1" x14ac:dyDescent="0.35">
      <c r="A1179" s="7">
        <v>71</v>
      </c>
      <c r="B1179" s="7" t="s">
        <v>1802</v>
      </c>
      <c r="C1179" s="7">
        <v>2021</v>
      </c>
      <c r="D1179" s="7" t="s">
        <v>1638</v>
      </c>
      <c r="E1179" s="7" t="s">
        <v>1803</v>
      </c>
      <c r="F1179" s="7" t="s">
        <v>1804</v>
      </c>
      <c r="G1179" s="3" t="s">
        <v>508</v>
      </c>
      <c r="H1179" s="7" t="s">
        <v>1813</v>
      </c>
      <c r="I1179" s="7">
        <v>53.6524</v>
      </c>
      <c r="J1179" s="10">
        <v>-113.41849999999999</v>
      </c>
      <c r="K1179" s="7" t="s">
        <v>41</v>
      </c>
      <c r="L1179" s="7" t="s">
        <v>223</v>
      </c>
      <c r="M1179" s="7" t="s">
        <v>1809</v>
      </c>
      <c r="N1179" s="7">
        <v>89</v>
      </c>
      <c r="O1179" s="7" t="s">
        <v>31</v>
      </c>
      <c r="P1179" s="7">
        <f t="shared" si="11"/>
        <v>89</v>
      </c>
      <c r="Q1179" s="7" t="s">
        <v>31</v>
      </c>
    </row>
    <row r="1180" spans="1:17" s="7" customFormat="1" x14ac:dyDescent="0.35">
      <c r="A1180" s="7">
        <v>71</v>
      </c>
      <c r="B1180" s="7" t="s">
        <v>1802</v>
      </c>
      <c r="C1180" s="7">
        <v>2021</v>
      </c>
      <c r="D1180" s="7" t="s">
        <v>1638</v>
      </c>
      <c r="E1180" s="7" t="s">
        <v>1803</v>
      </c>
      <c r="F1180" s="7" t="s">
        <v>1804</v>
      </c>
      <c r="G1180" s="3" t="s">
        <v>508</v>
      </c>
      <c r="H1180" s="7" t="s">
        <v>1814</v>
      </c>
      <c r="I1180" s="7">
        <v>53.561500000000002</v>
      </c>
      <c r="J1180" s="10">
        <v>-113.4098</v>
      </c>
      <c r="K1180" s="7" t="s">
        <v>41</v>
      </c>
      <c r="L1180" s="7" t="s">
        <v>223</v>
      </c>
      <c r="M1180" s="7" t="s">
        <v>1809</v>
      </c>
      <c r="N1180" s="7">
        <v>89</v>
      </c>
      <c r="O1180" s="7" t="s">
        <v>31</v>
      </c>
      <c r="P1180" s="7">
        <f t="shared" si="11"/>
        <v>89</v>
      </c>
      <c r="Q1180" s="7" t="s">
        <v>31</v>
      </c>
    </row>
    <row r="1181" spans="1:17" s="7" customFormat="1" x14ac:dyDescent="0.35">
      <c r="A1181" s="7">
        <v>71</v>
      </c>
      <c r="B1181" s="7" t="s">
        <v>1802</v>
      </c>
      <c r="C1181" s="7">
        <v>2021</v>
      </c>
      <c r="D1181" s="7" t="s">
        <v>1638</v>
      </c>
      <c r="E1181" s="7" t="s">
        <v>1803</v>
      </c>
      <c r="F1181" s="7" t="s">
        <v>1804</v>
      </c>
      <c r="G1181" s="3" t="s">
        <v>508</v>
      </c>
      <c r="H1181" s="7" t="s">
        <v>1815</v>
      </c>
      <c r="I1181" s="7">
        <v>53.602800000000002</v>
      </c>
      <c r="J1181" s="10">
        <v>-113.3703</v>
      </c>
      <c r="K1181" s="7" t="s">
        <v>41</v>
      </c>
      <c r="L1181" s="7" t="s">
        <v>223</v>
      </c>
      <c r="M1181" s="7" t="s">
        <v>1809</v>
      </c>
      <c r="N1181" s="7">
        <v>89</v>
      </c>
      <c r="O1181" s="7" t="s">
        <v>31</v>
      </c>
      <c r="P1181" s="7">
        <f t="shared" si="11"/>
        <v>89</v>
      </c>
      <c r="Q1181" s="7" t="s">
        <v>31</v>
      </c>
    </row>
    <row r="1182" spans="1:17" s="7" customFormat="1" x14ac:dyDescent="0.35">
      <c r="A1182" s="7">
        <v>71</v>
      </c>
      <c r="B1182" s="7" t="s">
        <v>1802</v>
      </c>
      <c r="C1182" s="7">
        <v>2021</v>
      </c>
      <c r="D1182" s="7" t="s">
        <v>1638</v>
      </c>
      <c r="E1182" s="7" t="s">
        <v>1803</v>
      </c>
      <c r="F1182" s="7" t="s">
        <v>1804</v>
      </c>
      <c r="G1182" s="3" t="s">
        <v>508</v>
      </c>
      <c r="H1182" s="7" t="s">
        <v>1816</v>
      </c>
      <c r="I1182" s="7">
        <v>53.6282</v>
      </c>
      <c r="J1182" s="10">
        <v>-113.3206</v>
      </c>
      <c r="K1182" s="7" t="s">
        <v>41</v>
      </c>
      <c r="L1182" s="7" t="s">
        <v>223</v>
      </c>
      <c r="M1182" s="7" t="s">
        <v>1811</v>
      </c>
      <c r="N1182" s="7">
        <v>187.5</v>
      </c>
      <c r="O1182" s="7" t="s">
        <v>31</v>
      </c>
      <c r="P1182" s="7">
        <f t="shared" si="11"/>
        <v>187.5</v>
      </c>
      <c r="Q1182" s="7" t="s">
        <v>31</v>
      </c>
    </row>
    <row r="1183" spans="1:17" s="7" customFormat="1" x14ac:dyDescent="0.35">
      <c r="A1183" s="7">
        <v>72</v>
      </c>
      <c r="B1183" s="4" t="s">
        <v>1817</v>
      </c>
      <c r="C1183" s="4">
        <v>2021</v>
      </c>
      <c r="D1183" s="4" t="s">
        <v>1638</v>
      </c>
      <c r="E1183" s="8" t="s">
        <v>1818</v>
      </c>
      <c r="F1183" s="7" t="s">
        <v>1819</v>
      </c>
      <c r="G1183" s="3" t="s">
        <v>25</v>
      </c>
      <c r="H1183" s="7">
        <v>736</v>
      </c>
      <c r="I1183" s="9">
        <v>58.429600000000001</v>
      </c>
      <c r="J1183" s="66">
        <v>-78.3</v>
      </c>
      <c r="K1183" s="7" t="s">
        <v>41</v>
      </c>
      <c r="L1183" s="7" t="s">
        <v>42</v>
      </c>
      <c r="N1183" s="7" t="s">
        <v>1473</v>
      </c>
      <c r="O1183" s="7" t="s">
        <v>31</v>
      </c>
      <c r="P1183" s="7" t="s">
        <v>1473</v>
      </c>
      <c r="Q1183" s="7" t="s">
        <v>31</v>
      </c>
    </row>
    <row r="1184" spans="1:17" s="7" customFormat="1" x14ac:dyDescent="0.35">
      <c r="A1184" s="7">
        <v>72</v>
      </c>
      <c r="B1184" s="4" t="s">
        <v>1817</v>
      </c>
      <c r="C1184" s="4">
        <v>2021</v>
      </c>
      <c r="D1184" s="4" t="s">
        <v>1638</v>
      </c>
      <c r="E1184" s="8" t="s">
        <v>1818</v>
      </c>
      <c r="F1184" s="7" t="s">
        <v>1819</v>
      </c>
      <c r="G1184" s="3" t="s">
        <v>25</v>
      </c>
      <c r="H1184" s="7">
        <v>720</v>
      </c>
      <c r="I1184" s="9">
        <v>60.6982</v>
      </c>
      <c r="J1184" s="9">
        <v>-78.559299999999993</v>
      </c>
      <c r="K1184" s="7" t="s">
        <v>41</v>
      </c>
      <c r="L1184" s="7" t="s">
        <v>42</v>
      </c>
      <c r="N1184" s="7" t="s">
        <v>1473</v>
      </c>
      <c r="O1184" s="7" t="s">
        <v>31</v>
      </c>
      <c r="P1184" s="7" t="s">
        <v>1473</v>
      </c>
      <c r="Q1184" s="7" t="s">
        <v>31</v>
      </c>
    </row>
    <row r="1185" spans="1:17" s="7" customFormat="1" x14ac:dyDescent="0.35">
      <c r="A1185" s="7">
        <v>72</v>
      </c>
      <c r="B1185" s="4" t="s">
        <v>1817</v>
      </c>
      <c r="C1185" s="4">
        <v>2021</v>
      </c>
      <c r="D1185" s="4" t="s">
        <v>1638</v>
      </c>
      <c r="E1185" s="8" t="s">
        <v>1818</v>
      </c>
      <c r="F1185" s="7" t="s">
        <v>1819</v>
      </c>
      <c r="G1185" s="3" t="s">
        <v>25</v>
      </c>
      <c r="H1185" s="9">
        <v>694</v>
      </c>
      <c r="I1185" s="7">
        <v>61.401600000000002</v>
      </c>
      <c r="J1185" s="7" t="s">
        <v>1821</v>
      </c>
      <c r="K1185" s="7" t="s">
        <v>41</v>
      </c>
      <c r="L1185" s="7" t="s">
        <v>42</v>
      </c>
      <c r="N1185" s="7" t="s">
        <v>1473</v>
      </c>
      <c r="O1185" s="7" t="s">
        <v>31</v>
      </c>
      <c r="P1185" s="7" t="s">
        <v>1473</v>
      </c>
      <c r="Q1185" s="7" t="s">
        <v>31</v>
      </c>
    </row>
    <row r="1186" spans="1:17" s="7" customFormat="1" x14ac:dyDescent="0.35">
      <c r="A1186" s="7">
        <v>72</v>
      </c>
      <c r="B1186" s="4" t="s">
        <v>1817</v>
      </c>
      <c r="C1186" s="4">
        <v>2021</v>
      </c>
      <c r="D1186" s="4" t="s">
        <v>1638</v>
      </c>
      <c r="E1186" s="8" t="s">
        <v>1818</v>
      </c>
      <c r="F1186" s="7" t="s">
        <v>1819</v>
      </c>
      <c r="G1186" s="3" t="s">
        <v>25</v>
      </c>
      <c r="H1186" s="9">
        <v>688</v>
      </c>
      <c r="I1186" s="7">
        <v>62.367060000000002</v>
      </c>
      <c r="J1186" s="7" t="s">
        <v>1822</v>
      </c>
      <c r="K1186" s="7" t="s">
        <v>41</v>
      </c>
      <c r="L1186" s="7" t="s">
        <v>42</v>
      </c>
      <c r="N1186" s="7" t="s">
        <v>1473</v>
      </c>
      <c r="O1186" s="7" t="s">
        <v>31</v>
      </c>
      <c r="P1186" s="7" t="s">
        <v>1473</v>
      </c>
      <c r="Q1186" s="7" t="s">
        <v>31</v>
      </c>
    </row>
    <row r="1187" spans="1:17" s="7" customFormat="1" x14ac:dyDescent="0.35">
      <c r="A1187" s="7">
        <v>72</v>
      </c>
      <c r="B1187" s="4" t="s">
        <v>1817</v>
      </c>
      <c r="C1187" s="4">
        <v>2021</v>
      </c>
      <c r="D1187" s="4" t="s">
        <v>1638</v>
      </c>
      <c r="E1187" s="8" t="s">
        <v>1818</v>
      </c>
      <c r="F1187" s="7" t="s">
        <v>1819</v>
      </c>
      <c r="G1187" s="3" t="s">
        <v>25</v>
      </c>
      <c r="H1187" s="9">
        <v>682</v>
      </c>
      <c r="I1187" s="7">
        <v>61.0426</v>
      </c>
      <c r="J1187" s="7" t="s">
        <v>1823</v>
      </c>
      <c r="K1187" s="7" t="s">
        <v>41</v>
      </c>
      <c r="L1187" s="7" t="s">
        <v>42</v>
      </c>
      <c r="N1187" s="7" t="s">
        <v>1473</v>
      </c>
      <c r="O1187" s="7" t="s">
        <v>31</v>
      </c>
      <c r="P1187" s="7" t="s">
        <v>1473</v>
      </c>
      <c r="Q1187" s="7" t="s">
        <v>31</v>
      </c>
    </row>
    <row r="1188" spans="1:17" s="7" customFormat="1" x14ac:dyDescent="0.35">
      <c r="A1188" s="7">
        <v>72</v>
      </c>
      <c r="B1188" s="4" t="s">
        <v>1817</v>
      </c>
      <c r="C1188" s="4">
        <v>2021</v>
      </c>
      <c r="D1188" s="4" t="s">
        <v>1638</v>
      </c>
      <c r="E1188" s="8" t="s">
        <v>1818</v>
      </c>
      <c r="F1188" s="7" t="s">
        <v>1819</v>
      </c>
      <c r="G1188" s="3" t="s">
        <v>25</v>
      </c>
      <c r="H1188" s="9">
        <v>676</v>
      </c>
      <c r="I1188" s="7">
        <v>60.125999999999998</v>
      </c>
      <c r="J1188" s="7" t="s">
        <v>1824</v>
      </c>
      <c r="K1188" s="7" t="s">
        <v>41</v>
      </c>
      <c r="L1188" s="7" t="s">
        <v>42</v>
      </c>
      <c r="N1188" s="7" t="s">
        <v>1473</v>
      </c>
      <c r="O1188" s="7" t="s">
        <v>31</v>
      </c>
      <c r="P1188" s="7" t="s">
        <v>1473</v>
      </c>
      <c r="Q1188" s="7" t="s">
        <v>31</v>
      </c>
    </row>
    <row r="1189" spans="1:17" s="7" customFormat="1" x14ac:dyDescent="0.35">
      <c r="A1189" s="7">
        <v>72</v>
      </c>
      <c r="B1189" s="4" t="s">
        <v>1817</v>
      </c>
      <c r="C1189" s="4">
        <v>2021</v>
      </c>
      <c r="D1189" s="4" t="s">
        <v>1638</v>
      </c>
      <c r="E1189" s="8" t="s">
        <v>1818</v>
      </c>
      <c r="F1189" s="7" t="s">
        <v>1819</v>
      </c>
      <c r="G1189" s="3" t="s">
        <v>25</v>
      </c>
      <c r="H1189" s="9">
        <v>670</v>
      </c>
      <c r="I1189" s="7">
        <v>58.9893</v>
      </c>
      <c r="J1189" s="7" t="s">
        <v>1825</v>
      </c>
      <c r="K1189" s="7" t="s">
        <v>41</v>
      </c>
      <c r="L1189" s="7" t="s">
        <v>42</v>
      </c>
      <c r="N1189" s="7" t="s">
        <v>1473</v>
      </c>
      <c r="O1189" s="7" t="s">
        <v>31</v>
      </c>
      <c r="P1189" s="7" t="s">
        <v>1473</v>
      </c>
      <c r="Q1189" s="7" t="s">
        <v>31</v>
      </c>
    </row>
    <row r="1190" spans="1:17" s="7" customFormat="1" x14ac:dyDescent="0.35">
      <c r="A1190" s="7">
        <v>72</v>
      </c>
      <c r="B1190" s="4" t="s">
        <v>1817</v>
      </c>
      <c r="C1190" s="4">
        <v>2021</v>
      </c>
      <c r="D1190" s="4" t="s">
        <v>1638</v>
      </c>
      <c r="E1190" s="8" t="s">
        <v>1818</v>
      </c>
      <c r="F1190" s="7" t="s">
        <v>1819</v>
      </c>
      <c r="G1190" s="3" t="s">
        <v>25</v>
      </c>
      <c r="H1190" s="9">
        <v>180</v>
      </c>
      <c r="I1190" s="7">
        <v>67.419799999999995</v>
      </c>
      <c r="J1190" s="7" t="s">
        <v>1826</v>
      </c>
      <c r="K1190" s="7" t="s">
        <v>41</v>
      </c>
      <c r="L1190" s="7" t="s">
        <v>42</v>
      </c>
      <c r="N1190" s="7" t="s">
        <v>1473</v>
      </c>
      <c r="O1190" s="7" t="s">
        <v>31</v>
      </c>
      <c r="P1190" s="7" t="s">
        <v>1473</v>
      </c>
      <c r="Q1190" s="7" t="s">
        <v>31</v>
      </c>
    </row>
    <row r="1191" spans="1:17" s="7" customFormat="1" x14ac:dyDescent="0.35">
      <c r="A1191" s="7">
        <v>72</v>
      </c>
      <c r="B1191" s="4" t="s">
        <v>1817</v>
      </c>
      <c r="C1191" s="4">
        <v>2021</v>
      </c>
      <c r="D1191" s="4" t="s">
        <v>1638</v>
      </c>
      <c r="E1191" s="8" t="s">
        <v>1818</v>
      </c>
      <c r="F1191" s="7" t="s">
        <v>1819</v>
      </c>
      <c r="G1191" s="3" t="s">
        <v>25</v>
      </c>
      <c r="H1191" s="9" t="s">
        <v>1827</v>
      </c>
      <c r="I1191" s="7">
        <v>67.967500000000001</v>
      </c>
      <c r="J1191" s="7" t="s">
        <v>1828</v>
      </c>
      <c r="K1191" s="7" t="s">
        <v>41</v>
      </c>
      <c r="L1191" s="7" t="s">
        <v>42</v>
      </c>
      <c r="N1191" s="7" t="s">
        <v>1473</v>
      </c>
      <c r="O1191" s="7" t="s">
        <v>31</v>
      </c>
      <c r="P1191" s="7" t="s">
        <v>1473</v>
      </c>
      <c r="Q1191" s="7" t="s">
        <v>31</v>
      </c>
    </row>
    <row r="1192" spans="1:17" s="7" customFormat="1" x14ac:dyDescent="0.35">
      <c r="A1192" s="7">
        <v>72</v>
      </c>
      <c r="B1192" s="4" t="s">
        <v>1817</v>
      </c>
      <c r="C1192" s="4">
        <v>2021</v>
      </c>
      <c r="D1192" s="4" t="s">
        <v>1638</v>
      </c>
      <c r="E1192" s="8" t="s">
        <v>1818</v>
      </c>
      <c r="F1192" s="7" t="s">
        <v>1819</v>
      </c>
      <c r="G1192" s="3" t="s">
        <v>25</v>
      </c>
      <c r="H1192" s="9" t="s">
        <v>1827</v>
      </c>
      <c r="I1192" s="7">
        <v>67.967500000000001</v>
      </c>
      <c r="J1192" s="7" t="s">
        <v>1828</v>
      </c>
      <c r="K1192" s="7" t="s">
        <v>103</v>
      </c>
      <c r="L1192" s="7" t="s">
        <v>42</v>
      </c>
      <c r="N1192" s="7" t="s">
        <v>1632</v>
      </c>
      <c r="O1192" s="7" t="s">
        <v>31</v>
      </c>
      <c r="P1192" s="7" t="s">
        <v>1632</v>
      </c>
      <c r="Q1192" s="7" t="s">
        <v>31</v>
      </c>
    </row>
    <row r="1193" spans="1:17" s="7" customFormat="1" x14ac:dyDescent="0.35">
      <c r="A1193" s="7">
        <v>72</v>
      </c>
      <c r="B1193" s="4" t="s">
        <v>1817</v>
      </c>
      <c r="C1193" s="4">
        <v>2021</v>
      </c>
      <c r="D1193" s="4" t="s">
        <v>1638</v>
      </c>
      <c r="E1193" s="8" t="s">
        <v>1818</v>
      </c>
      <c r="F1193" s="7" t="s">
        <v>1819</v>
      </c>
      <c r="G1193" s="3" t="s">
        <v>25</v>
      </c>
      <c r="H1193" s="9">
        <v>8.1</v>
      </c>
      <c r="I1193" s="7">
        <v>69.407200000000003</v>
      </c>
      <c r="J1193" s="7" t="s">
        <v>1829</v>
      </c>
      <c r="K1193" s="7" t="s">
        <v>103</v>
      </c>
      <c r="L1193" s="7" t="s">
        <v>42</v>
      </c>
      <c r="N1193" s="7" t="s">
        <v>1632</v>
      </c>
      <c r="O1193" s="7" t="s">
        <v>31</v>
      </c>
      <c r="P1193" s="7" t="s">
        <v>1632</v>
      </c>
      <c r="Q1193" s="7" t="s">
        <v>31</v>
      </c>
    </row>
    <row r="1194" spans="1:17" s="7" customFormat="1" x14ac:dyDescent="0.35">
      <c r="A1194" s="7">
        <v>72</v>
      </c>
      <c r="B1194" s="4" t="s">
        <v>1817</v>
      </c>
      <c r="C1194" s="4">
        <v>2021</v>
      </c>
      <c r="D1194" s="4" t="s">
        <v>1638</v>
      </c>
      <c r="E1194" s="8" t="s">
        <v>1818</v>
      </c>
      <c r="F1194" s="7" t="s">
        <v>1819</v>
      </c>
      <c r="G1194" s="3" t="s">
        <v>25</v>
      </c>
      <c r="H1194" s="9" t="s">
        <v>1830</v>
      </c>
      <c r="I1194" s="7">
        <v>72.7684</v>
      </c>
      <c r="J1194" s="7" t="s">
        <v>1831</v>
      </c>
      <c r="K1194" s="7" t="s">
        <v>41</v>
      </c>
      <c r="L1194" s="7" t="s">
        <v>42</v>
      </c>
      <c r="N1194" s="7" t="s">
        <v>1473</v>
      </c>
      <c r="O1194" s="7" t="s">
        <v>31</v>
      </c>
      <c r="P1194" s="7" t="s">
        <v>1473</v>
      </c>
      <c r="Q1194" s="7" t="s">
        <v>31</v>
      </c>
    </row>
    <row r="1195" spans="1:17" s="7" customFormat="1" x14ac:dyDescent="0.35">
      <c r="A1195" s="7">
        <v>72</v>
      </c>
      <c r="B1195" s="4" t="s">
        <v>1817</v>
      </c>
      <c r="C1195" s="4">
        <v>2021</v>
      </c>
      <c r="D1195" s="4" t="s">
        <v>1638</v>
      </c>
      <c r="E1195" s="8" t="s">
        <v>1818</v>
      </c>
      <c r="F1195" s="7" t="s">
        <v>1819</v>
      </c>
      <c r="G1195" s="3" t="s">
        <v>25</v>
      </c>
      <c r="H1195" s="9" t="s">
        <v>1830</v>
      </c>
      <c r="I1195" s="7">
        <v>72.7684</v>
      </c>
      <c r="J1195" s="7" t="s">
        <v>1831</v>
      </c>
      <c r="K1195" s="7" t="s">
        <v>103</v>
      </c>
      <c r="L1195" s="7" t="s">
        <v>42</v>
      </c>
      <c r="N1195" s="7" t="s">
        <v>1632</v>
      </c>
      <c r="O1195" s="7" t="s">
        <v>31</v>
      </c>
      <c r="P1195" s="7" t="s">
        <v>1632</v>
      </c>
      <c r="Q1195" s="7" t="s">
        <v>31</v>
      </c>
    </row>
    <row r="1196" spans="1:17" s="7" customFormat="1" x14ac:dyDescent="0.35">
      <c r="A1196" s="7">
        <v>72</v>
      </c>
      <c r="B1196" s="4" t="s">
        <v>1817</v>
      </c>
      <c r="C1196" s="4">
        <v>2021</v>
      </c>
      <c r="D1196" s="4" t="s">
        <v>1638</v>
      </c>
      <c r="E1196" s="8" t="s">
        <v>1818</v>
      </c>
      <c r="F1196" s="7" t="s">
        <v>1819</v>
      </c>
      <c r="G1196" s="3" t="s">
        <v>25</v>
      </c>
      <c r="H1196" s="9">
        <v>101</v>
      </c>
      <c r="I1196" s="7">
        <v>76.357500000000002</v>
      </c>
      <c r="J1196" s="7" t="s">
        <v>1832</v>
      </c>
      <c r="K1196" s="7" t="s">
        <v>103</v>
      </c>
      <c r="L1196" s="7" t="s">
        <v>42</v>
      </c>
      <c r="N1196" s="7" t="s">
        <v>1632</v>
      </c>
      <c r="O1196" s="7" t="s">
        <v>31</v>
      </c>
      <c r="P1196" s="7" t="s">
        <v>1632</v>
      </c>
      <c r="Q1196" s="7" t="s">
        <v>31</v>
      </c>
    </row>
    <row r="1197" spans="1:17" s="7" customFormat="1" x14ac:dyDescent="0.35">
      <c r="A1197" s="7">
        <v>72</v>
      </c>
      <c r="B1197" s="4" t="s">
        <v>1817</v>
      </c>
      <c r="C1197" s="4">
        <v>2021</v>
      </c>
      <c r="D1197" s="4" t="s">
        <v>1638</v>
      </c>
      <c r="E1197" s="8" t="s">
        <v>1818</v>
      </c>
      <c r="F1197" s="7" t="s">
        <v>1819</v>
      </c>
      <c r="G1197" s="3" t="s">
        <v>25</v>
      </c>
      <c r="H1197" s="9">
        <v>115</v>
      </c>
      <c r="I1197" s="7">
        <v>76.337199999999996</v>
      </c>
      <c r="J1197" s="7" t="s">
        <v>1833</v>
      </c>
      <c r="K1197" s="7" t="s">
        <v>41</v>
      </c>
      <c r="L1197" s="7" t="s">
        <v>42</v>
      </c>
      <c r="N1197" s="7" t="s">
        <v>1473</v>
      </c>
      <c r="O1197" s="7" t="s">
        <v>31</v>
      </c>
      <c r="P1197" s="7" t="s">
        <v>1473</v>
      </c>
      <c r="Q1197" s="7" t="s">
        <v>31</v>
      </c>
    </row>
    <row r="1198" spans="1:17" s="7" customFormat="1" x14ac:dyDescent="0.35">
      <c r="A1198" s="7">
        <v>72</v>
      </c>
      <c r="B1198" s="4" t="s">
        <v>1817</v>
      </c>
      <c r="C1198" s="4">
        <v>2021</v>
      </c>
      <c r="D1198" s="4" t="s">
        <v>1638</v>
      </c>
      <c r="E1198" s="8" t="s">
        <v>1818</v>
      </c>
      <c r="F1198" s="7" t="s">
        <v>1819</v>
      </c>
      <c r="G1198" s="3" t="s">
        <v>25</v>
      </c>
      <c r="H1198" s="9">
        <v>115</v>
      </c>
      <c r="I1198" s="7">
        <v>76.337199999999996</v>
      </c>
      <c r="J1198" s="7" t="s">
        <v>1833</v>
      </c>
      <c r="K1198" s="7" t="s">
        <v>103</v>
      </c>
      <c r="L1198" s="7" t="s">
        <v>42</v>
      </c>
      <c r="N1198" s="7" t="s">
        <v>1632</v>
      </c>
      <c r="O1198" s="7" t="s">
        <v>31</v>
      </c>
      <c r="P1198" s="7" t="s">
        <v>1632</v>
      </c>
      <c r="Q1198" s="7" t="s">
        <v>31</v>
      </c>
    </row>
    <row r="1199" spans="1:17" s="7" customFormat="1" x14ac:dyDescent="0.35">
      <c r="A1199" s="7">
        <v>72</v>
      </c>
      <c r="B1199" s="4" t="s">
        <v>1817</v>
      </c>
      <c r="C1199" s="4">
        <v>2021</v>
      </c>
      <c r="D1199" s="4" t="s">
        <v>1638</v>
      </c>
      <c r="E1199" s="8" t="s">
        <v>1818</v>
      </c>
      <c r="F1199" s="7" t="s">
        <v>1819</v>
      </c>
      <c r="G1199" s="3" t="s">
        <v>25</v>
      </c>
      <c r="H1199" s="9">
        <v>111</v>
      </c>
      <c r="I1199" s="7">
        <v>78.325999999999993</v>
      </c>
      <c r="J1199" s="7" t="s">
        <v>1834</v>
      </c>
      <c r="K1199" s="7" t="s">
        <v>41</v>
      </c>
      <c r="L1199" s="7" t="s">
        <v>42</v>
      </c>
      <c r="N1199" s="7" t="s">
        <v>1473</v>
      </c>
      <c r="O1199" s="7" t="s">
        <v>31</v>
      </c>
      <c r="P1199" s="7" t="s">
        <v>1473</v>
      </c>
      <c r="Q1199" s="7" t="s">
        <v>31</v>
      </c>
    </row>
    <row r="1200" spans="1:17" s="7" customFormat="1" x14ac:dyDescent="0.35">
      <c r="A1200" s="7">
        <v>72</v>
      </c>
      <c r="B1200" s="4" t="s">
        <v>1817</v>
      </c>
      <c r="C1200" s="4">
        <v>2021</v>
      </c>
      <c r="D1200" s="4" t="s">
        <v>1638</v>
      </c>
      <c r="E1200" s="8" t="s">
        <v>1818</v>
      </c>
      <c r="F1200" s="7" t="s">
        <v>1819</v>
      </c>
      <c r="G1200" s="3" t="s">
        <v>25</v>
      </c>
      <c r="H1200" s="9" t="s">
        <v>1835</v>
      </c>
      <c r="I1200" s="7">
        <v>76.332899999999995</v>
      </c>
      <c r="J1200" s="7" t="s">
        <v>1836</v>
      </c>
      <c r="K1200" s="7" t="s">
        <v>103</v>
      </c>
      <c r="L1200" s="7" t="s">
        <v>42</v>
      </c>
      <c r="N1200" s="7" t="s">
        <v>1632</v>
      </c>
      <c r="O1200" s="7" t="s">
        <v>31</v>
      </c>
      <c r="P1200" s="7" t="s">
        <v>1632</v>
      </c>
      <c r="Q1200" s="7" t="s">
        <v>31</v>
      </c>
    </row>
    <row r="1201" spans="1:17" s="7" customFormat="1" x14ac:dyDescent="0.35">
      <c r="A1201" s="7">
        <v>72</v>
      </c>
      <c r="B1201" s="4" t="s">
        <v>1817</v>
      </c>
      <c r="C1201" s="4">
        <v>2021</v>
      </c>
      <c r="D1201" s="4" t="s">
        <v>1638</v>
      </c>
      <c r="E1201" s="8" t="s">
        <v>1818</v>
      </c>
      <c r="F1201" s="7" t="s">
        <v>1819</v>
      </c>
      <c r="G1201" s="3" t="s">
        <v>25</v>
      </c>
      <c r="H1201" s="9" t="s">
        <v>1837</v>
      </c>
      <c r="I1201" s="7">
        <v>75.702200000000005</v>
      </c>
      <c r="J1201" s="7" t="s">
        <v>1838</v>
      </c>
      <c r="K1201" s="7" t="s">
        <v>103</v>
      </c>
      <c r="L1201" s="7" t="s">
        <v>42</v>
      </c>
      <c r="N1201" s="7" t="s">
        <v>1632</v>
      </c>
      <c r="O1201" s="7" t="s">
        <v>31</v>
      </c>
      <c r="P1201" s="7" t="s">
        <v>1632</v>
      </c>
      <c r="Q1201" s="7" t="s">
        <v>31</v>
      </c>
    </row>
    <row r="1202" spans="1:17" s="7" customFormat="1" x14ac:dyDescent="0.35">
      <c r="A1202" s="7">
        <v>72</v>
      </c>
      <c r="B1202" s="4" t="s">
        <v>1817</v>
      </c>
      <c r="C1202" s="4">
        <v>2021</v>
      </c>
      <c r="D1202" s="4" t="s">
        <v>1638</v>
      </c>
      <c r="E1202" s="8" t="s">
        <v>1818</v>
      </c>
      <c r="F1202" s="7" t="s">
        <v>1819</v>
      </c>
      <c r="G1202" s="3" t="s">
        <v>25</v>
      </c>
      <c r="H1202" s="9">
        <v>323</v>
      </c>
      <c r="I1202" s="7">
        <v>74.161500000000004</v>
      </c>
      <c r="J1202" s="7" t="s">
        <v>1839</v>
      </c>
      <c r="K1202" s="7" t="s">
        <v>41</v>
      </c>
      <c r="L1202" s="7" t="s">
        <v>42</v>
      </c>
      <c r="N1202" s="7" t="s">
        <v>1473</v>
      </c>
      <c r="O1202" s="7" t="s">
        <v>31</v>
      </c>
      <c r="P1202" s="7" t="s">
        <v>1473</v>
      </c>
      <c r="Q1202" s="7" t="s">
        <v>31</v>
      </c>
    </row>
    <row r="1203" spans="1:17" s="7" customFormat="1" x14ac:dyDescent="0.35">
      <c r="A1203" s="7">
        <v>72</v>
      </c>
      <c r="B1203" s="4" t="s">
        <v>1817</v>
      </c>
      <c r="C1203" s="4">
        <v>2021</v>
      </c>
      <c r="D1203" s="4" t="s">
        <v>1638</v>
      </c>
      <c r="E1203" s="8" t="s">
        <v>1818</v>
      </c>
      <c r="F1203" s="7" t="s">
        <v>1819</v>
      </c>
      <c r="G1203" s="3" t="s">
        <v>25</v>
      </c>
      <c r="H1203" s="9">
        <v>323</v>
      </c>
      <c r="I1203" s="7">
        <v>74.161500000000004</v>
      </c>
      <c r="J1203" s="7" t="s">
        <v>1839</v>
      </c>
      <c r="K1203" s="7" t="s">
        <v>103</v>
      </c>
      <c r="L1203" s="7" t="s">
        <v>42</v>
      </c>
      <c r="N1203" s="7" t="s">
        <v>1632</v>
      </c>
      <c r="O1203" s="7" t="s">
        <v>31</v>
      </c>
      <c r="P1203" s="7" t="s">
        <v>1632</v>
      </c>
      <c r="Q1203" s="7" t="s">
        <v>31</v>
      </c>
    </row>
    <row r="1204" spans="1:17" s="7" customFormat="1" x14ac:dyDescent="0.35">
      <c r="A1204" s="7">
        <v>72</v>
      </c>
      <c r="B1204" s="4" t="s">
        <v>1817</v>
      </c>
      <c r="C1204" s="4">
        <v>2021</v>
      </c>
      <c r="D1204" s="4" t="s">
        <v>1638</v>
      </c>
      <c r="E1204" s="8" t="s">
        <v>1818</v>
      </c>
      <c r="F1204" s="7" t="s">
        <v>1819</v>
      </c>
      <c r="G1204" s="3" t="s">
        <v>25</v>
      </c>
      <c r="H1204" s="9" t="s">
        <v>1840</v>
      </c>
      <c r="I1204" s="7">
        <v>72.8279</v>
      </c>
      <c r="J1204" s="7" t="s">
        <v>1841</v>
      </c>
      <c r="K1204" s="7" t="s">
        <v>41</v>
      </c>
      <c r="L1204" s="7" t="s">
        <v>42</v>
      </c>
      <c r="N1204" s="7" t="s">
        <v>1473</v>
      </c>
      <c r="O1204" s="7" t="s">
        <v>31</v>
      </c>
      <c r="P1204" s="7" t="s">
        <v>1473</v>
      </c>
      <c r="Q1204" s="7" t="s">
        <v>31</v>
      </c>
    </row>
    <row r="1205" spans="1:17" s="7" customFormat="1" x14ac:dyDescent="0.35">
      <c r="A1205" s="7">
        <v>72</v>
      </c>
      <c r="B1205" s="4" t="s">
        <v>1817</v>
      </c>
      <c r="C1205" s="4">
        <v>2021</v>
      </c>
      <c r="D1205" s="4" t="s">
        <v>1638</v>
      </c>
      <c r="E1205" s="8" t="s">
        <v>1818</v>
      </c>
      <c r="F1205" s="7" t="s">
        <v>1819</v>
      </c>
      <c r="G1205" s="3" t="s">
        <v>25</v>
      </c>
      <c r="H1205" s="9">
        <v>301</v>
      </c>
      <c r="I1205" s="7">
        <v>74.277600000000007</v>
      </c>
      <c r="J1205" s="7" t="s">
        <v>1842</v>
      </c>
      <c r="K1205" s="7" t="s">
        <v>103</v>
      </c>
      <c r="L1205" s="7" t="s">
        <v>42</v>
      </c>
      <c r="N1205" s="7" t="s">
        <v>1632</v>
      </c>
      <c r="O1205" s="7" t="s">
        <v>31</v>
      </c>
      <c r="P1205" s="7" t="s">
        <v>1632</v>
      </c>
      <c r="Q1205" s="7" t="s">
        <v>31</v>
      </c>
    </row>
    <row r="1206" spans="1:17" s="7" customFormat="1" x14ac:dyDescent="0.35">
      <c r="A1206" s="7">
        <v>72</v>
      </c>
      <c r="B1206" s="4" t="s">
        <v>1817</v>
      </c>
      <c r="C1206" s="4">
        <v>2021</v>
      </c>
      <c r="D1206" s="4" t="s">
        <v>1638</v>
      </c>
      <c r="E1206" s="8" t="s">
        <v>1818</v>
      </c>
      <c r="F1206" s="7" t="s">
        <v>1819</v>
      </c>
      <c r="G1206" s="3" t="s">
        <v>25</v>
      </c>
      <c r="H1206" s="9">
        <v>304</v>
      </c>
      <c r="I1206" s="7">
        <v>74.246200000000002</v>
      </c>
      <c r="J1206" s="7" t="s">
        <v>1843</v>
      </c>
      <c r="K1206" s="7" t="s">
        <v>103</v>
      </c>
      <c r="L1206" s="7" t="s">
        <v>42</v>
      </c>
      <c r="N1206" s="7" t="s">
        <v>1632</v>
      </c>
      <c r="O1206" s="7" t="s">
        <v>31</v>
      </c>
      <c r="P1206" s="7" t="s">
        <v>1632</v>
      </c>
      <c r="Q1206" s="7" t="s">
        <v>31</v>
      </c>
    </row>
    <row r="1207" spans="1:17" s="7" customFormat="1" x14ac:dyDescent="0.35">
      <c r="A1207" s="7">
        <v>72</v>
      </c>
      <c r="B1207" s="4" t="s">
        <v>1817</v>
      </c>
      <c r="C1207" s="4">
        <v>2021</v>
      </c>
      <c r="D1207" s="4" t="s">
        <v>1638</v>
      </c>
      <c r="E1207" s="8" t="s">
        <v>1818</v>
      </c>
      <c r="F1207" s="7" t="s">
        <v>1819</v>
      </c>
      <c r="G1207" s="3" t="s">
        <v>25</v>
      </c>
      <c r="H1207" s="9">
        <v>5.0999999999999996</v>
      </c>
      <c r="I1207" s="7">
        <v>74.488399999999999</v>
      </c>
      <c r="J1207" s="7" t="s">
        <v>1844</v>
      </c>
      <c r="K1207" s="7" t="s">
        <v>103</v>
      </c>
      <c r="L1207" s="7" t="s">
        <v>42</v>
      </c>
      <c r="N1207" s="7" t="s">
        <v>1632</v>
      </c>
      <c r="O1207" s="7" t="s">
        <v>31</v>
      </c>
      <c r="P1207" s="7" t="s">
        <v>1632</v>
      </c>
      <c r="Q1207" s="7" t="s">
        <v>31</v>
      </c>
    </row>
    <row r="1208" spans="1:17" s="7" customFormat="1" x14ac:dyDescent="0.35">
      <c r="A1208" s="7">
        <v>72</v>
      </c>
      <c r="B1208" s="4" t="s">
        <v>1817</v>
      </c>
      <c r="C1208" s="4">
        <v>2021</v>
      </c>
      <c r="D1208" s="4" t="s">
        <v>1638</v>
      </c>
      <c r="E1208" s="8" t="s">
        <v>1818</v>
      </c>
      <c r="F1208" s="7" t="s">
        <v>1819</v>
      </c>
      <c r="G1208" s="3" t="s">
        <v>25</v>
      </c>
      <c r="H1208" s="9" t="s">
        <v>1845</v>
      </c>
      <c r="I1208" s="7">
        <v>74.727999999999994</v>
      </c>
      <c r="J1208" s="7" t="s">
        <v>1846</v>
      </c>
      <c r="K1208" s="7" t="s">
        <v>41</v>
      </c>
      <c r="L1208" s="7" t="s">
        <v>42</v>
      </c>
      <c r="N1208" s="7" t="s">
        <v>1473</v>
      </c>
      <c r="O1208" s="7" t="s">
        <v>31</v>
      </c>
      <c r="P1208" s="7" t="s">
        <v>1473</v>
      </c>
      <c r="Q1208" s="7" t="s">
        <v>31</v>
      </c>
    </row>
    <row r="1209" spans="1:17" s="7" customFormat="1" x14ac:dyDescent="0.35">
      <c r="A1209" s="7">
        <v>72</v>
      </c>
      <c r="B1209" s="4" t="s">
        <v>1817</v>
      </c>
      <c r="C1209" s="4">
        <v>2021</v>
      </c>
      <c r="D1209" s="4" t="s">
        <v>1638</v>
      </c>
      <c r="E1209" s="8" t="s">
        <v>1818</v>
      </c>
      <c r="F1209" s="7" t="s">
        <v>1819</v>
      </c>
      <c r="G1209" s="3" t="s">
        <v>25</v>
      </c>
      <c r="H1209" s="9" t="s">
        <v>1847</v>
      </c>
      <c r="I1209" s="7">
        <v>68.302700000000002</v>
      </c>
      <c r="J1209" s="7" t="s">
        <v>1848</v>
      </c>
      <c r="K1209" s="7" t="s">
        <v>41</v>
      </c>
      <c r="L1209" s="7" t="s">
        <v>42</v>
      </c>
      <c r="N1209" s="7" t="s">
        <v>1473</v>
      </c>
      <c r="O1209" s="7" t="s">
        <v>31</v>
      </c>
      <c r="P1209" s="7" t="s">
        <v>1473</v>
      </c>
      <c r="Q1209" s="7" t="s">
        <v>31</v>
      </c>
    </row>
    <row r="1210" spans="1:17" s="7" customFormat="1" x14ac:dyDescent="0.35">
      <c r="A1210" s="7">
        <v>72</v>
      </c>
      <c r="B1210" s="4" t="s">
        <v>1817</v>
      </c>
      <c r="C1210" s="4">
        <v>2021</v>
      </c>
      <c r="D1210" s="4" t="s">
        <v>1638</v>
      </c>
      <c r="E1210" s="8" t="s">
        <v>1818</v>
      </c>
      <c r="F1210" s="7" t="s">
        <v>1819</v>
      </c>
      <c r="G1210" s="3" t="s">
        <v>25</v>
      </c>
      <c r="H1210" s="9" t="s">
        <v>1847</v>
      </c>
      <c r="I1210" s="7">
        <v>68.302700000000002</v>
      </c>
      <c r="J1210" s="7" t="s">
        <v>1848</v>
      </c>
      <c r="K1210" s="7" t="s">
        <v>103</v>
      </c>
      <c r="L1210" s="7" t="s">
        <v>42</v>
      </c>
      <c r="N1210" s="7" t="s">
        <v>1632</v>
      </c>
      <c r="O1210" s="7" t="s">
        <v>31</v>
      </c>
      <c r="P1210" s="7" t="s">
        <v>1632</v>
      </c>
      <c r="Q1210" s="7" t="s">
        <v>31</v>
      </c>
    </row>
    <row r="1211" spans="1:17" s="7" customFormat="1" x14ac:dyDescent="0.35">
      <c r="A1211" s="7">
        <v>72</v>
      </c>
      <c r="B1211" s="4" t="s">
        <v>1817</v>
      </c>
      <c r="C1211" s="4">
        <v>2021</v>
      </c>
      <c r="D1211" s="4" t="s">
        <v>1638</v>
      </c>
      <c r="E1211" s="8" t="s">
        <v>1818</v>
      </c>
      <c r="F1211" s="7" t="s">
        <v>1819</v>
      </c>
      <c r="G1211" s="3" t="s">
        <v>25</v>
      </c>
      <c r="H1211" s="9" t="s">
        <v>1849</v>
      </c>
      <c r="I1211" s="7">
        <v>68.484200000000001</v>
      </c>
      <c r="J1211" s="7" t="s">
        <v>1850</v>
      </c>
      <c r="K1211" s="7" t="s">
        <v>103</v>
      </c>
      <c r="L1211" s="7" t="s">
        <v>42</v>
      </c>
      <c r="N1211" s="7" t="s">
        <v>1632</v>
      </c>
      <c r="O1211" s="7" t="s">
        <v>31</v>
      </c>
      <c r="P1211" s="7" t="s">
        <v>1632</v>
      </c>
      <c r="Q1211" s="7" t="s">
        <v>31</v>
      </c>
    </row>
    <row r="1212" spans="1:17" s="7" customFormat="1" x14ac:dyDescent="0.35">
      <c r="A1212" s="7">
        <v>72</v>
      </c>
      <c r="B1212" s="4" t="s">
        <v>1817</v>
      </c>
      <c r="C1212" s="4">
        <v>2021</v>
      </c>
      <c r="D1212" s="4" t="s">
        <v>1638</v>
      </c>
      <c r="E1212" s="8" t="s">
        <v>1818</v>
      </c>
      <c r="F1212" s="7" t="s">
        <v>1819</v>
      </c>
      <c r="G1212" s="3" t="s">
        <v>25</v>
      </c>
      <c r="H1212" s="9" t="s">
        <v>1851</v>
      </c>
      <c r="I1212" s="7">
        <v>68.491699999999994</v>
      </c>
      <c r="J1212" s="7" t="s">
        <v>1852</v>
      </c>
      <c r="K1212" s="7" t="s">
        <v>103</v>
      </c>
      <c r="L1212" s="7" t="s">
        <v>42</v>
      </c>
      <c r="N1212" s="7" t="s">
        <v>1632</v>
      </c>
      <c r="O1212" s="7" t="s">
        <v>31</v>
      </c>
      <c r="P1212" s="7" t="s">
        <v>1632</v>
      </c>
      <c r="Q1212" s="7" t="s">
        <v>31</v>
      </c>
    </row>
    <row r="1213" spans="1:17" s="7" customFormat="1" x14ac:dyDescent="0.35">
      <c r="A1213" s="7">
        <v>72</v>
      </c>
      <c r="B1213" s="4" t="s">
        <v>1817</v>
      </c>
      <c r="C1213" s="4">
        <v>2021</v>
      </c>
      <c r="D1213" s="4" t="s">
        <v>1638</v>
      </c>
      <c r="E1213" s="8" t="s">
        <v>1818</v>
      </c>
      <c r="F1213" s="7" t="s">
        <v>1819</v>
      </c>
      <c r="G1213" s="3" t="s">
        <v>25</v>
      </c>
      <c r="H1213" s="9" t="s">
        <v>1853</v>
      </c>
      <c r="I1213" s="7">
        <v>68.306200000000004</v>
      </c>
      <c r="J1213" s="7" t="s">
        <v>1854</v>
      </c>
      <c r="K1213" s="7" t="s">
        <v>41</v>
      </c>
      <c r="L1213" s="7" t="s">
        <v>42</v>
      </c>
      <c r="N1213" s="7" t="s">
        <v>1473</v>
      </c>
      <c r="O1213" s="7" t="s">
        <v>31</v>
      </c>
      <c r="P1213" s="7" t="s">
        <v>1473</v>
      </c>
      <c r="Q1213" s="7" t="s">
        <v>31</v>
      </c>
    </row>
    <row r="1214" spans="1:17" s="7" customFormat="1" x14ac:dyDescent="0.35">
      <c r="A1214" s="7">
        <v>72</v>
      </c>
      <c r="B1214" s="4" t="s">
        <v>1817</v>
      </c>
      <c r="C1214" s="4">
        <v>2021</v>
      </c>
      <c r="D1214" s="4" t="s">
        <v>1638</v>
      </c>
      <c r="E1214" s="8" t="s">
        <v>1818</v>
      </c>
      <c r="F1214" s="7" t="s">
        <v>1819</v>
      </c>
      <c r="G1214" s="3" t="s">
        <v>25</v>
      </c>
      <c r="H1214" s="9">
        <v>312</v>
      </c>
      <c r="I1214" s="7">
        <v>69.170400000000001</v>
      </c>
      <c r="J1214" s="7" t="s">
        <v>1855</v>
      </c>
      <c r="K1214" s="7" t="s">
        <v>41</v>
      </c>
      <c r="L1214" s="7" t="s">
        <v>42</v>
      </c>
      <c r="N1214" s="7" t="s">
        <v>1473</v>
      </c>
      <c r="O1214" s="7" t="s">
        <v>31</v>
      </c>
      <c r="P1214" s="7" t="s">
        <v>1473</v>
      </c>
      <c r="Q1214" s="7" t="s">
        <v>31</v>
      </c>
    </row>
    <row r="1215" spans="1:17" s="7" customFormat="1" x14ac:dyDescent="0.35">
      <c r="A1215" s="7">
        <v>72</v>
      </c>
      <c r="B1215" s="4" t="s">
        <v>1817</v>
      </c>
      <c r="C1215" s="4">
        <v>2021</v>
      </c>
      <c r="D1215" s="4" t="s">
        <v>1638</v>
      </c>
      <c r="E1215" s="8" t="s">
        <v>1818</v>
      </c>
      <c r="F1215" s="7" t="s">
        <v>1819</v>
      </c>
      <c r="G1215" s="3" t="s">
        <v>25</v>
      </c>
      <c r="H1215" s="9">
        <v>312</v>
      </c>
      <c r="I1215" s="7">
        <v>69.170400000000001</v>
      </c>
      <c r="J1215" s="7" t="s">
        <v>1855</v>
      </c>
      <c r="K1215" s="7" t="s">
        <v>103</v>
      </c>
      <c r="L1215" s="7" t="s">
        <v>42</v>
      </c>
      <c r="N1215" s="7" t="s">
        <v>1632</v>
      </c>
      <c r="O1215" s="7" t="s">
        <v>31</v>
      </c>
      <c r="P1215" s="7" t="s">
        <v>1632</v>
      </c>
      <c r="Q1215" s="7" t="s">
        <v>31</v>
      </c>
    </row>
    <row r="1216" spans="1:17" s="7" customFormat="1" x14ac:dyDescent="0.35">
      <c r="A1216" s="7">
        <v>72</v>
      </c>
      <c r="B1216" s="4" t="s">
        <v>1817</v>
      </c>
      <c r="C1216" s="4">
        <v>2021</v>
      </c>
      <c r="D1216" s="4" t="s">
        <v>1638</v>
      </c>
      <c r="E1216" s="8" t="s">
        <v>1818</v>
      </c>
      <c r="F1216" s="7" t="s">
        <v>1819</v>
      </c>
      <c r="G1216" s="3" t="s">
        <v>25</v>
      </c>
      <c r="H1216" s="9">
        <v>3.7</v>
      </c>
      <c r="I1216" s="7">
        <v>2.0960000000000001</v>
      </c>
      <c r="J1216" s="7" t="s">
        <v>1856</v>
      </c>
      <c r="K1216" s="7" t="s">
        <v>41</v>
      </c>
      <c r="L1216" s="7" t="s">
        <v>42</v>
      </c>
      <c r="N1216" s="7" t="s">
        <v>1473</v>
      </c>
      <c r="O1216" s="7" t="s">
        <v>31</v>
      </c>
      <c r="P1216" s="7" t="s">
        <v>1473</v>
      </c>
      <c r="Q1216" s="7" t="s">
        <v>31</v>
      </c>
    </row>
    <row r="1217" spans="1:18" s="7" customFormat="1" x14ac:dyDescent="0.35">
      <c r="A1217" s="7">
        <v>72</v>
      </c>
      <c r="B1217" s="4" t="s">
        <v>1817</v>
      </c>
      <c r="C1217" s="4">
        <v>2021</v>
      </c>
      <c r="D1217" s="4" t="s">
        <v>1638</v>
      </c>
      <c r="E1217" s="8" t="s">
        <v>1818</v>
      </c>
      <c r="F1217" s="7" t="s">
        <v>1819</v>
      </c>
      <c r="G1217" s="3" t="s">
        <v>25</v>
      </c>
      <c r="H1217" s="9">
        <v>3.7</v>
      </c>
      <c r="I1217" s="7">
        <v>2.0960000000000001</v>
      </c>
      <c r="J1217" s="7" t="s">
        <v>1856</v>
      </c>
      <c r="K1217" s="7" t="s">
        <v>103</v>
      </c>
      <c r="L1217" s="7" t="s">
        <v>42</v>
      </c>
      <c r="N1217" s="7" t="s">
        <v>1632</v>
      </c>
      <c r="O1217" s="7" t="s">
        <v>31</v>
      </c>
      <c r="P1217" s="7" t="s">
        <v>1632</v>
      </c>
      <c r="Q1217" s="7" t="s">
        <v>31</v>
      </c>
    </row>
    <row r="1218" spans="1:18" s="7" customFormat="1" x14ac:dyDescent="0.35">
      <c r="A1218" s="7">
        <v>72</v>
      </c>
      <c r="B1218" s="4" t="s">
        <v>1817</v>
      </c>
      <c r="C1218" s="4">
        <v>2021</v>
      </c>
      <c r="D1218" s="4" t="s">
        <v>1638</v>
      </c>
      <c r="E1218" s="8" t="s">
        <v>1818</v>
      </c>
      <c r="F1218" s="7" t="s">
        <v>1819</v>
      </c>
      <c r="G1218" s="3" t="s">
        <v>25</v>
      </c>
      <c r="H1218" s="9">
        <v>3.4</v>
      </c>
      <c r="I1218" s="7">
        <v>71.475300000000004</v>
      </c>
      <c r="J1218" s="7" t="s">
        <v>1857</v>
      </c>
      <c r="K1218" s="7" t="s">
        <v>103</v>
      </c>
      <c r="L1218" s="7" t="s">
        <v>42</v>
      </c>
      <c r="N1218" s="7" t="s">
        <v>1632</v>
      </c>
      <c r="O1218" s="7" t="s">
        <v>31</v>
      </c>
      <c r="P1218" s="7" t="s">
        <v>1632</v>
      </c>
      <c r="Q1218" s="7" t="s">
        <v>31</v>
      </c>
    </row>
    <row r="1219" spans="1:18" s="7" customFormat="1" x14ac:dyDescent="0.35">
      <c r="A1219" s="7">
        <v>72</v>
      </c>
      <c r="B1219" s="4" t="s">
        <v>1817</v>
      </c>
      <c r="C1219" s="4">
        <v>2021</v>
      </c>
      <c r="D1219" s="4" t="s">
        <v>1638</v>
      </c>
      <c r="E1219" s="8" t="s">
        <v>1818</v>
      </c>
      <c r="F1219" s="7" t="s">
        <v>1819</v>
      </c>
      <c r="G1219" s="3" t="s">
        <v>25</v>
      </c>
      <c r="H1219" s="9">
        <v>3.5</v>
      </c>
      <c r="I1219" s="7">
        <v>70.436599999999999</v>
      </c>
      <c r="J1219" s="7" t="s">
        <v>1858</v>
      </c>
      <c r="K1219" s="7" t="s">
        <v>41</v>
      </c>
      <c r="L1219" s="7" t="s">
        <v>42</v>
      </c>
      <c r="N1219" s="7" t="s">
        <v>1473</v>
      </c>
      <c r="O1219" s="7" t="s">
        <v>31</v>
      </c>
      <c r="P1219" s="7" t="s">
        <v>1473</v>
      </c>
      <c r="Q1219" s="7" t="s">
        <v>31</v>
      </c>
    </row>
    <row r="1220" spans="1:18" s="7" customFormat="1" x14ac:dyDescent="0.35">
      <c r="A1220" s="7">
        <v>72</v>
      </c>
      <c r="B1220" s="4" t="s">
        <v>1817</v>
      </c>
      <c r="C1220" s="4">
        <v>2021</v>
      </c>
      <c r="D1220" s="4" t="s">
        <v>1638</v>
      </c>
      <c r="E1220" s="8" t="s">
        <v>1818</v>
      </c>
      <c r="F1220" s="7" t="s">
        <v>1819</v>
      </c>
      <c r="G1220" s="3" t="s">
        <v>25</v>
      </c>
      <c r="H1220" s="9">
        <v>3.5</v>
      </c>
      <c r="I1220" s="7">
        <v>70.436599999999999</v>
      </c>
      <c r="J1220" s="7" t="s">
        <v>1858</v>
      </c>
      <c r="K1220" s="7" t="s">
        <v>103</v>
      </c>
      <c r="L1220" s="7" t="s">
        <v>42</v>
      </c>
      <c r="N1220" s="7" t="s">
        <v>1632</v>
      </c>
      <c r="O1220" s="7" t="s">
        <v>31</v>
      </c>
      <c r="P1220" s="7" t="s">
        <v>1632</v>
      </c>
      <c r="Q1220" s="7" t="s">
        <v>31</v>
      </c>
    </row>
    <row r="1221" spans="1:18" s="7" customFormat="1" x14ac:dyDescent="0.35">
      <c r="A1221" s="7">
        <v>72</v>
      </c>
      <c r="B1221" s="4" t="s">
        <v>1817</v>
      </c>
      <c r="C1221" s="4">
        <v>2021</v>
      </c>
      <c r="D1221" s="4" t="s">
        <v>1638</v>
      </c>
      <c r="E1221" s="8" t="s">
        <v>1818</v>
      </c>
      <c r="F1221" s="7" t="s">
        <v>1819</v>
      </c>
      <c r="G1221" s="3" t="s">
        <v>25</v>
      </c>
      <c r="H1221" s="9">
        <v>333</v>
      </c>
      <c r="I1221" s="7">
        <v>68.775199999999998</v>
      </c>
      <c r="J1221" s="7" t="s">
        <v>1859</v>
      </c>
      <c r="K1221" s="7" t="s">
        <v>103</v>
      </c>
      <c r="L1221" s="7" t="s">
        <v>42</v>
      </c>
      <c r="N1221" s="7" t="s">
        <v>1632</v>
      </c>
      <c r="O1221" s="7" t="s">
        <v>31</v>
      </c>
      <c r="P1221" s="7" t="s">
        <v>1632</v>
      </c>
      <c r="Q1221" s="7" t="s">
        <v>31</v>
      </c>
    </row>
    <row r="1222" spans="1:18" s="7" customFormat="1" x14ac:dyDescent="0.35">
      <c r="A1222" s="7">
        <v>72</v>
      </c>
      <c r="B1222" s="4" t="s">
        <v>1817</v>
      </c>
      <c r="C1222" s="4">
        <v>2021</v>
      </c>
      <c r="D1222" s="4" t="s">
        <v>1638</v>
      </c>
      <c r="E1222" s="8" t="s">
        <v>1818</v>
      </c>
      <c r="F1222" s="7" t="s">
        <v>1819</v>
      </c>
      <c r="G1222" s="3" t="s">
        <v>25</v>
      </c>
      <c r="H1222" s="9">
        <v>1.1000000000000001</v>
      </c>
      <c r="I1222" s="7">
        <v>65.155000000000001</v>
      </c>
      <c r="J1222" s="7" t="s">
        <v>1860</v>
      </c>
      <c r="K1222" s="7" t="s">
        <v>41</v>
      </c>
      <c r="L1222" s="7" t="s">
        <v>42</v>
      </c>
      <c r="N1222" s="7" t="s">
        <v>1473</v>
      </c>
      <c r="O1222" s="7" t="s">
        <v>31</v>
      </c>
      <c r="P1222" s="7" t="s">
        <v>1473</v>
      </c>
      <c r="Q1222" s="7" t="s">
        <v>31</v>
      </c>
    </row>
    <row r="1223" spans="1:18" s="7" customFormat="1" x14ac:dyDescent="0.35">
      <c r="A1223" s="7">
        <v>72</v>
      </c>
      <c r="B1223" s="4" t="s">
        <v>1817</v>
      </c>
      <c r="C1223" s="4">
        <v>2021</v>
      </c>
      <c r="D1223" s="4" t="s">
        <v>1638</v>
      </c>
      <c r="E1223" s="8" t="s">
        <v>1818</v>
      </c>
      <c r="F1223" s="7" t="s">
        <v>1819</v>
      </c>
      <c r="G1223" s="3" t="s">
        <v>25</v>
      </c>
      <c r="H1223" s="9">
        <v>1.1000000000000001</v>
      </c>
      <c r="I1223" s="7">
        <v>65.155000000000001</v>
      </c>
      <c r="J1223" s="7" t="s">
        <v>1860</v>
      </c>
      <c r="K1223" s="7" t="s">
        <v>103</v>
      </c>
      <c r="L1223" s="7" t="s">
        <v>42</v>
      </c>
      <c r="N1223" s="7" t="s">
        <v>1632</v>
      </c>
      <c r="O1223" s="7" t="s">
        <v>31</v>
      </c>
      <c r="P1223" s="7" t="s">
        <v>1632</v>
      </c>
      <c r="Q1223" s="7" t="s">
        <v>31</v>
      </c>
    </row>
    <row r="1224" spans="1:18" s="7" customFormat="1" x14ac:dyDescent="0.35">
      <c r="A1224" s="7">
        <v>72</v>
      </c>
      <c r="B1224" s="4" t="s">
        <v>1817</v>
      </c>
      <c r="C1224" s="4">
        <v>2021</v>
      </c>
      <c r="D1224" s="4" t="s">
        <v>1638</v>
      </c>
      <c r="E1224" s="8" t="s">
        <v>1818</v>
      </c>
      <c r="F1224" s="7" t="s">
        <v>1819</v>
      </c>
      <c r="G1224" s="3" t="s">
        <v>25</v>
      </c>
      <c r="H1224" s="9">
        <v>1.1000000000000001</v>
      </c>
      <c r="I1224" s="7">
        <v>82.526399999999995</v>
      </c>
      <c r="J1224" s="7">
        <v>-62.267373999999997</v>
      </c>
      <c r="K1224" s="7" t="s">
        <v>27</v>
      </c>
      <c r="L1224" s="7" t="s">
        <v>28</v>
      </c>
      <c r="N1224" s="7" t="s">
        <v>1632</v>
      </c>
      <c r="O1224" s="7" t="s">
        <v>31</v>
      </c>
      <c r="P1224" s="7" t="s">
        <v>1632</v>
      </c>
      <c r="Q1224" s="7" t="s">
        <v>31</v>
      </c>
      <c r="R1224" s="7" t="s">
        <v>1861</v>
      </c>
    </row>
    <row r="1225" spans="1:18" s="7" customFormat="1" x14ac:dyDescent="0.35">
      <c r="A1225" s="7">
        <v>73</v>
      </c>
      <c r="B1225" s="7" t="s">
        <v>1862</v>
      </c>
      <c r="C1225" s="4">
        <v>2013</v>
      </c>
      <c r="D1225" s="4" t="s">
        <v>420</v>
      </c>
      <c r="E1225" s="8" t="s">
        <v>1863</v>
      </c>
      <c r="F1225" s="7" t="s">
        <v>1864</v>
      </c>
      <c r="G1225" s="7" t="s">
        <v>86</v>
      </c>
      <c r="H1225" s="7" t="s">
        <v>1865</v>
      </c>
      <c r="I1225" s="7">
        <v>46.573700000000002</v>
      </c>
      <c r="J1225" s="7">
        <v>-87.341300000000004</v>
      </c>
      <c r="K1225" s="7" t="s">
        <v>41</v>
      </c>
      <c r="L1225" s="7" t="s">
        <v>28</v>
      </c>
      <c r="N1225" s="7" t="s">
        <v>1866</v>
      </c>
      <c r="O1225" s="7" t="s">
        <v>31</v>
      </c>
      <c r="P1225" s="7" t="s">
        <v>1866</v>
      </c>
      <c r="Q1225" s="7" t="s">
        <v>31</v>
      </c>
    </row>
    <row r="1226" spans="1:18" s="7" customFormat="1" x14ac:dyDescent="0.35">
      <c r="A1226" s="7">
        <v>73</v>
      </c>
      <c r="B1226" s="7" t="s">
        <v>1862</v>
      </c>
      <c r="C1226" s="4">
        <v>2013</v>
      </c>
      <c r="D1226" s="4" t="s">
        <v>420</v>
      </c>
      <c r="E1226" s="8" t="s">
        <v>1863</v>
      </c>
      <c r="F1226" s="7" t="s">
        <v>1864</v>
      </c>
      <c r="G1226" s="7" t="s">
        <v>86</v>
      </c>
      <c r="H1226" s="7" t="s">
        <v>1865</v>
      </c>
      <c r="I1226" s="7">
        <v>46.687199999999997</v>
      </c>
      <c r="J1226" s="7">
        <v>-86.664900000000003</v>
      </c>
      <c r="K1226" s="7" t="s">
        <v>41</v>
      </c>
      <c r="L1226" s="7" t="s">
        <v>28</v>
      </c>
      <c r="N1226" s="7" t="s">
        <v>1866</v>
      </c>
      <c r="O1226" s="7" t="s">
        <v>31</v>
      </c>
      <c r="P1226" s="7" t="s">
        <v>1866</v>
      </c>
      <c r="Q1226" s="7" t="s">
        <v>31</v>
      </c>
    </row>
    <row r="1227" spans="1:18" s="7" customFormat="1" x14ac:dyDescent="0.35">
      <c r="A1227" s="7">
        <v>73</v>
      </c>
      <c r="B1227" s="7" t="s">
        <v>1862</v>
      </c>
      <c r="C1227" s="4">
        <v>2013</v>
      </c>
      <c r="D1227" s="4" t="s">
        <v>420</v>
      </c>
      <c r="E1227" s="8" t="s">
        <v>1863</v>
      </c>
      <c r="F1227" s="7" t="s">
        <v>1864</v>
      </c>
      <c r="G1227" s="7" t="s">
        <v>86</v>
      </c>
      <c r="H1227" s="7" t="s">
        <v>1865</v>
      </c>
      <c r="I1227" s="7">
        <v>46.777200000000001</v>
      </c>
      <c r="J1227" s="7">
        <v>-86.4405</v>
      </c>
      <c r="K1227" s="7" t="s">
        <v>41</v>
      </c>
      <c r="L1227" s="7" t="s">
        <v>28</v>
      </c>
      <c r="N1227" s="7" t="s">
        <v>1866</v>
      </c>
      <c r="O1227" s="7" t="s">
        <v>31</v>
      </c>
      <c r="P1227" s="7" t="s">
        <v>1866</v>
      </c>
      <c r="Q1227" s="7" t="s">
        <v>31</v>
      </c>
    </row>
    <row r="1228" spans="1:18" s="7" customFormat="1" x14ac:dyDescent="0.35">
      <c r="A1228" s="7">
        <v>73</v>
      </c>
      <c r="B1228" s="7" t="s">
        <v>1862</v>
      </c>
      <c r="C1228" s="4">
        <v>2013</v>
      </c>
      <c r="D1228" s="4" t="s">
        <v>420</v>
      </c>
      <c r="E1228" s="8" t="s">
        <v>1863</v>
      </c>
      <c r="F1228" s="7" t="s">
        <v>1864</v>
      </c>
      <c r="G1228" s="7" t="s">
        <v>86</v>
      </c>
      <c r="H1228" s="7" t="s">
        <v>1865</v>
      </c>
      <c r="I1228" s="7">
        <v>46.848700000000001</v>
      </c>
      <c r="J1228" s="7">
        <v>-85.247299999999996</v>
      </c>
      <c r="K1228" s="7" t="s">
        <v>41</v>
      </c>
      <c r="L1228" s="7" t="s">
        <v>28</v>
      </c>
      <c r="N1228" s="7" t="s">
        <v>1866</v>
      </c>
      <c r="O1228" s="7" t="s">
        <v>31</v>
      </c>
      <c r="P1228" s="7" t="s">
        <v>1866</v>
      </c>
      <c r="Q1228" s="7" t="s">
        <v>31</v>
      </c>
    </row>
    <row r="1229" spans="1:18" s="7" customFormat="1" x14ac:dyDescent="0.35">
      <c r="A1229" s="7">
        <v>73</v>
      </c>
      <c r="B1229" s="7" t="s">
        <v>1862</v>
      </c>
      <c r="C1229" s="4">
        <v>2013</v>
      </c>
      <c r="D1229" s="4" t="s">
        <v>420</v>
      </c>
      <c r="E1229" s="8" t="s">
        <v>1863</v>
      </c>
      <c r="F1229" s="7" t="s">
        <v>1864</v>
      </c>
      <c r="G1229" s="7" t="s">
        <v>86</v>
      </c>
      <c r="H1229" s="7" t="s">
        <v>1865</v>
      </c>
      <c r="I1229" s="7">
        <v>46.585999999999999</v>
      </c>
      <c r="J1229" s="7">
        <v>84.722200000000001</v>
      </c>
      <c r="K1229" s="7" t="s">
        <v>41</v>
      </c>
      <c r="L1229" s="7" t="s">
        <v>28</v>
      </c>
      <c r="N1229" s="7" t="s">
        <v>1866</v>
      </c>
      <c r="O1229" s="7" t="s">
        <v>31</v>
      </c>
      <c r="P1229" s="7" t="s">
        <v>1866</v>
      </c>
      <c r="Q1229" s="7" t="s">
        <v>31</v>
      </c>
    </row>
    <row r="1230" spans="1:18" s="7" customFormat="1" x14ac:dyDescent="0.35">
      <c r="A1230" s="7">
        <v>73</v>
      </c>
      <c r="B1230" s="7" t="s">
        <v>1862</v>
      </c>
      <c r="C1230" s="4">
        <v>2013</v>
      </c>
      <c r="D1230" s="4" t="s">
        <v>420</v>
      </c>
      <c r="E1230" s="8" t="s">
        <v>1863</v>
      </c>
      <c r="F1230" s="7" t="s">
        <v>1864</v>
      </c>
      <c r="G1230" s="7" t="s">
        <v>86</v>
      </c>
      <c r="H1230" s="7" t="s">
        <v>1868</v>
      </c>
      <c r="I1230" s="7">
        <v>45.868200000000002</v>
      </c>
      <c r="J1230" s="7">
        <v>-83.721800000000002</v>
      </c>
      <c r="K1230" s="7" t="s">
        <v>41</v>
      </c>
      <c r="L1230" s="7" t="s">
        <v>28</v>
      </c>
      <c r="N1230" s="7" t="s">
        <v>1866</v>
      </c>
      <c r="O1230" s="7" t="s">
        <v>31</v>
      </c>
      <c r="P1230" s="7" t="s">
        <v>1866</v>
      </c>
      <c r="Q1230" s="7" t="s">
        <v>31</v>
      </c>
    </row>
    <row r="1231" spans="1:18" s="7" customFormat="1" x14ac:dyDescent="0.35">
      <c r="A1231" s="7">
        <v>73</v>
      </c>
      <c r="B1231" s="7" t="s">
        <v>1862</v>
      </c>
      <c r="C1231" s="4">
        <v>2013</v>
      </c>
      <c r="D1231" s="4" t="s">
        <v>420</v>
      </c>
      <c r="E1231" s="8" t="s">
        <v>1863</v>
      </c>
      <c r="F1231" s="7" t="s">
        <v>1864</v>
      </c>
      <c r="G1231" s="7" t="s">
        <v>86</v>
      </c>
      <c r="H1231" s="7" t="s">
        <v>1868</v>
      </c>
      <c r="I1231" s="7">
        <v>45.6372</v>
      </c>
      <c r="J1231" s="7">
        <v>-83.377600000000001</v>
      </c>
      <c r="K1231" s="7" t="s">
        <v>41</v>
      </c>
      <c r="L1231" s="7" t="s">
        <v>28</v>
      </c>
      <c r="N1231" s="7" t="s">
        <v>1866</v>
      </c>
      <c r="O1231" s="7" t="s">
        <v>31</v>
      </c>
      <c r="P1231" s="7" t="s">
        <v>1866</v>
      </c>
      <c r="Q1231" s="7" t="s">
        <v>31</v>
      </c>
    </row>
    <row r="1232" spans="1:18" s="7" customFormat="1" x14ac:dyDescent="0.35">
      <c r="A1232" s="7">
        <v>73</v>
      </c>
      <c r="B1232" s="7" t="s">
        <v>1862</v>
      </c>
      <c r="C1232" s="4">
        <v>2013</v>
      </c>
      <c r="D1232" s="4" t="s">
        <v>420</v>
      </c>
      <c r="E1232" s="8" t="s">
        <v>1863</v>
      </c>
      <c r="F1232" s="7" t="s">
        <v>1864</v>
      </c>
      <c r="G1232" s="7" t="s">
        <v>86</v>
      </c>
      <c r="H1232" s="7" t="s">
        <v>1868</v>
      </c>
      <c r="I1232" s="7">
        <v>45.346299999999999</v>
      </c>
      <c r="J1232" s="7">
        <v>-83.008700000000005</v>
      </c>
      <c r="K1232" s="7" t="s">
        <v>41</v>
      </c>
      <c r="L1232" s="7" t="s">
        <v>28</v>
      </c>
      <c r="N1232" s="7" t="s">
        <v>1866</v>
      </c>
      <c r="O1232" s="7" t="s">
        <v>31</v>
      </c>
      <c r="P1232" s="7" t="s">
        <v>1866</v>
      </c>
      <c r="Q1232" s="7" t="s">
        <v>31</v>
      </c>
    </row>
    <row r="1233" spans="1:17" s="7" customFormat="1" x14ac:dyDescent="0.35">
      <c r="A1233" s="7">
        <v>73</v>
      </c>
      <c r="B1233" s="7" t="s">
        <v>1862</v>
      </c>
      <c r="C1233" s="4">
        <v>2013</v>
      </c>
      <c r="D1233" s="4" t="s">
        <v>420</v>
      </c>
      <c r="E1233" s="8" t="s">
        <v>1863</v>
      </c>
      <c r="F1233" s="7" t="s">
        <v>1864</v>
      </c>
      <c r="G1233" s="7" t="s">
        <v>86</v>
      </c>
      <c r="H1233" s="7" t="s">
        <v>1868</v>
      </c>
      <c r="I1233" s="7">
        <v>44.728700000000003</v>
      </c>
      <c r="J1233" s="7">
        <v>-82.539900000000003</v>
      </c>
      <c r="K1233" s="7" t="s">
        <v>41</v>
      </c>
      <c r="L1233" s="7" t="s">
        <v>28</v>
      </c>
      <c r="N1233" s="7" t="s">
        <v>1866</v>
      </c>
      <c r="O1233" s="7" t="s">
        <v>31</v>
      </c>
      <c r="P1233" s="7" t="s">
        <v>1866</v>
      </c>
      <c r="Q1233" s="7" t="s">
        <v>31</v>
      </c>
    </row>
    <row r="1234" spans="1:17" s="7" customFormat="1" x14ac:dyDescent="0.35">
      <c r="A1234" s="7">
        <v>73</v>
      </c>
      <c r="B1234" s="7" t="s">
        <v>1862</v>
      </c>
      <c r="C1234" s="4">
        <v>2013</v>
      </c>
      <c r="D1234" s="4" t="s">
        <v>420</v>
      </c>
      <c r="E1234" s="8" t="s">
        <v>1863</v>
      </c>
      <c r="F1234" s="7" t="s">
        <v>1864</v>
      </c>
      <c r="G1234" s="7" t="s">
        <v>86</v>
      </c>
      <c r="H1234" s="7" t="s">
        <v>1868</v>
      </c>
      <c r="I1234" s="7">
        <v>44.767600000000002</v>
      </c>
      <c r="J1234" s="7">
        <v>-81.947699999999998</v>
      </c>
      <c r="K1234" s="7" t="s">
        <v>41</v>
      </c>
      <c r="L1234" s="7" t="s">
        <v>28</v>
      </c>
      <c r="N1234" s="7" t="s">
        <v>1866</v>
      </c>
      <c r="O1234" s="7" t="s">
        <v>31</v>
      </c>
      <c r="P1234" s="7" t="s">
        <v>1866</v>
      </c>
      <c r="Q1234" s="7" t="s">
        <v>31</v>
      </c>
    </row>
    <row r="1235" spans="1:17" s="7" customFormat="1" x14ac:dyDescent="0.35">
      <c r="A1235" s="7">
        <v>73</v>
      </c>
      <c r="B1235" s="7" t="s">
        <v>1862</v>
      </c>
      <c r="C1235" s="4">
        <v>2013</v>
      </c>
      <c r="D1235" s="4" t="s">
        <v>420</v>
      </c>
      <c r="E1235" s="8" t="s">
        <v>1863</v>
      </c>
      <c r="F1235" s="7" t="s">
        <v>1864</v>
      </c>
      <c r="G1235" s="7" t="s">
        <v>86</v>
      </c>
      <c r="H1235" s="7" t="s">
        <v>1868</v>
      </c>
      <c r="I1235" s="7">
        <v>44.347999999999999</v>
      </c>
      <c r="J1235" s="7">
        <v>-82.558300000000003</v>
      </c>
      <c r="K1235" s="7" t="s">
        <v>41</v>
      </c>
      <c r="L1235" s="7" t="s">
        <v>28</v>
      </c>
      <c r="N1235" s="7" t="s">
        <v>1866</v>
      </c>
      <c r="O1235" s="7" t="s">
        <v>31</v>
      </c>
      <c r="P1235" s="7" t="s">
        <v>1866</v>
      </c>
      <c r="Q1235" s="7" t="s">
        <v>31</v>
      </c>
    </row>
    <row r="1236" spans="1:17" s="7" customFormat="1" x14ac:dyDescent="0.35">
      <c r="A1236" s="7">
        <v>73</v>
      </c>
      <c r="B1236" s="7" t="s">
        <v>1862</v>
      </c>
      <c r="C1236" s="4">
        <v>2013</v>
      </c>
      <c r="D1236" s="4" t="s">
        <v>420</v>
      </c>
      <c r="E1236" s="8" t="s">
        <v>1863</v>
      </c>
      <c r="F1236" s="7" t="s">
        <v>1864</v>
      </c>
      <c r="G1236" s="7" t="s">
        <v>86</v>
      </c>
      <c r="H1236" s="7" t="s">
        <v>1868</v>
      </c>
      <c r="I1236" s="7">
        <v>43.923999999999999</v>
      </c>
      <c r="J1236" s="7">
        <v>-82.513000000000005</v>
      </c>
      <c r="K1236" s="7" t="s">
        <v>41</v>
      </c>
      <c r="L1236" s="7" t="s">
        <v>28</v>
      </c>
      <c r="N1236" s="7" t="s">
        <v>1866</v>
      </c>
      <c r="O1236" s="7" t="s">
        <v>31</v>
      </c>
      <c r="P1236" s="7" t="s">
        <v>1866</v>
      </c>
      <c r="Q1236" s="7" t="s">
        <v>31</v>
      </c>
    </row>
    <row r="1237" spans="1:17" s="7" customFormat="1" x14ac:dyDescent="0.35">
      <c r="A1237" s="7">
        <v>73</v>
      </c>
      <c r="B1237" s="7" t="s">
        <v>1862</v>
      </c>
      <c r="C1237" s="4">
        <v>2013</v>
      </c>
      <c r="D1237" s="4" t="s">
        <v>420</v>
      </c>
      <c r="E1237" s="8" t="s">
        <v>1863</v>
      </c>
      <c r="F1237" s="7" t="s">
        <v>1864</v>
      </c>
      <c r="G1237" s="7" t="s">
        <v>86</v>
      </c>
      <c r="H1237" s="7" t="s">
        <v>1868</v>
      </c>
      <c r="I1237" s="7">
        <v>43.413400000000003</v>
      </c>
      <c r="J1237" s="7">
        <v>-82.3994</v>
      </c>
      <c r="K1237" s="7" t="s">
        <v>41</v>
      </c>
      <c r="L1237" s="7" t="s">
        <v>28</v>
      </c>
      <c r="N1237" s="7" t="s">
        <v>1866</v>
      </c>
      <c r="O1237" s="7" t="s">
        <v>31</v>
      </c>
      <c r="P1237" s="7" t="s">
        <v>1866</v>
      </c>
      <c r="Q1237" s="7" t="s">
        <v>31</v>
      </c>
    </row>
    <row r="1238" spans="1:17" s="7" customFormat="1" x14ac:dyDescent="0.35">
      <c r="A1238" s="7">
        <v>73</v>
      </c>
      <c r="B1238" s="7" t="s">
        <v>1862</v>
      </c>
      <c r="C1238" s="4">
        <v>2013</v>
      </c>
      <c r="D1238" s="4" t="s">
        <v>420</v>
      </c>
      <c r="E1238" s="8" t="s">
        <v>1863</v>
      </c>
      <c r="F1238" s="7" t="s">
        <v>1864</v>
      </c>
      <c r="G1238" s="7" t="s">
        <v>86</v>
      </c>
      <c r="H1238" s="7" t="s">
        <v>1869</v>
      </c>
      <c r="I1238" s="7">
        <v>41.8979</v>
      </c>
      <c r="J1238" s="7">
        <v>-83.049800000000005</v>
      </c>
      <c r="K1238" s="7" t="s">
        <v>41</v>
      </c>
      <c r="L1238" s="7" t="s">
        <v>28</v>
      </c>
      <c r="N1238" s="7" t="s">
        <v>1866</v>
      </c>
      <c r="O1238" s="7" t="s">
        <v>31</v>
      </c>
      <c r="P1238" s="7" t="s">
        <v>1866</v>
      </c>
      <c r="Q1238" s="7" t="s">
        <v>31</v>
      </c>
    </row>
    <row r="1239" spans="1:17" s="7" customFormat="1" x14ac:dyDescent="0.35">
      <c r="A1239" s="7">
        <v>73</v>
      </c>
      <c r="B1239" s="7" t="s">
        <v>1862</v>
      </c>
      <c r="C1239" s="4">
        <v>2013</v>
      </c>
      <c r="D1239" s="4" t="s">
        <v>420</v>
      </c>
      <c r="E1239" s="8" t="s">
        <v>1863</v>
      </c>
      <c r="F1239" s="7" t="s">
        <v>1864</v>
      </c>
      <c r="G1239" s="7" t="s">
        <v>86</v>
      </c>
      <c r="H1239" s="7" t="s">
        <v>1869</v>
      </c>
      <c r="I1239" s="7">
        <v>41.752299999999998</v>
      </c>
      <c r="J1239" s="7">
        <v>-82.944999999999993</v>
      </c>
      <c r="K1239" s="7" t="s">
        <v>41</v>
      </c>
      <c r="L1239" s="7" t="s">
        <v>28</v>
      </c>
      <c r="N1239" s="7" t="s">
        <v>1866</v>
      </c>
      <c r="O1239" s="7" t="s">
        <v>31</v>
      </c>
      <c r="P1239" s="7" t="s">
        <v>1866</v>
      </c>
      <c r="Q1239" s="7" t="s">
        <v>31</v>
      </c>
    </row>
    <row r="1240" spans="1:17" s="7" customFormat="1" x14ac:dyDescent="0.35">
      <c r="A1240" s="7">
        <v>73</v>
      </c>
      <c r="B1240" s="7" t="s">
        <v>1862</v>
      </c>
      <c r="C1240" s="4">
        <v>2013</v>
      </c>
      <c r="D1240" s="4" t="s">
        <v>420</v>
      </c>
      <c r="E1240" s="8" t="s">
        <v>1863</v>
      </c>
      <c r="F1240" s="7" t="s">
        <v>1864</v>
      </c>
      <c r="G1240" s="7" t="s">
        <v>86</v>
      </c>
      <c r="H1240" s="7" t="s">
        <v>1869</v>
      </c>
      <c r="I1240" s="7">
        <v>41.783000000000001</v>
      </c>
      <c r="J1240" s="7">
        <v>-82.756900000000002</v>
      </c>
      <c r="K1240" s="7" t="s">
        <v>41</v>
      </c>
      <c r="L1240" s="7" t="s">
        <v>28</v>
      </c>
      <c r="N1240" s="7" t="s">
        <v>1866</v>
      </c>
      <c r="O1240" s="7" t="s">
        <v>31</v>
      </c>
      <c r="P1240" s="7" t="s">
        <v>1866</v>
      </c>
      <c r="Q1240" s="7" t="s">
        <v>31</v>
      </c>
    </row>
    <row r="1241" spans="1:17" s="7" customFormat="1" x14ac:dyDescent="0.35">
      <c r="A1241" s="7">
        <v>73</v>
      </c>
      <c r="B1241" s="7" t="s">
        <v>1862</v>
      </c>
      <c r="C1241" s="4">
        <v>2013</v>
      </c>
      <c r="D1241" s="4" t="s">
        <v>420</v>
      </c>
      <c r="E1241" s="8" t="s">
        <v>1863</v>
      </c>
      <c r="F1241" s="7" t="s">
        <v>1864</v>
      </c>
      <c r="G1241" s="7" t="s">
        <v>86</v>
      </c>
      <c r="H1241" s="7" t="s">
        <v>1869</v>
      </c>
      <c r="I1241" s="7">
        <v>41.895299999999999</v>
      </c>
      <c r="J1241" s="7">
        <v>-82.341099999999997</v>
      </c>
      <c r="K1241" s="7" t="s">
        <v>41</v>
      </c>
      <c r="L1241" s="7" t="s">
        <v>28</v>
      </c>
      <c r="N1241" s="7" t="s">
        <v>1866</v>
      </c>
      <c r="O1241" s="7" t="s">
        <v>31</v>
      </c>
      <c r="P1241" s="7" t="s">
        <v>1866</v>
      </c>
      <c r="Q1241" s="7" t="s">
        <v>31</v>
      </c>
    </row>
    <row r="1242" spans="1:17" s="7" customFormat="1" x14ac:dyDescent="0.35">
      <c r="A1242" s="7">
        <v>73</v>
      </c>
      <c r="B1242" s="7" t="s">
        <v>1862</v>
      </c>
      <c r="C1242" s="4">
        <v>2013</v>
      </c>
      <c r="D1242" s="4" t="s">
        <v>420</v>
      </c>
      <c r="E1242" s="8" t="s">
        <v>1863</v>
      </c>
      <c r="F1242" s="7" t="s">
        <v>1864</v>
      </c>
      <c r="G1242" s="7" t="s">
        <v>86</v>
      </c>
      <c r="H1242" s="7" t="s">
        <v>1869</v>
      </c>
      <c r="I1242" s="7">
        <v>42.142499999999998</v>
      </c>
      <c r="J1242" s="7">
        <v>-81.513099999999994</v>
      </c>
      <c r="K1242" s="7" t="s">
        <v>41</v>
      </c>
      <c r="L1242" s="7" t="s">
        <v>28</v>
      </c>
      <c r="N1242" s="7" t="s">
        <v>1866</v>
      </c>
      <c r="O1242" s="7" t="s">
        <v>31</v>
      </c>
      <c r="P1242" s="7" t="s">
        <v>1866</v>
      </c>
      <c r="Q1242" s="7" t="s">
        <v>31</v>
      </c>
    </row>
    <row r="1243" spans="1:17" s="7" customFormat="1" x14ac:dyDescent="0.35">
      <c r="A1243" s="7">
        <v>73</v>
      </c>
      <c r="B1243" s="7" t="s">
        <v>1862</v>
      </c>
      <c r="C1243" s="4">
        <v>2013</v>
      </c>
      <c r="D1243" s="4" t="s">
        <v>420</v>
      </c>
      <c r="E1243" s="8" t="s">
        <v>1863</v>
      </c>
      <c r="F1243" s="7" t="s">
        <v>1864</v>
      </c>
      <c r="G1243" s="7" t="s">
        <v>86</v>
      </c>
      <c r="H1243" s="7" t="s">
        <v>1869</v>
      </c>
      <c r="I1243" s="7">
        <v>42.244100000000003</v>
      </c>
      <c r="J1243" s="7">
        <v>-80.750100000000003</v>
      </c>
      <c r="K1243" s="7" t="s">
        <v>41</v>
      </c>
      <c r="L1243" s="7" t="s">
        <v>28</v>
      </c>
      <c r="N1243" s="7" t="s">
        <v>1866</v>
      </c>
      <c r="O1243" s="7" t="s">
        <v>31</v>
      </c>
      <c r="P1243" s="7" t="s">
        <v>1866</v>
      </c>
      <c r="Q1243" s="7" t="s">
        <v>31</v>
      </c>
    </row>
    <row r="1244" spans="1:17" s="7" customFormat="1" x14ac:dyDescent="0.35">
      <c r="A1244" s="7">
        <v>73</v>
      </c>
      <c r="B1244" s="7" t="s">
        <v>1862</v>
      </c>
      <c r="C1244" s="4">
        <v>2013</v>
      </c>
      <c r="D1244" s="4" t="s">
        <v>420</v>
      </c>
      <c r="E1244" s="8" t="s">
        <v>1863</v>
      </c>
      <c r="F1244" s="7" t="s">
        <v>1864</v>
      </c>
      <c r="G1244" s="7" t="s">
        <v>86</v>
      </c>
      <c r="H1244" s="7" t="s">
        <v>1869</v>
      </c>
      <c r="I1244" s="7">
        <v>42.393799999999999</v>
      </c>
      <c r="J1244" s="7">
        <v>-79.953599999999994</v>
      </c>
      <c r="K1244" s="7" t="s">
        <v>41</v>
      </c>
      <c r="L1244" s="7" t="s">
        <v>28</v>
      </c>
      <c r="N1244" s="7" t="s">
        <v>1866</v>
      </c>
      <c r="O1244" s="7" t="s">
        <v>31</v>
      </c>
      <c r="P1244" s="7" t="s">
        <v>1866</v>
      </c>
      <c r="Q1244" s="7" t="s">
        <v>31</v>
      </c>
    </row>
    <row r="1245" spans="1:17" s="7" customFormat="1" x14ac:dyDescent="0.35">
      <c r="A1245" s="7">
        <v>73</v>
      </c>
      <c r="B1245" s="7" t="s">
        <v>1862</v>
      </c>
      <c r="C1245" s="4">
        <v>2013</v>
      </c>
      <c r="D1245" s="4" t="s">
        <v>420</v>
      </c>
      <c r="E1245" s="8" t="s">
        <v>1863</v>
      </c>
      <c r="F1245" s="7" t="s">
        <v>1864</v>
      </c>
      <c r="G1245" s="7" t="s">
        <v>86</v>
      </c>
      <c r="H1245" s="7" t="s">
        <v>1869</v>
      </c>
      <c r="I1245" s="7">
        <v>42.3</v>
      </c>
      <c r="J1245" s="7">
        <v>-80.025899999999993</v>
      </c>
      <c r="K1245" s="7" t="s">
        <v>41</v>
      </c>
      <c r="L1245" s="7" t="s">
        <v>28</v>
      </c>
      <c r="N1245" s="7" t="s">
        <v>1866</v>
      </c>
      <c r="O1245" s="7" t="s">
        <v>31</v>
      </c>
      <c r="P1245" s="7" t="s">
        <v>1866</v>
      </c>
      <c r="Q1245" s="7" t="s">
        <v>31</v>
      </c>
    </row>
    <row r="1246" spans="1:17" s="7" customFormat="1" x14ac:dyDescent="0.35">
      <c r="A1246" s="7">
        <v>74</v>
      </c>
      <c r="B1246" s="7" t="s">
        <v>1870</v>
      </c>
      <c r="C1246" s="4">
        <v>2014</v>
      </c>
      <c r="D1246" s="4" t="s">
        <v>51</v>
      </c>
      <c r="E1246" s="8" t="s">
        <v>1871</v>
      </c>
      <c r="F1246" s="7" t="s">
        <v>1872</v>
      </c>
      <c r="G1246" s="7" t="s">
        <v>161</v>
      </c>
      <c r="H1246" s="7" t="s">
        <v>1873</v>
      </c>
      <c r="I1246" s="7">
        <v>45.093927999999998</v>
      </c>
      <c r="J1246" s="63">
        <v>-74.501058</v>
      </c>
      <c r="K1246" s="7" t="s">
        <v>103</v>
      </c>
      <c r="L1246" s="7" t="s">
        <v>223</v>
      </c>
      <c r="M1246" s="7" t="s">
        <v>1874</v>
      </c>
      <c r="N1246" s="7" t="s">
        <v>1875</v>
      </c>
      <c r="O1246" s="7" t="s">
        <v>31</v>
      </c>
      <c r="P1246" s="7" t="s">
        <v>1875</v>
      </c>
      <c r="Q1246" s="7" t="s">
        <v>31</v>
      </c>
    </row>
    <row r="1247" spans="1:17" s="7" customFormat="1" x14ac:dyDescent="0.35">
      <c r="A1247" s="7">
        <v>74</v>
      </c>
      <c r="B1247" s="7" t="s">
        <v>1870</v>
      </c>
      <c r="C1247" s="4">
        <v>2014</v>
      </c>
      <c r="D1247" s="4" t="s">
        <v>51</v>
      </c>
      <c r="E1247" s="8" t="s">
        <v>1871</v>
      </c>
      <c r="F1247" s="7" t="s">
        <v>1872</v>
      </c>
      <c r="G1247" s="7" t="s">
        <v>161</v>
      </c>
      <c r="H1247" s="7" t="s">
        <v>1876</v>
      </c>
      <c r="I1247" s="7">
        <v>45.321421999999998</v>
      </c>
      <c r="J1247" s="63">
        <v>-73.901443</v>
      </c>
      <c r="K1247" s="7" t="s">
        <v>103</v>
      </c>
      <c r="L1247" s="7" t="s">
        <v>223</v>
      </c>
      <c r="M1247" s="7" t="s">
        <v>1874</v>
      </c>
      <c r="N1247" s="7" t="s">
        <v>1875</v>
      </c>
      <c r="O1247" s="7" t="s">
        <v>31</v>
      </c>
      <c r="P1247" s="7" t="s">
        <v>1875</v>
      </c>
      <c r="Q1247" s="7" t="s">
        <v>31</v>
      </c>
    </row>
    <row r="1248" spans="1:17" s="7" customFormat="1" x14ac:dyDescent="0.35">
      <c r="A1248" s="7">
        <v>74</v>
      </c>
      <c r="B1248" s="7" t="s">
        <v>1870</v>
      </c>
      <c r="C1248" s="4">
        <v>2014</v>
      </c>
      <c r="D1248" s="4" t="s">
        <v>51</v>
      </c>
      <c r="E1248" s="8" t="s">
        <v>1871</v>
      </c>
      <c r="F1248" s="7" t="s">
        <v>1872</v>
      </c>
      <c r="G1248" s="7" t="s">
        <v>161</v>
      </c>
      <c r="H1248" s="7" t="s">
        <v>1877</v>
      </c>
      <c r="I1248" s="7">
        <v>45.681806999999999</v>
      </c>
      <c r="J1248" s="63">
        <v>-73.446326999999997</v>
      </c>
      <c r="K1248" s="7" t="s">
        <v>103</v>
      </c>
      <c r="L1248" s="7" t="s">
        <v>163</v>
      </c>
      <c r="M1248" s="7" t="s">
        <v>1874</v>
      </c>
      <c r="N1248" s="7" t="s">
        <v>1875</v>
      </c>
      <c r="O1248" s="7" t="s">
        <v>31</v>
      </c>
      <c r="P1248" s="7" t="s">
        <v>1875</v>
      </c>
      <c r="Q1248" s="7" t="s">
        <v>31</v>
      </c>
    </row>
    <row r="1249" spans="1:17" s="7" customFormat="1" x14ac:dyDescent="0.35">
      <c r="A1249" s="7">
        <v>74</v>
      </c>
      <c r="B1249" s="7" t="s">
        <v>1870</v>
      </c>
      <c r="C1249" s="4">
        <v>2014</v>
      </c>
      <c r="D1249" s="4" t="s">
        <v>51</v>
      </c>
      <c r="E1249" s="8" t="s">
        <v>1871</v>
      </c>
      <c r="F1249" s="7" t="s">
        <v>1872</v>
      </c>
      <c r="G1249" s="7" t="s">
        <v>161</v>
      </c>
      <c r="H1249" s="7" t="s">
        <v>1878</v>
      </c>
      <c r="I1249" s="7">
        <v>46.217492</v>
      </c>
      <c r="J1249" s="63">
        <v>-72.899653000000001</v>
      </c>
      <c r="K1249" s="7" t="s">
        <v>103</v>
      </c>
      <c r="L1249" s="7" t="s">
        <v>163</v>
      </c>
      <c r="M1249" s="7" t="s">
        <v>1874</v>
      </c>
      <c r="N1249" s="7" t="s">
        <v>1875</v>
      </c>
      <c r="O1249" s="7" t="s">
        <v>31</v>
      </c>
      <c r="P1249" s="7" t="s">
        <v>1875</v>
      </c>
      <c r="Q1249" s="7" t="s">
        <v>31</v>
      </c>
    </row>
    <row r="1250" spans="1:17" s="7" customFormat="1" x14ac:dyDescent="0.35">
      <c r="A1250" s="7">
        <v>74</v>
      </c>
      <c r="B1250" s="7" t="s">
        <v>1870</v>
      </c>
      <c r="C1250" s="4">
        <v>2014</v>
      </c>
      <c r="D1250" s="4" t="s">
        <v>51</v>
      </c>
      <c r="E1250" s="8" t="s">
        <v>1871</v>
      </c>
      <c r="F1250" s="7" t="s">
        <v>1872</v>
      </c>
      <c r="G1250" s="7" t="s">
        <v>161</v>
      </c>
      <c r="H1250" s="7" t="s">
        <v>1879</v>
      </c>
      <c r="I1250" s="7">
        <v>45.841777999999998</v>
      </c>
      <c r="J1250" s="63">
        <v>-73.284462000000005</v>
      </c>
      <c r="K1250" s="7" t="s">
        <v>103</v>
      </c>
      <c r="L1250" s="7" t="s">
        <v>163</v>
      </c>
      <c r="M1250" s="7" t="s">
        <v>1874</v>
      </c>
      <c r="N1250" s="7" t="s">
        <v>1875</v>
      </c>
      <c r="O1250" s="7" t="s">
        <v>31</v>
      </c>
      <c r="P1250" s="7" t="s">
        <v>1875</v>
      </c>
      <c r="Q1250" s="7" t="s">
        <v>31</v>
      </c>
    </row>
    <row r="1251" spans="1:17" s="7" customFormat="1" x14ac:dyDescent="0.35">
      <c r="A1251" s="7">
        <v>74</v>
      </c>
      <c r="B1251" s="7" t="s">
        <v>1870</v>
      </c>
      <c r="C1251" s="4">
        <v>2014</v>
      </c>
      <c r="D1251" s="4" t="s">
        <v>51</v>
      </c>
      <c r="E1251" s="8" t="s">
        <v>1871</v>
      </c>
      <c r="F1251" s="7" t="s">
        <v>1872</v>
      </c>
      <c r="G1251" s="7" t="s">
        <v>161</v>
      </c>
      <c r="H1251" s="7" t="s">
        <v>1880</v>
      </c>
      <c r="I1251" s="7">
        <v>46.051076999999999</v>
      </c>
      <c r="J1251" s="63">
        <v>-73.163033999999996</v>
      </c>
      <c r="K1251" s="7" t="s">
        <v>103</v>
      </c>
      <c r="L1251" s="7" t="s">
        <v>163</v>
      </c>
      <c r="M1251" s="7" t="s">
        <v>1874</v>
      </c>
      <c r="N1251" s="7" t="s">
        <v>1875</v>
      </c>
      <c r="O1251" s="7" t="s">
        <v>31</v>
      </c>
      <c r="P1251" s="7" t="s">
        <v>1875</v>
      </c>
      <c r="Q1251" s="7" t="s">
        <v>31</v>
      </c>
    </row>
    <row r="1252" spans="1:17" s="7" customFormat="1" x14ac:dyDescent="0.35">
      <c r="A1252" s="7">
        <v>74</v>
      </c>
      <c r="B1252" s="7" t="s">
        <v>1870</v>
      </c>
      <c r="C1252" s="4">
        <v>2014</v>
      </c>
      <c r="D1252" s="4" t="s">
        <v>51</v>
      </c>
      <c r="E1252" s="8" t="s">
        <v>1871</v>
      </c>
      <c r="F1252" s="7" t="s">
        <v>1872</v>
      </c>
      <c r="G1252" s="7" t="s">
        <v>161</v>
      </c>
      <c r="H1252" s="7" t="s">
        <v>1881</v>
      </c>
      <c r="I1252" s="7">
        <v>46.048937000000002</v>
      </c>
      <c r="J1252" s="63">
        <v>-73.143299999999996</v>
      </c>
      <c r="K1252" s="7" t="s">
        <v>103</v>
      </c>
      <c r="L1252" s="7" t="s">
        <v>163</v>
      </c>
      <c r="M1252" s="7" t="s">
        <v>1874</v>
      </c>
      <c r="N1252" s="7" t="s">
        <v>1875</v>
      </c>
      <c r="O1252" s="7" t="s">
        <v>31</v>
      </c>
      <c r="P1252" s="7" t="s">
        <v>1875</v>
      </c>
      <c r="Q1252" s="7" t="s">
        <v>31</v>
      </c>
    </row>
    <row r="1253" spans="1:17" s="7" customFormat="1" x14ac:dyDescent="0.35">
      <c r="A1253" s="7">
        <v>74</v>
      </c>
      <c r="B1253" s="7" t="s">
        <v>1870</v>
      </c>
      <c r="C1253" s="4">
        <v>2014</v>
      </c>
      <c r="D1253" s="4" t="s">
        <v>51</v>
      </c>
      <c r="E1253" s="8" t="s">
        <v>1871</v>
      </c>
      <c r="F1253" s="7" t="s">
        <v>1872</v>
      </c>
      <c r="G1253" s="7" t="s">
        <v>161</v>
      </c>
      <c r="H1253" s="7" t="s">
        <v>1882</v>
      </c>
      <c r="I1253" s="7">
        <v>46.488953000000002</v>
      </c>
      <c r="J1253" s="63">
        <v>-72.231769999999997</v>
      </c>
      <c r="K1253" s="7" t="s">
        <v>103</v>
      </c>
      <c r="L1253" s="7" t="s">
        <v>163</v>
      </c>
      <c r="M1253" s="7" t="s">
        <v>1874</v>
      </c>
      <c r="N1253" s="7" t="s">
        <v>1875</v>
      </c>
      <c r="O1253" s="7" t="s">
        <v>31</v>
      </c>
      <c r="P1253" s="7" t="s">
        <v>1875</v>
      </c>
      <c r="Q1253" s="7" t="s">
        <v>31</v>
      </c>
    </row>
    <row r="1254" spans="1:17" s="7" customFormat="1" x14ac:dyDescent="0.35">
      <c r="A1254" s="7">
        <v>74</v>
      </c>
      <c r="B1254" s="7" t="s">
        <v>1870</v>
      </c>
      <c r="C1254" s="4">
        <v>2014</v>
      </c>
      <c r="D1254" s="4" t="s">
        <v>51</v>
      </c>
      <c r="E1254" s="8" t="s">
        <v>1871</v>
      </c>
      <c r="F1254" s="7" t="s">
        <v>1872</v>
      </c>
      <c r="G1254" s="7" t="s">
        <v>161</v>
      </c>
      <c r="H1254" s="7" t="s">
        <v>1883</v>
      </c>
      <c r="I1254" s="7">
        <v>46.566934000000003</v>
      </c>
      <c r="J1254" s="63">
        <v>-72.033417999999998</v>
      </c>
      <c r="K1254" s="7" t="s">
        <v>103</v>
      </c>
      <c r="L1254" s="7" t="s">
        <v>163</v>
      </c>
      <c r="M1254" s="7" t="s">
        <v>1874</v>
      </c>
      <c r="N1254" s="7" t="s">
        <v>1875</v>
      </c>
      <c r="O1254" s="7" t="s">
        <v>31</v>
      </c>
      <c r="P1254" s="7" t="s">
        <v>1875</v>
      </c>
      <c r="Q1254" s="7" t="s">
        <v>31</v>
      </c>
    </row>
    <row r="1255" spans="1:17" s="7" customFormat="1" x14ac:dyDescent="0.35">
      <c r="A1255" s="7">
        <v>74</v>
      </c>
      <c r="B1255" s="7" t="s">
        <v>1870</v>
      </c>
      <c r="C1255" s="4">
        <v>2014</v>
      </c>
      <c r="D1255" s="4" t="s">
        <v>51</v>
      </c>
      <c r="E1255" s="8" t="s">
        <v>1871</v>
      </c>
      <c r="F1255" s="7" t="s">
        <v>1872</v>
      </c>
      <c r="G1255" s="7" t="s">
        <v>161</v>
      </c>
      <c r="H1255" s="7" t="s">
        <v>1884</v>
      </c>
      <c r="I1255" s="7">
        <v>46.842498999999997</v>
      </c>
      <c r="J1255" s="63">
        <v>-71.150510999999995</v>
      </c>
      <c r="K1255" s="7" t="s">
        <v>103</v>
      </c>
      <c r="L1255" s="7" t="s">
        <v>163</v>
      </c>
      <c r="M1255" s="7" t="s">
        <v>1874</v>
      </c>
      <c r="N1255" s="7" t="s">
        <v>1875</v>
      </c>
      <c r="O1255" s="7" t="s">
        <v>31</v>
      </c>
      <c r="P1255" s="7" t="s">
        <v>1875</v>
      </c>
      <c r="Q1255" s="7" t="s">
        <v>31</v>
      </c>
    </row>
    <row r="1256" spans="1:17" s="7" customFormat="1" x14ac:dyDescent="0.35">
      <c r="A1256" s="7">
        <v>75</v>
      </c>
      <c r="B1256" s="7" t="s">
        <v>1885</v>
      </c>
      <c r="C1256" s="4">
        <v>2018</v>
      </c>
      <c r="D1256" s="4" t="s">
        <v>1596</v>
      </c>
      <c r="E1256" s="8" t="s">
        <v>1886</v>
      </c>
      <c r="F1256" s="7" t="s">
        <v>1887</v>
      </c>
      <c r="G1256" s="7" t="s">
        <v>86</v>
      </c>
      <c r="H1256" s="7" t="s">
        <v>1865</v>
      </c>
      <c r="I1256" s="7">
        <v>46.441499999999998</v>
      </c>
      <c r="J1256" s="7">
        <v>-92.079599999999999</v>
      </c>
      <c r="K1256" s="7" t="s">
        <v>41</v>
      </c>
      <c r="L1256" s="7" t="s">
        <v>28</v>
      </c>
      <c r="N1256" s="7" t="s">
        <v>1888</v>
      </c>
      <c r="O1256" s="7" t="s">
        <v>31</v>
      </c>
      <c r="P1256" s="7" t="s">
        <v>1888</v>
      </c>
      <c r="Q1256" s="7" t="s">
        <v>31</v>
      </c>
    </row>
    <row r="1257" spans="1:17" s="7" customFormat="1" x14ac:dyDescent="0.35">
      <c r="A1257" s="7">
        <v>75</v>
      </c>
      <c r="B1257" s="7" t="s">
        <v>1885</v>
      </c>
      <c r="C1257" s="4">
        <v>2018</v>
      </c>
      <c r="D1257" s="4" t="s">
        <v>1596</v>
      </c>
      <c r="E1257" s="8" t="s">
        <v>1886</v>
      </c>
      <c r="F1257" s="7" t="s">
        <v>1887</v>
      </c>
      <c r="G1257" s="7" t="s">
        <v>86</v>
      </c>
      <c r="H1257" s="7" t="s">
        <v>1865</v>
      </c>
      <c r="I1257" s="7">
        <v>46.454300000000003</v>
      </c>
      <c r="J1257" s="7">
        <v>-92.069900000000004</v>
      </c>
      <c r="K1257" s="7" t="s">
        <v>41</v>
      </c>
      <c r="L1257" s="7" t="s">
        <v>28</v>
      </c>
      <c r="N1257" s="7" t="s">
        <v>1888</v>
      </c>
      <c r="O1257" s="7" t="s">
        <v>31</v>
      </c>
      <c r="P1257" s="7" t="s">
        <v>1888</v>
      </c>
      <c r="Q1257" s="7" t="s">
        <v>31</v>
      </c>
    </row>
    <row r="1258" spans="1:17" s="7" customFormat="1" x14ac:dyDescent="0.35">
      <c r="A1258" s="7">
        <v>75</v>
      </c>
      <c r="B1258" s="7" t="s">
        <v>1885</v>
      </c>
      <c r="C1258" s="4">
        <v>2018</v>
      </c>
      <c r="D1258" s="4" t="s">
        <v>1596</v>
      </c>
      <c r="E1258" s="8" t="s">
        <v>1886</v>
      </c>
      <c r="F1258" s="7" t="s">
        <v>1887</v>
      </c>
      <c r="G1258" s="7" t="s">
        <v>86</v>
      </c>
      <c r="H1258" s="7" t="s">
        <v>1865</v>
      </c>
      <c r="I1258" s="7">
        <v>46.458599999999997</v>
      </c>
      <c r="J1258" s="7">
        <v>-92.056799999999996</v>
      </c>
      <c r="K1258" s="7" t="s">
        <v>41</v>
      </c>
      <c r="L1258" s="7" t="s">
        <v>28</v>
      </c>
      <c r="N1258" s="7" t="s">
        <v>1888</v>
      </c>
      <c r="O1258" s="7" t="s">
        <v>31</v>
      </c>
      <c r="P1258" s="7" t="s">
        <v>1888</v>
      </c>
      <c r="Q1258" s="7" t="s">
        <v>31</v>
      </c>
    </row>
    <row r="1259" spans="1:17" s="7" customFormat="1" x14ac:dyDescent="0.35">
      <c r="A1259" s="7">
        <v>75</v>
      </c>
      <c r="B1259" s="7" t="s">
        <v>1885</v>
      </c>
      <c r="C1259" s="4">
        <v>2018</v>
      </c>
      <c r="D1259" s="4" t="s">
        <v>1596</v>
      </c>
      <c r="E1259" s="8" t="s">
        <v>1886</v>
      </c>
      <c r="F1259" s="7" t="s">
        <v>1887</v>
      </c>
      <c r="G1259" s="7" t="s">
        <v>86</v>
      </c>
      <c r="H1259" s="7" t="s">
        <v>1865</v>
      </c>
      <c r="I1259" s="7">
        <v>46.480800000000002</v>
      </c>
      <c r="J1259" s="7">
        <v>-92.038899999999998</v>
      </c>
      <c r="K1259" s="7" t="s">
        <v>41</v>
      </c>
      <c r="L1259" s="7" t="s">
        <v>28</v>
      </c>
      <c r="N1259" s="7" t="s">
        <v>1888</v>
      </c>
      <c r="O1259" s="7" t="s">
        <v>31</v>
      </c>
      <c r="P1259" s="7" t="s">
        <v>1888</v>
      </c>
      <c r="Q1259" s="7" t="s">
        <v>31</v>
      </c>
    </row>
    <row r="1260" spans="1:17" s="7" customFormat="1" x14ac:dyDescent="0.35">
      <c r="A1260" s="7">
        <v>75</v>
      </c>
      <c r="B1260" s="7" t="s">
        <v>1885</v>
      </c>
      <c r="C1260" s="4">
        <v>2018</v>
      </c>
      <c r="D1260" s="4" t="s">
        <v>1596</v>
      </c>
      <c r="E1260" s="8" t="s">
        <v>1886</v>
      </c>
      <c r="F1260" s="7" t="s">
        <v>1887</v>
      </c>
      <c r="G1260" s="7" t="s">
        <v>86</v>
      </c>
      <c r="H1260" s="7" t="s">
        <v>1865</v>
      </c>
      <c r="I1260" s="7">
        <v>46.526000000000003</v>
      </c>
      <c r="J1260" s="7">
        <v>-91.540800000000004</v>
      </c>
      <c r="K1260" s="7" t="s">
        <v>41</v>
      </c>
      <c r="L1260" s="7" t="s">
        <v>28</v>
      </c>
      <c r="N1260" s="7" t="s">
        <v>1888</v>
      </c>
      <c r="O1260" s="7" t="s">
        <v>31</v>
      </c>
      <c r="P1260" s="7" t="s">
        <v>1888</v>
      </c>
      <c r="Q1260" s="7" t="s">
        <v>31</v>
      </c>
    </row>
    <row r="1261" spans="1:17" s="7" customFormat="1" x14ac:dyDescent="0.35">
      <c r="A1261" s="7">
        <v>75</v>
      </c>
      <c r="B1261" s="7" t="s">
        <v>1885</v>
      </c>
      <c r="C1261" s="4">
        <v>2018</v>
      </c>
      <c r="D1261" s="4" t="s">
        <v>1596</v>
      </c>
      <c r="E1261" s="8" t="s">
        <v>1886</v>
      </c>
      <c r="F1261" s="7" t="s">
        <v>1887</v>
      </c>
      <c r="G1261" s="7" t="s">
        <v>86</v>
      </c>
      <c r="H1261" s="7" t="s">
        <v>1865</v>
      </c>
      <c r="I1261" s="7">
        <v>46.590200000000003</v>
      </c>
      <c r="J1261" s="7">
        <v>-91.394199999999998</v>
      </c>
      <c r="K1261" s="7" t="s">
        <v>41</v>
      </c>
      <c r="L1261" s="7" t="s">
        <v>28</v>
      </c>
      <c r="N1261" s="7" t="s">
        <v>1888</v>
      </c>
      <c r="O1261" s="7" t="s">
        <v>31</v>
      </c>
      <c r="P1261" s="7" t="s">
        <v>1888</v>
      </c>
      <c r="Q1261" s="7" t="s">
        <v>31</v>
      </c>
    </row>
    <row r="1262" spans="1:17" s="7" customFormat="1" x14ac:dyDescent="0.35">
      <c r="A1262" s="7">
        <v>75</v>
      </c>
      <c r="B1262" s="7" t="s">
        <v>1885</v>
      </c>
      <c r="C1262" s="4">
        <v>2018</v>
      </c>
      <c r="D1262" s="4" t="s">
        <v>1596</v>
      </c>
      <c r="E1262" s="8" t="s">
        <v>1886</v>
      </c>
      <c r="F1262" s="7" t="s">
        <v>1887</v>
      </c>
      <c r="G1262" s="7" t="s">
        <v>86</v>
      </c>
      <c r="H1262" s="7" t="s">
        <v>1865</v>
      </c>
      <c r="I1262" s="7">
        <v>47.192659999999997</v>
      </c>
      <c r="J1262" s="7">
        <v>-89.504649999999998</v>
      </c>
      <c r="K1262" s="7" t="s">
        <v>41</v>
      </c>
      <c r="L1262" s="7" t="s">
        <v>28</v>
      </c>
      <c r="N1262" s="7" t="s">
        <v>1888</v>
      </c>
      <c r="O1262" s="7" t="s">
        <v>31</v>
      </c>
      <c r="P1262" s="7" t="s">
        <v>1888</v>
      </c>
      <c r="Q1262" s="7" t="s">
        <v>31</v>
      </c>
    </row>
    <row r="1263" spans="1:17" s="7" customFormat="1" x14ac:dyDescent="0.35">
      <c r="A1263" s="7">
        <v>75</v>
      </c>
      <c r="B1263" s="7" t="s">
        <v>1885</v>
      </c>
      <c r="C1263" s="4">
        <v>2018</v>
      </c>
      <c r="D1263" s="4" t="s">
        <v>1596</v>
      </c>
      <c r="E1263" s="8" t="s">
        <v>1886</v>
      </c>
      <c r="F1263" s="7" t="s">
        <v>1887</v>
      </c>
      <c r="G1263" s="7" t="s">
        <v>86</v>
      </c>
      <c r="H1263" s="7" t="s">
        <v>1865</v>
      </c>
      <c r="I1263" s="7">
        <v>46.4801</v>
      </c>
      <c r="J1263" s="7">
        <v>-91.234399999999994</v>
      </c>
      <c r="K1263" s="7" t="s">
        <v>41</v>
      </c>
      <c r="L1263" s="7" t="s">
        <v>28</v>
      </c>
      <c r="N1263" s="7" t="s">
        <v>1888</v>
      </c>
      <c r="O1263" s="7" t="s">
        <v>31</v>
      </c>
      <c r="P1263" s="7" t="s">
        <v>1888</v>
      </c>
      <c r="Q1263" s="7" t="s">
        <v>31</v>
      </c>
    </row>
    <row r="1264" spans="1:17" s="7" customFormat="1" x14ac:dyDescent="0.35">
      <c r="A1264" s="7">
        <v>75</v>
      </c>
      <c r="B1264" s="7" t="s">
        <v>1885</v>
      </c>
      <c r="C1264" s="4">
        <v>2018</v>
      </c>
      <c r="D1264" s="4" t="s">
        <v>1596</v>
      </c>
      <c r="E1264" s="8" t="s">
        <v>1886</v>
      </c>
      <c r="F1264" s="7" t="s">
        <v>1887</v>
      </c>
      <c r="G1264" s="7" t="s">
        <v>86</v>
      </c>
      <c r="H1264" s="7" t="s">
        <v>1865</v>
      </c>
      <c r="I1264" s="7">
        <v>46.442500000000003</v>
      </c>
      <c r="J1264" s="7">
        <v>-91.410300000000007</v>
      </c>
      <c r="K1264" s="7" t="s">
        <v>41</v>
      </c>
      <c r="L1264" s="7" t="s">
        <v>28</v>
      </c>
      <c r="N1264" s="7" t="s">
        <v>1888</v>
      </c>
      <c r="O1264" s="7" t="s">
        <v>31</v>
      </c>
      <c r="P1264" s="7" t="s">
        <v>1888</v>
      </c>
      <c r="Q1264" s="7" t="s">
        <v>31</v>
      </c>
    </row>
    <row r="1265" spans="1:18" s="7" customFormat="1" x14ac:dyDescent="0.35">
      <c r="A1265" s="7">
        <v>75</v>
      </c>
      <c r="B1265" s="7" t="s">
        <v>1885</v>
      </c>
      <c r="C1265" s="4">
        <v>2018</v>
      </c>
      <c r="D1265" s="4" t="s">
        <v>1596</v>
      </c>
      <c r="E1265" s="8" t="s">
        <v>1886</v>
      </c>
      <c r="F1265" s="7" t="s">
        <v>1887</v>
      </c>
      <c r="G1265" s="7" t="s">
        <v>86</v>
      </c>
      <c r="H1265" s="7" t="s">
        <v>1865</v>
      </c>
      <c r="I1265" s="7">
        <v>46.4146</v>
      </c>
      <c r="J1265" s="7">
        <v>-91.575199999999995</v>
      </c>
      <c r="K1265" s="7" t="s">
        <v>41</v>
      </c>
      <c r="L1265" s="7" t="s">
        <v>28</v>
      </c>
      <c r="N1265" s="7" t="s">
        <v>1888</v>
      </c>
      <c r="O1265" s="7" t="s">
        <v>31</v>
      </c>
      <c r="P1265" s="7" t="s">
        <v>1888</v>
      </c>
      <c r="Q1265" s="7" t="s">
        <v>31</v>
      </c>
    </row>
    <row r="1266" spans="1:18" s="7" customFormat="1" x14ac:dyDescent="0.35">
      <c r="A1266" s="7">
        <v>75</v>
      </c>
      <c r="B1266" s="7" t="s">
        <v>1885</v>
      </c>
      <c r="C1266" s="4">
        <v>2018</v>
      </c>
      <c r="D1266" s="4" t="s">
        <v>1596</v>
      </c>
      <c r="E1266" s="8" t="s">
        <v>1886</v>
      </c>
      <c r="F1266" s="7" t="s">
        <v>1887</v>
      </c>
      <c r="G1266" s="7" t="s">
        <v>86</v>
      </c>
      <c r="H1266" s="7" t="s">
        <v>1865</v>
      </c>
      <c r="I1266" s="7">
        <v>46.4251</v>
      </c>
      <c r="J1266" s="7">
        <v>-92.017700000000005</v>
      </c>
      <c r="K1266" s="7" t="s">
        <v>41</v>
      </c>
      <c r="L1266" s="7" t="s">
        <v>28</v>
      </c>
      <c r="N1266" s="7" t="s">
        <v>1888</v>
      </c>
      <c r="O1266" s="7" t="s">
        <v>31</v>
      </c>
      <c r="P1266" s="7" t="s">
        <v>1888</v>
      </c>
      <c r="Q1266" s="7" t="s">
        <v>31</v>
      </c>
    </row>
    <row r="1267" spans="1:18" s="7" customFormat="1" x14ac:dyDescent="0.35">
      <c r="A1267" s="7">
        <v>75</v>
      </c>
      <c r="B1267" s="7" t="s">
        <v>1885</v>
      </c>
      <c r="C1267" s="4">
        <v>2018</v>
      </c>
      <c r="D1267" s="4" t="s">
        <v>1596</v>
      </c>
      <c r="E1267" s="8" t="s">
        <v>1886</v>
      </c>
      <c r="F1267" s="7" t="s">
        <v>1887</v>
      </c>
      <c r="G1267" s="7" t="s">
        <v>86</v>
      </c>
      <c r="H1267" s="7" t="s">
        <v>1865</v>
      </c>
      <c r="I1267" s="7">
        <v>46.470399999999998</v>
      </c>
      <c r="J1267" s="7">
        <v>-91.4923</v>
      </c>
      <c r="K1267" s="7" t="s">
        <v>41</v>
      </c>
      <c r="L1267" s="7" t="s">
        <v>28</v>
      </c>
      <c r="N1267" s="7" t="s">
        <v>1888</v>
      </c>
      <c r="O1267" s="7" t="s">
        <v>31</v>
      </c>
      <c r="P1267" s="7" t="s">
        <v>1888</v>
      </c>
      <c r="Q1267" s="7" t="s">
        <v>31</v>
      </c>
    </row>
    <row r="1268" spans="1:18" s="7" customFormat="1" x14ac:dyDescent="0.35">
      <c r="A1268" s="7">
        <v>76</v>
      </c>
      <c r="B1268" s="7" t="s">
        <v>1890</v>
      </c>
      <c r="C1268" s="7">
        <v>2021</v>
      </c>
      <c r="D1268" s="7" t="s">
        <v>1891</v>
      </c>
      <c r="E1268" s="7" t="s">
        <v>1892</v>
      </c>
      <c r="F1268" s="7" t="s">
        <v>1893</v>
      </c>
      <c r="G1268" s="7" t="s">
        <v>1894</v>
      </c>
      <c r="H1268" s="7" t="s">
        <v>1895</v>
      </c>
      <c r="I1268" s="67">
        <v>45.964991178519703</v>
      </c>
      <c r="J1268" s="54">
        <v>-66.588208273864893</v>
      </c>
      <c r="K1268" s="7" t="s">
        <v>103</v>
      </c>
      <c r="L1268" s="7" t="s">
        <v>223</v>
      </c>
      <c r="M1268" s="7" t="s">
        <v>1896</v>
      </c>
      <c r="N1268" s="7" t="s">
        <v>1897</v>
      </c>
      <c r="O1268" s="7" t="s">
        <v>31</v>
      </c>
      <c r="P1268" s="7" t="s">
        <v>1897</v>
      </c>
      <c r="Q1268" s="7" t="s">
        <v>31</v>
      </c>
    </row>
    <row r="1269" spans="1:18" s="7" customFormat="1" x14ac:dyDescent="0.35">
      <c r="A1269" s="7">
        <v>76</v>
      </c>
      <c r="B1269" s="7" t="s">
        <v>1890</v>
      </c>
      <c r="C1269" s="7">
        <v>2021</v>
      </c>
      <c r="D1269" s="7" t="s">
        <v>1891</v>
      </c>
      <c r="E1269" s="7" t="s">
        <v>1892</v>
      </c>
      <c r="F1269" s="7" t="s">
        <v>1893</v>
      </c>
      <c r="G1269" s="7" t="s">
        <v>1894</v>
      </c>
      <c r="H1269" s="7" t="s">
        <v>1899</v>
      </c>
      <c r="I1269" s="54">
        <v>46.415507841563802</v>
      </c>
      <c r="J1269" s="54">
        <v>-67.514897276553</v>
      </c>
      <c r="K1269" s="7" t="s">
        <v>103</v>
      </c>
      <c r="L1269" s="7" t="s">
        <v>223</v>
      </c>
      <c r="M1269" s="7" t="s">
        <v>1896</v>
      </c>
      <c r="N1269" s="7" t="s">
        <v>1897</v>
      </c>
      <c r="O1269" s="7" t="s">
        <v>31</v>
      </c>
      <c r="P1269" s="7" t="s">
        <v>1897</v>
      </c>
      <c r="Q1269" s="7" t="s">
        <v>31</v>
      </c>
    </row>
    <row r="1270" spans="1:18" s="7" customFormat="1" x14ac:dyDescent="0.35">
      <c r="A1270" s="7">
        <v>76</v>
      </c>
      <c r="B1270" s="7" t="s">
        <v>1890</v>
      </c>
      <c r="C1270" s="7">
        <v>2021</v>
      </c>
      <c r="D1270" s="7" t="s">
        <v>1891</v>
      </c>
      <c r="E1270" s="7" t="s">
        <v>1892</v>
      </c>
      <c r="F1270" s="7" t="s">
        <v>1893</v>
      </c>
      <c r="G1270" s="7" t="s">
        <v>1894</v>
      </c>
      <c r="H1270" s="7" t="s">
        <v>1900</v>
      </c>
      <c r="I1270" s="67">
        <v>45.316895739497198</v>
      </c>
      <c r="J1270" s="54">
        <v>-66.132491718238299</v>
      </c>
      <c r="K1270" s="7" t="s">
        <v>103</v>
      </c>
      <c r="L1270" s="7" t="s">
        <v>223</v>
      </c>
      <c r="M1270" s="7" t="s">
        <v>1896</v>
      </c>
      <c r="N1270" s="7" t="s">
        <v>1897</v>
      </c>
      <c r="O1270" s="7" t="s">
        <v>31</v>
      </c>
      <c r="P1270" s="7" t="s">
        <v>1897</v>
      </c>
      <c r="Q1270" s="7" t="s">
        <v>31</v>
      </c>
    </row>
    <row r="1271" spans="1:18" s="7" customFormat="1" x14ac:dyDescent="0.35">
      <c r="A1271" s="7">
        <v>76</v>
      </c>
      <c r="B1271" s="7" t="s">
        <v>1890</v>
      </c>
      <c r="C1271" s="7">
        <v>2021</v>
      </c>
      <c r="D1271" s="7" t="s">
        <v>1891</v>
      </c>
      <c r="E1271" s="7" t="s">
        <v>1892</v>
      </c>
      <c r="F1271" s="7" t="s">
        <v>1893</v>
      </c>
      <c r="G1271" s="7" t="s">
        <v>1894</v>
      </c>
      <c r="H1271" s="7" t="s">
        <v>1901</v>
      </c>
      <c r="I1271" s="67">
        <v>46.7701335014278</v>
      </c>
      <c r="J1271" s="54">
        <v>-67.699352652920595</v>
      </c>
      <c r="K1271" s="7" t="s">
        <v>103</v>
      </c>
      <c r="L1271" s="7" t="s">
        <v>223</v>
      </c>
      <c r="M1271" s="7" t="s">
        <v>1896</v>
      </c>
      <c r="N1271" s="7" t="s">
        <v>1897</v>
      </c>
      <c r="O1271" s="7" t="s">
        <v>31</v>
      </c>
      <c r="P1271" s="7" t="s">
        <v>1897</v>
      </c>
      <c r="Q1271" s="7" t="s">
        <v>31</v>
      </c>
    </row>
    <row r="1272" spans="1:18" s="7" customFormat="1" x14ac:dyDescent="0.35">
      <c r="A1272" s="7">
        <v>76</v>
      </c>
      <c r="B1272" s="7" t="s">
        <v>1890</v>
      </c>
      <c r="C1272" s="7">
        <v>2021</v>
      </c>
      <c r="D1272" s="7" t="s">
        <v>1891</v>
      </c>
      <c r="E1272" s="7" t="s">
        <v>1892</v>
      </c>
      <c r="F1272" s="7" t="s">
        <v>1893</v>
      </c>
      <c r="G1272" s="7" t="s">
        <v>1894</v>
      </c>
      <c r="H1272" s="7" t="s">
        <v>1902</v>
      </c>
      <c r="I1272" s="54">
        <v>45.655134628834404</v>
      </c>
      <c r="J1272" s="54">
        <v>-66.569336470728103</v>
      </c>
      <c r="K1272" s="7" t="s">
        <v>103</v>
      </c>
      <c r="L1272" s="7" t="s">
        <v>223</v>
      </c>
      <c r="M1272" s="7" t="s">
        <v>1896</v>
      </c>
      <c r="N1272" s="7" t="s">
        <v>1897</v>
      </c>
      <c r="O1272" s="7" t="s">
        <v>31</v>
      </c>
      <c r="P1272" s="7" t="s">
        <v>1897</v>
      </c>
      <c r="Q1272" s="7" t="s">
        <v>31</v>
      </c>
    </row>
    <row r="1273" spans="1:18" s="7" customFormat="1" x14ac:dyDescent="0.35">
      <c r="A1273" s="7">
        <v>76</v>
      </c>
      <c r="B1273" s="7" t="s">
        <v>1890</v>
      </c>
      <c r="C1273" s="7">
        <v>2021</v>
      </c>
      <c r="D1273" s="7" t="s">
        <v>1891</v>
      </c>
      <c r="E1273" s="7" t="s">
        <v>1892</v>
      </c>
      <c r="F1273" s="7" t="s">
        <v>1893</v>
      </c>
      <c r="G1273" s="7" t="s">
        <v>1894</v>
      </c>
      <c r="H1273" s="7" t="s">
        <v>1895</v>
      </c>
      <c r="I1273" s="67">
        <v>45.964991178519703</v>
      </c>
      <c r="J1273" s="54">
        <v>-66.588208273864893</v>
      </c>
      <c r="K1273" s="7" t="s">
        <v>41</v>
      </c>
      <c r="L1273" s="7" t="s">
        <v>223</v>
      </c>
      <c r="M1273" s="7" t="s">
        <v>1896</v>
      </c>
      <c r="N1273" s="7" t="s">
        <v>1903</v>
      </c>
      <c r="O1273" s="7" t="s">
        <v>31</v>
      </c>
      <c r="P1273" s="7" t="s">
        <v>1903</v>
      </c>
      <c r="Q1273" s="7" t="s">
        <v>31</v>
      </c>
    </row>
    <row r="1274" spans="1:18" s="7" customFormat="1" x14ac:dyDescent="0.35">
      <c r="A1274" s="7">
        <v>76</v>
      </c>
      <c r="B1274" s="7" t="s">
        <v>1890</v>
      </c>
      <c r="C1274" s="7">
        <v>2021</v>
      </c>
      <c r="D1274" s="7" t="s">
        <v>1891</v>
      </c>
      <c r="E1274" s="7" t="s">
        <v>1892</v>
      </c>
      <c r="F1274" s="7" t="s">
        <v>1893</v>
      </c>
      <c r="G1274" s="7" t="s">
        <v>1894</v>
      </c>
      <c r="H1274" s="7" t="s">
        <v>1899</v>
      </c>
      <c r="I1274" s="54">
        <v>46.415507841563802</v>
      </c>
      <c r="J1274" s="54">
        <v>-67.514897276553</v>
      </c>
      <c r="K1274" s="7" t="s">
        <v>41</v>
      </c>
      <c r="L1274" s="7" t="s">
        <v>223</v>
      </c>
      <c r="M1274" s="7" t="s">
        <v>1896</v>
      </c>
      <c r="N1274" s="7" t="s">
        <v>1903</v>
      </c>
      <c r="O1274" s="7" t="s">
        <v>31</v>
      </c>
      <c r="P1274" s="7" t="s">
        <v>1903</v>
      </c>
      <c r="Q1274" s="7" t="s">
        <v>31</v>
      </c>
    </row>
    <row r="1275" spans="1:18" s="7" customFormat="1" x14ac:dyDescent="0.35">
      <c r="A1275" s="7">
        <v>76</v>
      </c>
      <c r="B1275" s="7" t="s">
        <v>1890</v>
      </c>
      <c r="C1275" s="7">
        <v>2021</v>
      </c>
      <c r="D1275" s="7" t="s">
        <v>1891</v>
      </c>
      <c r="E1275" s="7" t="s">
        <v>1892</v>
      </c>
      <c r="F1275" s="7" t="s">
        <v>1893</v>
      </c>
      <c r="G1275" s="7" t="s">
        <v>1894</v>
      </c>
      <c r="H1275" s="7" t="s">
        <v>1900</v>
      </c>
      <c r="I1275" s="67">
        <v>45.316895739497198</v>
      </c>
      <c r="J1275" s="54">
        <v>-66.132491718238299</v>
      </c>
      <c r="K1275" s="7" t="s">
        <v>41</v>
      </c>
      <c r="L1275" s="7" t="s">
        <v>223</v>
      </c>
      <c r="M1275" s="7" t="s">
        <v>1896</v>
      </c>
      <c r="N1275" s="7" t="s">
        <v>1903</v>
      </c>
      <c r="O1275" s="7" t="s">
        <v>31</v>
      </c>
      <c r="P1275" s="7" t="s">
        <v>1903</v>
      </c>
      <c r="Q1275" s="7" t="s">
        <v>31</v>
      </c>
    </row>
    <row r="1276" spans="1:18" s="7" customFormat="1" x14ac:dyDescent="0.35">
      <c r="A1276" s="7">
        <v>76</v>
      </c>
      <c r="B1276" s="7" t="s">
        <v>1890</v>
      </c>
      <c r="C1276" s="7">
        <v>2021</v>
      </c>
      <c r="D1276" s="7" t="s">
        <v>1891</v>
      </c>
      <c r="E1276" s="7" t="s">
        <v>1892</v>
      </c>
      <c r="F1276" s="7" t="s">
        <v>1893</v>
      </c>
      <c r="G1276" s="7" t="s">
        <v>1894</v>
      </c>
      <c r="H1276" s="7" t="s">
        <v>1901</v>
      </c>
      <c r="I1276" s="67">
        <v>46.7701335014278</v>
      </c>
      <c r="J1276" s="54">
        <v>-67.699352652920595</v>
      </c>
      <c r="K1276" s="7" t="s">
        <v>41</v>
      </c>
      <c r="L1276" s="7" t="s">
        <v>223</v>
      </c>
      <c r="M1276" s="7" t="s">
        <v>1896</v>
      </c>
      <c r="N1276" s="7" t="s">
        <v>1903</v>
      </c>
      <c r="O1276" s="7" t="s">
        <v>31</v>
      </c>
      <c r="P1276" s="7" t="s">
        <v>1903</v>
      </c>
      <c r="Q1276" s="7" t="s">
        <v>31</v>
      </c>
    </row>
    <row r="1277" spans="1:18" s="7" customFormat="1" x14ac:dyDescent="0.35">
      <c r="A1277" s="7">
        <v>76</v>
      </c>
      <c r="B1277" s="7" t="s">
        <v>1890</v>
      </c>
      <c r="C1277" s="7">
        <v>2021</v>
      </c>
      <c r="D1277" s="7" t="s">
        <v>1891</v>
      </c>
      <c r="E1277" s="7" t="s">
        <v>1892</v>
      </c>
      <c r="F1277" s="7" t="s">
        <v>1893</v>
      </c>
      <c r="G1277" s="7" t="s">
        <v>1894</v>
      </c>
      <c r="H1277" s="7" t="s">
        <v>1902</v>
      </c>
      <c r="I1277" s="54">
        <v>45.655134628834404</v>
      </c>
      <c r="J1277" s="54">
        <v>-66.569336470728103</v>
      </c>
      <c r="K1277" s="7" t="s">
        <v>41</v>
      </c>
      <c r="L1277" s="7" t="s">
        <v>223</v>
      </c>
      <c r="M1277" s="7" t="s">
        <v>1896</v>
      </c>
      <c r="N1277" s="7" t="s">
        <v>1903</v>
      </c>
      <c r="O1277" s="7" t="s">
        <v>31</v>
      </c>
      <c r="P1277" s="7" t="s">
        <v>1903</v>
      </c>
      <c r="Q1277" s="7" t="s">
        <v>31</v>
      </c>
    </row>
    <row r="1278" spans="1:18" s="7" customFormat="1" x14ac:dyDescent="0.35">
      <c r="A1278" s="7">
        <v>77</v>
      </c>
      <c r="B1278" s="7" t="s">
        <v>1905</v>
      </c>
      <c r="C1278" s="7">
        <v>2017</v>
      </c>
      <c r="D1278" s="7" t="s">
        <v>1906</v>
      </c>
      <c r="E1278" s="7" t="s">
        <v>1907</v>
      </c>
      <c r="F1278" s="7" t="s">
        <v>1908</v>
      </c>
      <c r="G1278" s="7" t="s">
        <v>86</v>
      </c>
      <c r="H1278" s="68" t="s">
        <v>1909</v>
      </c>
      <c r="I1278" s="7">
        <v>-8498278.6400000006</v>
      </c>
      <c r="J1278" s="7">
        <v>5690594.9400000004</v>
      </c>
      <c r="K1278" s="7" t="s">
        <v>1910</v>
      </c>
      <c r="L1278" s="7" t="s">
        <v>223</v>
      </c>
      <c r="N1278" s="7" t="s">
        <v>105</v>
      </c>
      <c r="O1278" s="7" t="s">
        <v>31</v>
      </c>
      <c r="P1278" s="7" t="s">
        <v>105</v>
      </c>
      <c r="Q1278" s="7" t="s">
        <v>31</v>
      </c>
      <c r="R1278" s="7" t="s">
        <v>1911</v>
      </c>
    </row>
    <row r="1279" spans="1:18" s="7" customFormat="1" x14ac:dyDescent="0.35">
      <c r="A1279" s="7">
        <v>77</v>
      </c>
      <c r="B1279" s="7" t="s">
        <v>1905</v>
      </c>
      <c r="C1279" s="7">
        <v>2017</v>
      </c>
      <c r="D1279" s="7" t="s">
        <v>1906</v>
      </c>
      <c r="E1279" s="7" t="s">
        <v>1907</v>
      </c>
      <c r="F1279" s="7" t="s">
        <v>1908</v>
      </c>
      <c r="G1279" s="7" t="s">
        <v>86</v>
      </c>
      <c r="H1279" s="68" t="s">
        <v>1912</v>
      </c>
      <c r="I1279" s="7">
        <v>-8493421.2459999993</v>
      </c>
      <c r="J1279" s="7">
        <v>5691185.7649999997</v>
      </c>
      <c r="K1279" s="7" t="s">
        <v>1910</v>
      </c>
      <c r="L1279" s="7" t="s">
        <v>223</v>
      </c>
      <c r="N1279" s="7" t="s">
        <v>105</v>
      </c>
      <c r="O1279" s="7" t="s">
        <v>31</v>
      </c>
      <c r="P1279" s="7" t="s">
        <v>105</v>
      </c>
      <c r="Q1279" s="7" t="s">
        <v>31</v>
      </c>
    </row>
    <row r="1280" spans="1:18" s="7" customFormat="1" x14ac:dyDescent="0.35">
      <c r="A1280" s="7">
        <v>77</v>
      </c>
      <c r="B1280" s="7" t="s">
        <v>1905</v>
      </c>
      <c r="C1280" s="7">
        <v>2017</v>
      </c>
      <c r="D1280" s="7" t="s">
        <v>1906</v>
      </c>
      <c r="E1280" s="7" t="s">
        <v>1907</v>
      </c>
      <c r="F1280" s="7" t="s">
        <v>1908</v>
      </c>
      <c r="G1280" s="7" t="s">
        <v>86</v>
      </c>
      <c r="H1280" s="68" t="s">
        <v>1913</v>
      </c>
      <c r="I1280" s="7">
        <v>-8430625.3330000006</v>
      </c>
      <c r="J1280" s="7">
        <v>5680347.7439999999</v>
      </c>
      <c r="K1280" s="7" t="s">
        <v>1910</v>
      </c>
      <c r="L1280" s="7" t="s">
        <v>223</v>
      </c>
      <c r="N1280" s="7" t="s">
        <v>105</v>
      </c>
      <c r="O1280" s="7" t="s">
        <v>31</v>
      </c>
      <c r="P1280" s="7" t="s">
        <v>105</v>
      </c>
      <c r="Q1280" s="7" t="s">
        <v>31</v>
      </c>
      <c r="R1280" s="7" t="s">
        <v>1914</v>
      </c>
    </row>
    <row r="1281" spans="1:18" s="7" customFormat="1" x14ac:dyDescent="0.35">
      <c r="A1281" s="7">
        <v>77</v>
      </c>
      <c r="B1281" s="7" t="s">
        <v>1905</v>
      </c>
      <c r="C1281" s="7">
        <v>2017</v>
      </c>
      <c r="D1281" s="7" t="s">
        <v>1906</v>
      </c>
      <c r="E1281" s="7" t="s">
        <v>1907</v>
      </c>
      <c r="F1281" s="7" t="s">
        <v>1908</v>
      </c>
      <c r="G1281" s="7" t="s">
        <v>86</v>
      </c>
      <c r="H1281" s="68" t="s">
        <v>1915</v>
      </c>
      <c r="I1281" s="7">
        <v>-8428351.1319999993</v>
      </c>
      <c r="J1281" s="7">
        <v>5681099.085</v>
      </c>
      <c r="K1281" s="7" t="s">
        <v>1910</v>
      </c>
      <c r="L1281" s="7" t="s">
        <v>223</v>
      </c>
      <c r="N1281" s="7" t="s">
        <v>105</v>
      </c>
      <c r="O1281" s="7" t="s">
        <v>31</v>
      </c>
      <c r="P1281" s="7" t="s">
        <v>105</v>
      </c>
      <c r="Q1281" s="7" t="s">
        <v>31</v>
      </c>
    </row>
    <row r="1282" spans="1:18" s="7" customFormat="1" x14ac:dyDescent="0.35">
      <c r="A1282" s="7">
        <v>77</v>
      </c>
      <c r="B1282" s="7" t="s">
        <v>1905</v>
      </c>
      <c r="C1282" s="7">
        <v>2017</v>
      </c>
      <c r="D1282" s="7" t="s">
        <v>1906</v>
      </c>
      <c r="E1282" s="7" t="s">
        <v>1907</v>
      </c>
      <c r="F1282" s="7" t="s">
        <v>1908</v>
      </c>
      <c r="G1282" s="7" t="s">
        <v>86</v>
      </c>
      <c r="H1282" s="68" t="s">
        <v>1916</v>
      </c>
      <c r="I1282" s="7">
        <v>-8428851.8019999992</v>
      </c>
      <c r="J1282" s="7">
        <v>5688994.5120000001</v>
      </c>
      <c r="K1282" s="7" t="s">
        <v>1910</v>
      </c>
      <c r="L1282" s="7" t="s">
        <v>223</v>
      </c>
      <c r="N1282" s="7" t="s">
        <v>105</v>
      </c>
      <c r="O1282" s="7" t="s">
        <v>31</v>
      </c>
      <c r="P1282" s="7" t="s">
        <v>105</v>
      </c>
      <c r="Q1282" s="7" t="s">
        <v>31</v>
      </c>
    </row>
    <row r="1283" spans="1:18" s="7" customFormat="1" x14ac:dyDescent="0.35">
      <c r="A1283" s="7">
        <v>77</v>
      </c>
      <c r="B1283" s="7" t="s">
        <v>1905</v>
      </c>
      <c r="C1283" s="7">
        <v>2017</v>
      </c>
      <c r="D1283" s="7" t="s">
        <v>1906</v>
      </c>
      <c r="E1283" s="7" t="s">
        <v>1907</v>
      </c>
      <c r="F1283" s="7" t="s">
        <v>1908</v>
      </c>
      <c r="G1283" s="7" t="s">
        <v>86</v>
      </c>
      <c r="H1283" s="68" t="s">
        <v>1917</v>
      </c>
      <c r="I1283" s="7">
        <v>-8430540.8790000007</v>
      </c>
      <c r="J1283" s="7">
        <v>5692188.0659999996</v>
      </c>
      <c r="K1283" s="7" t="s">
        <v>1910</v>
      </c>
      <c r="L1283" s="7" t="s">
        <v>223</v>
      </c>
      <c r="N1283" s="7" t="s">
        <v>105</v>
      </c>
      <c r="O1283" s="7" t="s">
        <v>31</v>
      </c>
      <c r="P1283" s="7" t="s">
        <v>105</v>
      </c>
      <c r="Q1283" s="7" t="s">
        <v>31</v>
      </c>
    </row>
    <row r="1284" spans="1:18" s="7" customFormat="1" x14ac:dyDescent="0.35">
      <c r="A1284" s="7">
        <v>77</v>
      </c>
      <c r="B1284" s="7" t="s">
        <v>1905</v>
      </c>
      <c r="C1284" s="7">
        <v>2017</v>
      </c>
      <c r="D1284" s="7" t="s">
        <v>1906</v>
      </c>
      <c r="E1284" s="7" t="s">
        <v>1907</v>
      </c>
      <c r="F1284" s="7" t="s">
        <v>1908</v>
      </c>
      <c r="G1284" s="7" t="s">
        <v>86</v>
      </c>
      <c r="H1284" s="68" t="s">
        <v>1918</v>
      </c>
      <c r="I1284" s="7">
        <v>-8402038.7100000009</v>
      </c>
      <c r="J1284" s="7">
        <v>5701807.2869999995</v>
      </c>
      <c r="K1284" s="7" t="s">
        <v>1910</v>
      </c>
      <c r="L1284" s="7" t="s">
        <v>223</v>
      </c>
      <c r="N1284" s="7" t="s">
        <v>105</v>
      </c>
      <c r="O1284" s="7" t="s">
        <v>31</v>
      </c>
      <c r="P1284" s="7" t="s">
        <v>105</v>
      </c>
      <c r="Q1284" s="7" t="s">
        <v>31</v>
      </c>
    </row>
    <row r="1285" spans="1:18" s="7" customFormat="1" x14ac:dyDescent="0.35">
      <c r="A1285" s="7">
        <v>77</v>
      </c>
      <c r="B1285" s="7" t="s">
        <v>1905</v>
      </c>
      <c r="C1285" s="7">
        <v>2017</v>
      </c>
      <c r="D1285" s="7" t="s">
        <v>1906</v>
      </c>
      <c r="E1285" s="7" t="s">
        <v>1907</v>
      </c>
      <c r="F1285" s="7" t="s">
        <v>1908</v>
      </c>
      <c r="G1285" s="7" t="s">
        <v>86</v>
      </c>
      <c r="H1285" s="68" t="s">
        <v>1909</v>
      </c>
      <c r="I1285" s="7">
        <v>-8498278.6400000006</v>
      </c>
      <c r="J1285" s="7">
        <v>5690594.9400000004</v>
      </c>
      <c r="K1285" s="7" t="s">
        <v>1919</v>
      </c>
      <c r="L1285" s="7" t="s">
        <v>223</v>
      </c>
      <c r="N1285" s="7" t="s">
        <v>474</v>
      </c>
      <c r="O1285" s="7" t="s">
        <v>31</v>
      </c>
      <c r="P1285" s="7" t="s">
        <v>474</v>
      </c>
      <c r="Q1285" s="7" t="s">
        <v>31</v>
      </c>
      <c r="R1285" s="7" t="s">
        <v>1921</v>
      </c>
    </row>
    <row r="1286" spans="1:18" s="7" customFormat="1" x14ac:dyDescent="0.35">
      <c r="A1286" s="7">
        <v>77</v>
      </c>
      <c r="B1286" s="7" t="s">
        <v>1905</v>
      </c>
      <c r="C1286" s="7">
        <v>2017</v>
      </c>
      <c r="D1286" s="7" t="s">
        <v>1906</v>
      </c>
      <c r="E1286" s="7" t="s">
        <v>1907</v>
      </c>
      <c r="F1286" s="7" t="s">
        <v>1908</v>
      </c>
      <c r="G1286" s="7" t="s">
        <v>86</v>
      </c>
      <c r="H1286" s="68" t="s">
        <v>1912</v>
      </c>
      <c r="I1286" s="7">
        <v>-8493421.2459999993</v>
      </c>
      <c r="J1286" s="7">
        <v>5691185.7649999997</v>
      </c>
      <c r="K1286" s="7" t="s">
        <v>1919</v>
      </c>
      <c r="L1286" s="7" t="s">
        <v>223</v>
      </c>
      <c r="N1286" s="7" t="s">
        <v>474</v>
      </c>
      <c r="O1286" s="7" t="s">
        <v>31</v>
      </c>
      <c r="P1286" s="7" t="s">
        <v>474</v>
      </c>
      <c r="Q1286" s="7" t="s">
        <v>31</v>
      </c>
      <c r="R1286" s="7" t="s">
        <v>1921</v>
      </c>
    </row>
    <row r="1287" spans="1:18" s="7" customFormat="1" x14ac:dyDescent="0.35">
      <c r="A1287" s="7">
        <v>77</v>
      </c>
      <c r="B1287" s="7" t="s">
        <v>1905</v>
      </c>
      <c r="C1287" s="7">
        <v>2017</v>
      </c>
      <c r="D1287" s="7" t="s">
        <v>1906</v>
      </c>
      <c r="E1287" s="7" t="s">
        <v>1907</v>
      </c>
      <c r="F1287" s="7" t="s">
        <v>1908</v>
      </c>
      <c r="G1287" s="7" t="s">
        <v>86</v>
      </c>
      <c r="H1287" s="68" t="s">
        <v>1913</v>
      </c>
      <c r="I1287" s="7">
        <v>-8430625.3330000006</v>
      </c>
      <c r="J1287" s="7">
        <v>5680347.7439999999</v>
      </c>
      <c r="K1287" s="7" t="s">
        <v>1919</v>
      </c>
      <c r="L1287" s="7" t="s">
        <v>223</v>
      </c>
      <c r="N1287" s="7" t="s">
        <v>474</v>
      </c>
      <c r="O1287" s="7" t="s">
        <v>31</v>
      </c>
      <c r="P1287" s="7" t="s">
        <v>474</v>
      </c>
      <c r="Q1287" s="7" t="s">
        <v>31</v>
      </c>
      <c r="R1287" s="7" t="s">
        <v>1921</v>
      </c>
    </row>
    <row r="1288" spans="1:18" s="7" customFormat="1" x14ac:dyDescent="0.35">
      <c r="A1288" s="7">
        <v>77</v>
      </c>
      <c r="B1288" s="7" t="s">
        <v>1905</v>
      </c>
      <c r="C1288" s="7">
        <v>2017</v>
      </c>
      <c r="D1288" s="7" t="s">
        <v>1906</v>
      </c>
      <c r="E1288" s="7" t="s">
        <v>1907</v>
      </c>
      <c r="F1288" s="7" t="s">
        <v>1908</v>
      </c>
      <c r="G1288" s="7" t="s">
        <v>86</v>
      </c>
      <c r="H1288" s="68" t="s">
        <v>1915</v>
      </c>
      <c r="I1288" s="7">
        <v>-8428351.1319999993</v>
      </c>
      <c r="J1288" s="7">
        <v>5681099.085</v>
      </c>
      <c r="K1288" s="7" t="s">
        <v>1919</v>
      </c>
      <c r="L1288" s="7" t="s">
        <v>223</v>
      </c>
      <c r="N1288" s="7" t="s">
        <v>474</v>
      </c>
      <c r="O1288" s="7" t="s">
        <v>31</v>
      </c>
      <c r="P1288" s="7" t="s">
        <v>474</v>
      </c>
      <c r="Q1288" s="7" t="s">
        <v>31</v>
      </c>
      <c r="R1288" s="7" t="s">
        <v>1921</v>
      </c>
    </row>
    <row r="1289" spans="1:18" s="7" customFormat="1" x14ac:dyDescent="0.35">
      <c r="A1289" s="7">
        <v>77</v>
      </c>
      <c r="B1289" s="7" t="s">
        <v>1905</v>
      </c>
      <c r="C1289" s="7">
        <v>2017</v>
      </c>
      <c r="D1289" s="7" t="s">
        <v>1906</v>
      </c>
      <c r="E1289" s="7" t="s">
        <v>1907</v>
      </c>
      <c r="F1289" s="7" t="s">
        <v>1908</v>
      </c>
      <c r="G1289" s="7" t="s">
        <v>86</v>
      </c>
      <c r="H1289" s="68" t="s">
        <v>1916</v>
      </c>
      <c r="I1289" s="7">
        <v>-8428851.8019999992</v>
      </c>
      <c r="J1289" s="7">
        <v>5688994.5120000001</v>
      </c>
      <c r="K1289" s="7" t="s">
        <v>1919</v>
      </c>
      <c r="L1289" s="7" t="s">
        <v>223</v>
      </c>
      <c r="N1289" s="7" t="s">
        <v>474</v>
      </c>
      <c r="O1289" s="7" t="s">
        <v>31</v>
      </c>
      <c r="P1289" s="7" t="s">
        <v>474</v>
      </c>
      <c r="Q1289" s="7" t="s">
        <v>31</v>
      </c>
      <c r="R1289" s="7" t="s">
        <v>1921</v>
      </c>
    </row>
    <row r="1290" spans="1:18" s="7" customFormat="1" x14ac:dyDescent="0.35">
      <c r="A1290" s="7">
        <v>77</v>
      </c>
      <c r="B1290" s="7" t="s">
        <v>1905</v>
      </c>
      <c r="C1290" s="7">
        <v>2017</v>
      </c>
      <c r="D1290" s="7" t="s">
        <v>1906</v>
      </c>
      <c r="E1290" s="7" t="s">
        <v>1907</v>
      </c>
      <c r="F1290" s="7" t="s">
        <v>1908</v>
      </c>
      <c r="G1290" s="7" t="s">
        <v>86</v>
      </c>
      <c r="H1290" s="68" t="s">
        <v>1917</v>
      </c>
      <c r="I1290" s="7">
        <v>-8430540.8790000007</v>
      </c>
      <c r="J1290" s="7">
        <v>5692188.0659999996</v>
      </c>
      <c r="K1290" s="7" t="s">
        <v>1919</v>
      </c>
      <c r="L1290" s="7" t="s">
        <v>223</v>
      </c>
      <c r="N1290" s="7" t="s">
        <v>474</v>
      </c>
      <c r="O1290" s="7" t="s">
        <v>31</v>
      </c>
      <c r="P1290" s="7" t="s">
        <v>474</v>
      </c>
      <c r="Q1290" s="7" t="s">
        <v>31</v>
      </c>
      <c r="R1290" s="7" t="s">
        <v>1921</v>
      </c>
    </row>
    <row r="1291" spans="1:18" s="7" customFormat="1" x14ac:dyDescent="0.35">
      <c r="A1291" s="7">
        <v>77</v>
      </c>
      <c r="B1291" s="7" t="s">
        <v>1905</v>
      </c>
      <c r="C1291" s="7">
        <v>2017</v>
      </c>
      <c r="D1291" s="7" t="s">
        <v>1906</v>
      </c>
      <c r="E1291" s="7" t="s">
        <v>1907</v>
      </c>
      <c r="F1291" s="7" t="s">
        <v>1908</v>
      </c>
      <c r="G1291" s="7" t="s">
        <v>86</v>
      </c>
      <c r="H1291" s="68" t="s">
        <v>1918</v>
      </c>
      <c r="I1291" s="7">
        <v>-8402038.7100000009</v>
      </c>
      <c r="J1291" s="7">
        <v>5701807.2869999995</v>
      </c>
      <c r="K1291" s="7" t="s">
        <v>1919</v>
      </c>
      <c r="L1291" s="7" t="s">
        <v>223</v>
      </c>
      <c r="N1291" s="7" t="s">
        <v>474</v>
      </c>
      <c r="O1291" s="7" t="s">
        <v>31</v>
      </c>
      <c r="P1291" s="7" t="s">
        <v>474</v>
      </c>
      <c r="Q1291" s="7" t="s">
        <v>31</v>
      </c>
      <c r="R1291" s="7" t="s">
        <v>1921</v>
      </c>
    </row>
    <row r="1292" spans="1:18" s="7" customFormat="1" x14ac:dyDescent="0.35">
      <c r="A1292" s="7">
        <v>78</v>
      </c>
      <c r="B1292" s="7" t="s">
        <v>1922</v>
      </c>
      <c r="C1292" s="7">
        <v>2019</v>
      </c>
      <c r="D1292" s="7" t="s">
        <v>1923</v>
      </c>
      <c r="E1292" s="8" t="s">
        <v>1924</v>
      </c>
      <c r="F1292" s="7" t="s">
        <v>1925</v>
      </c>
      <c r="G1292" s="7" t="s">
        <v>86</v>
      </c>
      <c r="H1292" s="4" t="s">
        <v>1674</v>
      </c>
      <c r="I1292" s="4">
        <v>45.613759999999999</v>
      </c>
      <c r="J1292" s="4">
        <v>-74.596433000000005</v>
      </c>
      <c r="K1292" s="7" t="s">
        <v>1910</v>
      </c>
      <c r="L1292" s="7" t="s">
        <v>223</v>
      </c>
      <c r="N1292" s="7" t="s">
        <v>105</v>
      </c>
      <c r="O1292" s="7" t="s">
        <v>31</v>
      </c>
      <c r="P1292" s="7" t="s">
        <v>105</v>
      </c>
      <c r="Q1292" s="7" t="s">
        <v>31</v>
      </c>
    </row>
    <row r="1293" spans="1:18" s="7" customFormat="1" x14ac:dyDescent="0.35">
      <c r="A1293" s="7">
        <v>78</v>
      </c>
      <c r="B1293" s="7" t="s">
        <v>1922</v>
      </c>
      <c r="C1293" s="7">
        <v>2019</v>
      </c>
      <c r="D1293" s="7" t="s">
        <v>1923</v>
      </c>
      <c r="E1293" s="8" t="s">
        <v>1924</v>
      </c>
      <c r="F1293" s="7" t="s">
        <v>1925</v>
      </c>
      <c r="G1293" s="7" t="s">
        <v>86</v>
      </c>
      <c r="H1293" s="4" t="s">
        <v>1926</v>
      </c>
      <c r="I1293" s="4">
        <v>45.395359999999997</v>
      </c>
      <c r="J1293" s="4">
        <v>-75.761967999999996</v>
      </c>
      <c r="K1293" s="7" t="s">
        <v>1910</v>
      </c>
      <c r="L1293" s="7" t="s">
        <v>223</v>
      </c>
      <c r="N1293" s="7" t="s">
        <v>105</v>
      </c>
      <c r="O1293" s="7" t="s">
        <v>31</v>
      </c>
      <c r="P1293" s="7" t="s">
        <v>105</v>
      </c>
      <c r="Q1293" s="7" t="s">
        <v>31</v>
      </c>
    </row>
    <row r="1294" spans="1:18" s="7" customFormat="1" x14ac:dyDescent="0.35">
      <c r="A1294" s="7">
        <v>78</v>
      </c>
      <c r="B1294" s="7" t="s">
        <v>1922</v>
      </c>
      <c r="C1294" s="7">
        <v>2019</v>
      </c>
      <c r="D1294" s="7" t="s">
        <v>1923</v>
      </c>
      <c r="E1294" s="8" t="s">
        <v>1924</v>
      </c>
      <c r="F1294" s="7" t="s">
        <v>1925</v>
      </c>
      <c r="G1294" s="7" t="s">
        <v>86</v>
      </c>
      <c r="H1294" s="4" t="s">
        <v>1927</v>
      </c>
      <c r="I1294" s="4">
        <v>45.400179999999999</v>
      </c>
      <c r="J1294" s="4">
        <v>-75.761336999999997</v>
      </c>
      <c r="K1294" s="7" t="s">
        <v>1910</v>
      </c>
      <c r="L1294" s="7" t="s">
        <v>223</v>
      </c>
      <c r="N1294" s="7" t="s">
        <v>105</v>
      </c>
      <c r="O1294" s="7" t="s">
        <v>31</v>
      </c>
      <c r="P1294" s="7" t="s">
        <v>105</v>
      </c>
      <c r="Q1294" s="7" t="s">
        <v>31</v>
      </c>
    </row>
    <row r="1295" spans="1:18" s="7" customFormat="1" x14ac:dyDescent="0.35">
      <c r="A1295" s="7">
        <v>78</v>
      </c>
      <c r="B1295" s="7" t="s">
        <v>1922</v>
      </c>
      <c r="C1295" s="7">
        <v>2019</v>
      </c>
      <c r="D1295" s="7" t="s">
        <v>1923</v>
      </c>
      <c r="E1295" s="8" t="s">
        <v>1924</v>
      </c>
      <c r="F1295" s="7" t="s">
        <v>1925</v>
      </c>
      <c r="G1295" s="7" t="s">
        <v>86</v>
      </c>
      <c r="H1295" s="4" t="s">
        <v>1928</v>
      </c>
      <c r="I1295" s="4">
        <v>45.442689999999999</v>
      </c>
      <c r="J1295" s="4">
        <v>-75.92586</v>
      </c>
      <c r="K1295" s="7" t="s">
        <v>1910</v>
      </c>
      <c r="L1295" s="7" t="s">
        <v>223</v>
      </c>
      <c r="N1295" s="7" t="s">
        <v>105</v>
      </c>
      <c r="O1295" s="7" t="s">
        <v>31</v>
      </c>
      <c r="P1295" s="7" t="s">
        <v>105</v>
      </c>
      <c r="Q1295" s="7" t="s">
        <v>31</v>
      </c>
    </row>
    <row r="1296" spans="1:18" s="7" customFormat="1" x14ac:dyDescent="0.35">
      <c r="A1296" s="7">
        <v>78</v>
      </c>
      <c r="B1296" s="7" t="s">
        <v>1922</v>
      </c>
      <c r="C1296" s="7">
        <v>2019</v>
      </c>
      <c r="D1296" s="7" t="s">
        <v>1923</v>
      </c>
      <c r="E1296" s="8" t="s">
        <v>1929</v>
      </c>
      <c r="F1296" s="7" t="s">
        <v>1925</v>
      </c>
      <c r="G1296" s="7" t="s">
        <v>86</v>
      </c>
      <c r="H1296" s="4" t="s">
        <v>1930</v>
      </c>
      <c r="I1296" s="4">
        <v>45.395949999999999</v>
      </c>
      <c r="J1296" s="4">
        <v>-75.767269999999996</v>
      </c>
      <c r="K1296" s="7" t="s">
        <v>1910</v>
      </c>
      <c r="L1296" s="7" t="s">
        <v>223</v>
      </c>
      <c r="N1296" s="7" t="s">
        <v>105</v>
      </c>
      <c r="O1296" s="7" t="s">
        <v>31</v>
      </c>
      <c r="P1296" s="7" t="s">
        <v>105</v>
      </c>
      <c r="Q1296" s="7" t="s">
        <v>31</v>
      </c>
    </row>
    <row r="1297" spans="1:17" s="7" customFormat="1" x14ac:dyDescent="0.35">
      <c r="A1297" s="7">
        <v>78</v>
      </c>
      <c r="B1297" s="7" t="s">
        <v>1922</v>
      </c>
      <c r="C1297" s="7">
        <v>2019</v>
      </c>
      <c r="D1297" s="7" t="s">
        <v>1923</v>
      </c>
      <c r="E1297" s="8" t="s">
        <v>1931</v>
      </c>
      <c r="F1297" s="7" t="s">
        <v>1925</v>
      </c>
      <c r="G1297" s="7" t="s">
        <v>86</v>
      </c>
      <c r="H1297" s="4" t="s">
        <v>1932</v>
      </c>
      <c r="I1297" s="4">
        <v>45.437399999999997</v>
      </c>
      <c r="J1297" s="4">
        <v>-76.347666000000004</v>
      </c>
      <c r="K1297" s="7" t="s">
        <v>1910</v>
      </c>
      <c r="L1297" s="7" t="s">
        <v>223</v>
      </c>
      <c r="N1297" s="7" t="s">
        <v>105</v>
      </c>
      <c r="O1297" s="7" t="s">
        <v>31</v>
      </c>
      <c r="P1297" s="7" t="s">
        <v>105</v>
      </c>
      <c r="Q1297" s="7" t="s">
        <v>31</v>
      </c>
    </row>
    <row r="1298" spans="1:17" s="7" customFormat="1" x14ac:dyDescent="0.35">
      <c r="A1298" s="7">
        <v>78</v>
      </c>
      <c r="B1298" s="7" t="s">
        <v>1922</v>
      </c>
      <c r="C1298" s="7">
        <v>2019</v>
      </c>
      <c r="D1298" s="7" t="s">
        <v>1923</v>
      </c>
      <c r="E1298" s="8" t="s">
        <v>1933</v>
      </c>
      <c r="F1298" s="7" t="s">
        <v>1925</v>
      </c>
      <c r="G1298" s="7" t="s">
        <v>86</v>
      </c>
      <c r="H1298" s="4" t="s">
        <v>1934</v>
      </c>
      <c r="I1298" s="4">
        <v>45.488190000000003</v>
      </c>
      <c r="J1298" s="4">
        <v>-76.431687999999994</v>
      </c>
      <c r="K1298" s="7" t="s">
        <v>1910</v>
      </c>
      <c r="L1298" s="7" t="s">
        <v>223</v>
      </c>
      <c r="N1298" s="7" t="s">
        <v>105</v>
      </c>
      <c r="O1298" s="7" t="s">
        <v>31</v>
      </c>
      <c r="P1298" s="7" t="s">
        <v>105</v>
      </c>
      <c r="Q1298" s="7" t="s">
        <v>31</v>
      </c>
    </row>
    <row r="1299" spans="1:17" s="7" customFormat="1" x14ac:dyDescent="0.35">
      <c r="A1299" s="7">
        <v>78</v>
      </c>
      <c r="B1299" s="7" t="s">
        <v>1922</v>
      </c>
      <c r="C1299" s="7">
        <v>2019</v>
      </c>
      <c r="D1299" s="7" t="s">
        <v>1923</v>
      </c>
      <c r="E1299" s="8" t="s">
        <v>1935</v>
      </c>
      <c r="F1299" s="7" t="s">
        <v>1925</v>
      </c>
      <c r="G1299" s="7" t="s">
        <v>86</v>
      </c>
      <c r="H1299" s="4" t="s">
        <v>1936</v>
      </c>
      <c r="I1299" s="4">
        <v>45.515120000000003</v>
      </c>
      <c r="J1299" s="4">
        <v>-76.420008999999993</v>
      </c>
      <c r="K1299" s="7" t="s">
        <v>1910</v>
      </c>
      <c r="L1299" s="7" t="s">
        <v>223</v>
      </c>
      <c r="N1299" s="7" t="s">
        <v>105</v>
      </c>
      <c r="O1299" s="7" t="s">
        <v>31</v>
      </c>
      <c r="P1299" s="7" t="s">
        <v>105</v>
      </c>
      <c r="Q1299" s="7" t="s">
        <v>31</v>
      </c>
    </row>
    <row r="1300" spans="1:17" s="7" customFormat="1" x14ac:dyDescent="0.35">
      <c r="A1300" s="7">
        <v>78</v>
      </c>
      <c r="B1300" s="7" t="s">
        <v>1922</v>
      </c>
      <c r="C1300" s="7">
        <v>2019</v>
      </c>
      <c r="D1300" s="7" t="s">
        <v>1923</v>
      </c>
      <c r="E1300" s="8" t="s">
        <v>1937</v>
      </c>
      <c r="F1300" s="7" t="s">
        <v>1925</v>
      </c>
      <c r="G1300" s="7" t="s">
        <v>86</v>
      </c>
      <c r="H1300" s="4" t="s">
        <v>1936</v>
      </c>
      <c r="I1300" s="4">
        <v>45.514629999999997</v>
      </c>
      <c r="J1300" s="4">
        <v>-76.430262999999997</v>
      </c>
      <c r="K1300" s="7" t="s">
        <v>1910</v>
      </c>
      <c r="L1300" s="7" t="s">
        <v>223</v>
      </c>
      <c r="N1300" s="7" t="s">
        <v>105</v>
      </c>
      <c r="O1300" s="7" t="s">
        <v>31</v>
      </c>
      <c r="P1300" s="7" t="s">
        <v>105</v>
      </c>
      <c r="Q1300" s="7" t="s">
        <v>31</v>
      </c>
    </row>
    <row r="1301" spans="1:17" s="7" customFormat="1" x14ac:dyDescent="0.35">
      <c r="A1301" s="7">
        <v>78</v>
      </c>
      <c r="B1301" s="7" t="s">
        <v>1922</v>
      </c>
      <c r="C1301" s="7">
        <v>2019</v>
      </c>
      <c r="D1301" s="7" t="s">
        <v>1923</v>
      </c>
      <c r="E1301" s="8" t="s">
        <v>1938</v>
      </c>
      <c r="F1301" s="7" t="s">
        <v>1925</v>
      </c>
      <c r="G1301" s="7" t="s">
        <v>86</v>
      </c>
      <c r="H1301" s="4" t="s">
        <v>1939</v>
      </c>
      <c r="I1301" s="4">
        <v>45.498600000000003</v>
      </c>
      <c r="J1301" s="4">
        <v>-76.466871999999995</v>
      </c>
      <c r="K1301" s="7" t="s">
        <v>1910</v>
      </c>
      <c r="L1301" s="7" t="s">
        <v>223</v>
      </c>
      <c r="N1301" s="7" t="s">
        <v>105</v>
      </c>
      <c r="O1301" s="7" t="s">
        <v>31</v>
      </c>
      <c r="P1301" s="7" t="s">
        <v>105</v>
      </c>
      <c r="Q1301" s="7" t="s">
        <v>31</v>
      </c>
    </row>
    <row r="1302" spans="1:17" s="7" customFormat="1" x14ac:dyDescent="0.35">
      <c r="A1302" s="7">
        <v>78</v>
      </c>
      <c r="B1302" s="7" t="s">
        <v>1922</v>
      </c>
      <c r="C1302" s="7">
        <v>2019</v>
      </c>
      <c r="D1302" s="7" t="s">
        <v>1923</v>
      </c>
      <c r="E1302" s="8" t="s">
        <v>1940</v>
      </c>
      <c r="F1302" s="7" t="s">
        <v>1925</v>
      </c>
      <c r="G1302" s="7" t="s">
        <v>86</v>
      </c>
      <c r="H1302" s="4" t="s">
        <v>1941</v>
      </c>
      <c r="I1302" s="4">
        <v>45.51634</v>
      </c>
      <c r="J1302" s="4">
        <v>-76.462305999999998</v>
      </c>
      <c r="K1302" s="7" t="s">
        <v>1910</v>
      </c>
      <c r="L1302" s="7" t="s">
        <v>223</v>
      </c>
      <c r="N1302" s="7" t="s">
        <v>105</v>
      </c>
      <c r="O1302" s="7" t="s">
        <v>31</v>
      </c>
      <c r="P1302" s="7" t="s">
        <v>105</v>
      </c>
      <c r="Q1302" s="7" t="s">
        <v>31</v>
      </c>
    </row>
    <row r="1303" spans="1:17" s="7" customFormat="1" x14ac:dyDescent="0.35">
      <c r="A1303" s="7">
        <v>78</v>
      </c>
      <c r="B1303" s="7" t="s">
        <v>1922</v>
      </c>
      <c r="C1303" s="7">
        <v>2019</v>
      </c>
      <c r="D1303" s="7" t="s">
        <v>1923</v>
      </c>
      <c r="E1303" s="8" t="s">
        <v>1942</v>
      </c>
      <c r="F1303" s="7" t="s">
        <v>1925</v>
      </c>
      <c r="G1303" s="7" t="s">
        <v>86</v>
      </c>
      <c r="H1303" s="4" t="s">
        <v>1941</v>
      </c>
      <c r="I1303" s="4">
        <v>45.519950000000001</v>
      </c>
      <c r="J1303" s="4">
        <v>-76.471232999999998</v>
      </c>
      <c r="K1303" s="7" t="s">
        <v>1910</v>
      </c>
      <c r="L1303" s="7" t="s">
        <v>223</v>
      </c>
      <c r="N1303" s="7" t="s">
        <v>105</v>
      </c>
      <c r="O1303" s="7" t="s">
        <v>31</v>
      </c>
      <c r="P1303" s="7" t="s">
        <v>105</v>
      </c>
      <c r="Q1303" s="7" t="s">
        <v>31</v>
      </c>
    </row>
    <row r="1304" spans="1:17" s="7" customFormat="1" x14ac:dyDescent="0.35">
      <c r="A1304" s="7">
        <v>78</v>
      </c>
      <c r="B1304" s="7" t="s">
        <v>1922</v>
      </c>
      <c r="C1304" s="7">
        <v>2019</v>
      </c>
      <c r="D1304" s="7" t="s">
        <v>1923</v>
      </c>
      <c r="E1304" s="8" t="s">
        <v>1943</v>
      </c>
      <c r="F1304" s="7" t="s">
        <v>1925</v>
      </c>
      <c r="G1304" s="7" t="s">
        <v>86</v>
      </c>
      <c r="H1304" s="4" t="s">
        <v>1944</v>
      </c>
      <c r="I1304" s="4">
        <v>45.526470000000003</v>
      </c>
      <c r="J1304" s="4">
        <v>-76.584006000000002</v>
      </c>
      <c r="K1304" s="7" t="s">
        <v>1910</v>
      </c>
      <c r="L1304" s="7" t="s">
        <v>223</v>
      </c>
      <c r="N1304" s="7" t="s">
        <v>105</v>
      </c>
      <c r="O1304" s="7" t="s">
        <v>31</v>
      </c>
      <c r="P1304" s="7" t="s">
        <v>105</v>
      </c>
      <c r="Q1304" s="7" t="s">
        <v>31</v>
      </c>
    </row>
    <row r="1305" spans="1:17" s="7" customFormat="1" x14ac:dyDescent="0.35">
      <c r="A1305" s="7">
        <v>78</v>
      </c>
      <c r="B1305" s="7" t="s">
        <v>1922</v>
      </c>
      <c r="C1305" s="7">
        <v>2019</v>
      </c>
      <c r="D1305" s="7" t="s">
        <v>1923</v>
      </c>
      <c r="E1305" s="8" t="s">
        <v>1945</v>
      </c>
      <c r="F1305" s="7" t="s">
        <v>1925</v>
      </c>
      <c r="G1305" s="7" t="s">
        <v>86</v>
      </c>
      <c r="H1305" s="4" t="s">
        <v>1946</v>
      </c>
      <c r="I1305" s="4">
        <v>45.59243</v>
      </c>
      <c r="J1305" s="4">
        <v>-76.668919000000002</v>
      </c>
      <c r="K1305" s="7" t="s">
        <v>1910</v>
      </c>
      <c r="L1305" s="7" t="s">
        <v>223</v>
      </c>
      <c r="N1305" s="7" t="s">
        <v>105</v>
      </c>
      <c r="O1305" s="7" t="s">
        <v>31</v>
      </c>
      <c r="P1305" s="7" t="s">
        <v>105</v>
      </c>
      <c r="Q1305" s="7" t="s">
        <v>31</v>
      </c>
    </row>
    <row r="1306" spans="1:17" s="7" customFormat="1" x14ac:dyDescent="0.35">
      <c r="A1306" s="7">
        <v>78</v>
      </c>
      <c r="B1306" s="7" t="s">
        <v>1922</v>
      </c>
      <c r="C1306" s="7">
        <v>2019</v>
      </c>
      <c r="D1306" s="7" t="s">
        <v>1923</v>
      </c>
      <c r="E1306" s="8" t="s">
        <v>1947</v>
      </c>
      <c r="F1306" s="7" t="s">
        <v>1925</v>
      </c>
      <c r="G1306" s="7" t="s">
        <v>86</v>
      </c>
      <c r="H1306" s="4" t="s">
        <v>1948</v>
      </c>
      <c r="I1306" s="4">
        <v>45.725380000000001</v>
      </c>
      <c r="J1306" s="4">
        <v>-76.711465000000004</v>
      </c>
      <c r="K1306" s="7" t="s">
        <v>1910</v>
      </c>
      <c r="L1306" s="7" t="s">
        <v>223</v>
      </c>
      <c r="N1306" s="7" t="s">
        <v>105</v>
      </c>
      <c r="O1306" s="7" t="s">
        <v>31</v>
      </c>
      <c r="P1306" s="7" t="s">
        <v>105</v>
      </c>
      <c r="Q1306" s="7" t="s">
        <v>31</v>
      </c>
    </row>
    <row r="1307" spans="1:17" s="7" customFormat="1" x14ac:dyDescent="0.35">
      <c r="A1307" s="7">
        <v>78</v>
      </c>
      <c r="B1307" s="7" t="s">
        <v>1922</v>
      </c>
      <c r="C1307" s="7">
        <v>2019</v>
      </c>
      <c r="D1307" s="7" t="s">
        <v>1923</v>
      </c>
      <c r="E1307" s="8" t="s">
        <v>1949</v>
      </c>
      <c r="F1307" s="7" t="s">
        <v>1925</v>
      </c>
      <c r="G1307" s="7" t="s">
        <v>86</v>
      </c>
      <c r="H1307" s="4" t="s">
        <v>1950</v>
      </c>
      <c r="I1307" s="4">
        <v>45.757080000000002</v>
      </c>
      <c r="J1307" s="4">
        <v>-76.773262000000003</v>
      </c>
      <c r="K1307" s="7" t="s">
        <v>1910</v>
      </c>
      <c r="L1307" s="7" t="s">
        <v>223</v>
      </c>
      <c r="N1307" s="7" t="s">
        <v>105</v>
      </c>
      <c r="O1307" s="7" t="s">
        <v>31</v>
      </c>
      <c r="P1307" s="7" t="s">
        <v>105</v>
      </c>
      <c r="Q1307" s="7" t="s">
        <v>31</v>
      </c>
    </row>
    <row r="1308" spans="1:17" s="7" customFormat="1" x14ac:dyDescent="0.35">
      <c r="A1308" s="7">
        <v>78</v>
      </c>
      <c r="B1308" s="7" t="s">
        <v>1922</v>
      </c>
      <c r="C1308" s="7">
        <v>2019</v>
      </c>
      <c r="D1308" s="7" t="s">
        <v>1923</v>
      </c>
      <c r="E1308" s="8" t="s">
        <v>1951</v>
      </c>
      <c r="F1308" s="7" t="s">
        <v>1925</v>
      </c>
      <c r="G1308" s="7" t="s">
        <v>86</v>
      </c>
      <c r="H1308" s="4" t="s">
        <v>1952</v>
      </c>
      <c r="I1308" s="4">
        <v>45.761339999999997</v>
      </c>
      <c r="J1308" s="4">
        <v>-76.764512999999994</v>
      </c>
      <c r="K1308" s="7" t="s">
        <v>1910</v>
      </c>
      <c r="L1308" s="7" t="s">
        <v>223</v>
      </c>
      <c r="N1308" s="7" t="s">
        <v>105</v>
      </c>
      <c r="O1308" s="7" t="s">
        <v>31</v>
      </c>
      <c r="P1308" s="7" t="s">
        <v>105</v>
      </c>
      <c r="Q1308" s="7" t="s">
        <v>31</v>
      </c>
    </row>
    <row r="1309" spans="1:17" s="7" customFormat="1" x14ac:dyDescent="0.35">
      <c r="A1309" s="7">
        <v>78</v>
      </c>
      <c r="B1309" s="7" t="s">
        <v>1922</v>
      </c>
      <c r="C1309" s="7">
        <v>2019</v>
      </c>
      <c r="D1309" s="7" t="s">
        <v>1923</v>
      </c>
      <c r="E1309" s="8" t="s">
        <v>1953</v>
      </c>
      <c r="F1309" s="7" t="s">
        <v>1925</v>
      </c>
      <c r="G1309" s="7" t="s">
        <v>86</v>
      </c>
      <c r="H1309" s="4" t="s">
        <v>1954</v>
      </c>
      <c r="I1309" s="4">
        <v>45.790199999999999</v>
      </c>
      <c r="J1309" s="4">
        <v>-76.773028999999994</v>
      </c>
      <c r="K1309" s="7" t="s">
        <v>1910</v>
      </c>
      <c r="L1309" s="7" t="s">
        <v>223</v>
      </c>
      <c r="N1309" s="7" t="s">
        <v>105</v>
      </c>
      <c r="O1309" s="7" t="s">
        <v>31</v>
      </c>
      <c r="P1309" s="7" t="s">
        <v>105</v>
      </c>
      <c r="Q1309" s="7" t="s">
        <v>31</v>
      </c>
    </row>
    <row r="1310" spans="1:17" s="7" customFormat="1" x14ac:dyDescent="0.35">
      <c r="A1310" s="7">
        <v>78</v>
      </c>
      <c r="B1310" s="7" t="s">
        <v>1922</v>
      </c>
      <c r="C1310" s="7">
        <v>2019</v>
      </c>
      <c r="D1310" s="7" t="s">
        <v>1923</v>
      </c>
      <c r="E1310" s="8" t="s">
        <v>1955</v>
      </c>
      <c r="F1310" s="7" t="s">
        <v>1925</v>
      </c>
      <c r="G1310" s="7" t="s">
        <v>86</v>
      </c>
      <c r="H1310" s="4" t="s">
        <v>1956</v>
      </c>
      <c r="I1310" s="4">
        <v>45.840649999999997</v>
      </c>
      <c r="J1310" s="4">
        <v>-76.741956000000002</v>
      </c>
      <c r="K1310" s="7" t="s">
        <v>1910</v>
      </c>
      <c r="L1310" s="7" t="s">
        <v>223</v>
      </c>
      <c r="N1310" s="7" t="s">
        <v>105</v>
      </c>
      <c r="O1310" s="7" t="s">
        <v>31</v>
      </c>
      <c r="P1310" s="7" t="s">
        <v>105</v>
      </c>
      <c r="Q1310" s="7" t="s">
        <v>31</v>
      </c>
    </row>
    <row r="1311" spans="1:17" s="7" customFormat="1" x14ac:dyDescent="0.35">
      <c r="A1311" s="7">
        <v>78</v>
      </c>
      <c r="B1311" s="7" t="s">
        <v>1922</v>
      </c>
      <c r="C1311" s="7">
        <v>2019</v>
      </c>
      <c r="D1311" s="7" t="s">
        <v>1923</v>
      </c>
      <c r="E1311" s="8" t="s">
        <v>1957</v>
      </c>
      <c r="F1311" s="7" t="s">
        <v>1925</v>
      </c>
      <c r="G1311" s="7" t="s">
        <v>86</v>
      </c>
      <c r="H1311" s="4" t="s">
        <v>1958</v>
      </c>
      <c r="I1311" s="4">
        <v>46.318849999999998</v>
      </c>
      <c r="J1311" s="4">
        <v>-78.702425000000005</v>
      </c>
      <c r="K1311" s="7" t="s">
        <v>1910</v>
      </c>
      <c r="L1311" s="7" t="s">
        <v>223</v>
      </c>
      <c r="N1311" s="7" t="s">
        <v>105</v>
      </c>
      <c r="O1311" s="7" t="s">
        <v>31</v>
      </c>
      <c r="P1311" s="7" t="s">
        <v>105</v>
      </c>
      <c r="Q1311" s="7" t="s">
        <v>31</v>
      </c>
    </row>
    <row r="1312" spans="1:17" s="7" customFormat="1" x14ac:dyDescent="0.35">
      <c r="A1312" s="7">
        <v>78</v>
      </c>
      <c r="B1312" s="7" t="s">
        <v>1922</v>
      </c>
      <c r="C1312" s="7">
        <v>2019</v>
      </c>
      <c r="D1312" s="7" t="s">
        <v>1923</v>
      </c>
      <c r="E1312" s="8" t="s">
        <v>1959</v>
      </c>
      <c r="F1312" s="7" t="s">
        <v>1925</v>
      </c>
      <c r="G1312" s="7" t="s">
        <v>86</v>
      </c>
      <c r="H1312" s="4" t="s">
        <v>1960</v>
      </c>
      <c r="I1312" s="4">
        <v>47.330880000000001</v>
      </c>
      <c r="J1312" s="4">
        <v>-79.449572000000003</v>
      </c>
      <c r="K1312" s="7" t="s">
        <v>1910</v>
      </c>
      <c r="L1312" s="7" t="s">
        <v>223</v>
      </c>
      <c r="N1312" s="7" t="s">
        <v>105</v>
      </c>
      <c r="O1312" s="7" t="s">
        <v>31</v>
      </c>
      <c r="P1312" s="7" t="s">
        <v>105</v>
      </c>
      <c r="Q1312" s="7" t="s">
        <v>31</v>
      </c>
    </row>
    <row r="1313" spans="1:18" s="7" customFormat="1" x14ac:dyDescent="0.35">
      <c r="A1313" s="7">
        <v>78</v>
      </c>
      <c r="B1313" s="7" t="s">
        <v>1922</v>
      </c>
      <c r="C1313" s="7">
        <v>2019</v>
      </c>
      <c r="D1313" s="7" t="s">
        <v>1923</v>
      </c>
      <c r="E1313" s="8" t="s">
        <v>1961</v>
      </c>
      <c r="F1313" s="7" t="s">
        <v>1925</v>
      </c>
      <c r="G1313" s="7" t="s">
        <v>86</v>
      </c>
      <c r="H1313" s="4" t="s">
        <v>1962</v>
      </c>
      <c r="I1313" s="4">
        <v>47.309360499999997</v>
      </c>
      <c r="J1313" s="4">
        <v>-79.483870999999994</v>
      </c>
      <c r="K1313" s="7" t="s">
        <v>1910</v>
      </c>
      <c r="L1313" s="7" t="s">
        <v>223</v>
      </c>
      <c r="N1313" s="7" t="s">
        <v>105</v>
      </c>
      <c r="O1313" s="7" t="s">
        <v>31</v>
      </c>
      <c r="P1313" s="7" t="s">
        <v>105</v>
      </c>
      <c r="Q1313" s="7" t="s">
        <v>31</v>
      </c>
    </row>
    <row r="1314" spans="1:18" s="7" customFormat="1" x14ac:dyDescent="0.35">
      <c r="A1314" s="7">
        <v>78</v>
      </c>
      <c r="B1314" s="7" t="s">
        <v>1922</v>
      </c>
      <c r="C1314" s="7">
        <v>2019</v>
      </c>
      <c r="D1314" s="7" t="s">
        <v>1923</v>
      </c>
      <c r="E1314" s="8" t="s">
        <v>1961</v>
      </c>
      <c r="F1314" s="7" t="s">
        <v>1925</v>
      </c>
      <c r="G1314" s="7" t="s">
        <v>86</v>
      </c>
      <c r="H1314" s="4" t="s">
        <v>1963</v>
      </c>
      <c r="I1314" s="4">
        <v>45.366573699999996</v>
      </c>
      <c r="J1314" s="4">
        <v>-75.886998000000006</v>
      </c>
      <c r="K1314" s="7" t="s">
        <v>1910</v>
      </c>
      <c r="L1314" s="7" t="s">
        <v>223</v>
      </c>
      <c r="N1314" s="7" t="s">
        <v>105</v>
      </c>
      <c r="O1314" s="7" t="s">
        <v>31</v>
      </c>
      <c r="P1314" s="7" t="s">
        <v>105</v>
      </c>
      <c r="Q1314" s="7" t="s">
        <v>31</v>
      </c>
    </row>
    <row r="1315" spans="1:18" s="7" customFormat="1" x14ac:dyDescent="0.35">
      <c r="A1315" s="7">
        <v>78</v>
      </c>
      <c r="B1315" s="7" t="s">
        <v>1922</v>
      </c>
      <c r="C1315" s="7">
        <v>2019</v>
      </c>
      <c r="D1315" s="7" t="s">
        <v>1923</v>
      </c>
      <c r="E1315" s="8" t="s">
        <v>1961</v>
      </c>
      <c r="F1315" s="7" t="s">
        <v>1925</v>
      </c>
      <c r="G1315" s="7" t="s">
        <v>86</v>
      </c>
      <c r="H1315" s="4" t="s">
        <v>1964</v>
      </c>
      <c r="I1315" s="4">
        <v>45.370634600000002</v>
      </c>
      <c r="J1315" s="4">
        <v>-75.893862999999996</v>
      </c>
      <c r="K1315" s="7" t="s">
        <v>1910</v>
      </c>
      <c r="L1315" s="7" t="s">
        <v>223</v>
      </c>
      <c r="N1315" s="7" t="s">
        <v>105</v>
      </c>
      <c r="O1315" s="7" t="s">
        <v>31</v>
      </c>
      <c r="P1315" s="7" t="s">
        <v>105</v>
      </c>
      <c r="Q1315" s="7" t="s">
        <v>31</v>
      </c>
    </row>
    <row r="1316" spans="1:18" s="7" customFormat="1" x14ac:dyDescent="0.35">
      <c r="A1316" s="7">
        <v>78</v>
      </c>
      <c r="B1316" s="7" t="s">
        <v>1922</v>
      </c>
      <c r="C1316" s="7">
        <v>2019</v>
      </c>
      <c r="D1316" s="7" t="s">
        <v>1923</v>
      </c>
      <c r="E1316" s="8" t="s">
        <v>1961</v>
      </c>
      <c r="F1316" s="7" t="s">
        <v>1925</v>
      </c>
      <c r="G1316" s="7" t="s">
        <v>86</v>
      </c>
      <c r="H1316" s="4" t="s">
        <v>1965</v>
      </c>
      <c r="I1316" s="4">
        <v>45.539847000000002</v>
      </c>
      <c r="J1316" s="4">
        <v>-77.100430000000003</v>
      </c>
      <c r="K1316" s="7" t="s">
        <v>1910</v>
      </c>
      <c r="L1316" s="7" t="s">
        <v>223</v>
      </c>
      <c r="N1316" s="7" t="s">
        <v>105</v>
      </c>
      <c r="O1316" s="7" t="s">
        <v>31</v>
      </c>
      <c r="P1316" s="7" t="s">
        <v>105</v>
      </c>
      <c r="Q1316" s="7" t="s">
        <v>31</v>
      </c>
    </row>
    <row r="1317" spans="1:18" s="7" customFormat="1" x14ac:dyDescent="0.35">
      <c r="A1317" s="7">
        <v>78</v>
      </c>
      <c r="B1317" s="7" t="s">
        <v>1922</v>
      </c>
      <c r="C1317" s="7">
        <v>2019</v>
      </c>
      <c r="D1317" s="7" t="s">
        <v>1923</v>
      </c>
      <c r="E1317" s="8" t="s">
        <v>1961</v>
      </c>
      <c r="F1317" s="7" t="s">
        <v>1925</v>
      </c>
      <c r="G1317" s="7" t="s">
        <v>86</v>
      </c>
      <c r="H1317" s="4" t="s">
        <v>1966</v>
      </c>
      <c r="I1317" s="4">
        <v>45.518915800000002</v>
      </c>
      <c r="J1317" s="4">
        <v>-76.557220000000001</v>
      </c>
      <c r="K1317" s="7" t="s">
        <v>1910</v>
      </c>
      <c r="L1317" s="7" t="s">
        <v>223</v>
      </c>
      <c r="N1317" s="7" t="s">
        <v>105</v>
      </c>
      <c r="O1317" s="7" t="s">
        <v>31</v>
      </c>
      <c r="P1317" s="7" t="s">
        <v>105</v>
      </c>
      <c r="Q1317" s="7" t="s">
        <v>31</v>
      </c>
    </row>
    <row r="1318" spans="1:18" x14ac:dyDescent="0.35">
      <c r="A1318" s="12">
        <v>79</v>
      </c>
      <c r="B1318" s="12" t="s">
        <v>1967</v>
      </c>
      <c r="C1318" s="12">
        <v>2026</v>
      </c>
      <c r="D1318" s="12" t="s">
        <v>1968</v>
      </c>
      <c r="E1318" s="22" t="s">
        <v>1969</v>
      </c>
      <c r="F1318" s="12" t="s">
        <v>1970</v>
      </c>
      <c r="G1318" s="12" t="s">
        <v>86</v>
      </c>
      <c r="H1318" s="12" t="s">
        <v>1971</v>
      </c>
      <c r="I1318" s="15">
        <v>45.379829999999998</v>
      </c>
      <c r="J1318" s="12">
        <v>-79.135418000000001</v>
      </c>
      <c r="K1318" s="12" t="s">
        <v>41</v>
      </c>
      <c r="L1318" s="12" t="s">
        <v>28</v>
      </c>
      <c r="N1318" s="12" t="s">
        <v>115</v>
      </c>
      <c r="O1318" s="12" t="s">
        <v>31</v>
      </c>
      <c r="P1318" s="12" t="s">
        <v>115</v>
      </c>
      <c r="Q1318" s="12" t="s">
        <v>31</v>
      </c>
      <c r="R1318" s="12" t="s">
        <v>1973</v>
      </c>
    </row>
    <row r="1319" spans="1:18" x14ac:dyDescent="0.35">
      <c r="A1319" s="12">
        <v>79</v>
      </c>
      <c r="B1319" s="12" t="s">
        <v>1967</v>
      </c>
      <c r="C1319" s="12">
        <v>2026</v>
      </c>
      <c r="D1319" s="12" t="s">
        <v>1968</v>
      </c>
      <c r="E1319" s="22" t="s">
        <v>1969</v>
      </c>
      <c r="F1319" s="12" t="s">
        <v>1970</v>
      </c>
      <c r="G1319" s="12" t="s">
        <v>86</v>
      </c>
      <c r="H1319" s="12" t="s">
        <v>1971</v>
      </c>
      <c r="I1319" s="15">
        <v>45.380116999999998</v>
      </c>
      <c r="J1319" s="12">
        <v>-79.138615000000001</v>
      </c>
      <c r="K1319" s="12" t="s">
        <v>41</v>
      </c>
      <c r="L1319" s="12" t="s">
        <v>28</v>
      </c>
      <c r="N1319" s="12" t="s">
        <v>115</v>
      </c>
      <c r="O1319" s="12" t="s">
        <v>31</v>
      </c>
      <c r="P1319" s="12" t="s">
        <v>115</v>
      </c>
      <c r="Q1319" s="12" t="s">
        <v>31</v>
      </c>
      <c r="R1319" s="12" t="s">
        <v>1974</v>
      </c>
    </row>
    <row r="1320" spans="1:18" x14ac:dyDescent="0.35">
      <c r="A1320" s="12">
        <v>79</v>
      </c>
      <c r="B1320" s="12" t="s">
        <v>1967</v>
      </c>
      <c r="C1320" s="12">
        <v>2026</v>
      </c>
      <c r="D1320" s="12" t="s">
        <v>1968</v>
      </c>
      <c r="E1320" s="22" t="s">
        <v>1969</v>
      </c>
      <c r="F1320" s="12" t="s">
        <v>1970</v>
      </c>
      <c r="G1320" s="12" t="s">
        <v>86</v>
      </c>
      <c r="H1320" s="12" t="s">
        <v>1971</v>
      </c>
      <c r="I1320" s="15">
        <v>45.379716000000002</v>
      </c>
      <c r="J1320" s="12">
        <v>-79.131608999999997</v>
      </c>
      <c r="K1320" s="12" t="s">
        <v>41</v>
      </c>
      <c r="L1320" s="12" t="s">
        <v>28</v>
      </c>
      <c r="N1320" s="12" t="s">
        <v>115</v>
      </c>
      <c r="O1320" s="12" t="s">
        <v>31</v>
      </c>
      <c r="P1320" s="12" t="s">
        <v>115</v>
      </c>
      <c r="Q1320" s="12" t="s">
        <v>31</v>
      </c>
      <c r="R1320" s="12" t="s">
        <v>1975</v>
      </c>
    </row>
    <row r="1321" spans="1:18" x14ac:dyDescent="0.35">
      <c r="A1321" s="12">
        <v>79</v>
      </c>
      <c r="B1321" s="12" t="s">
        <v>1967</v>
      </c>
      <c r="C1321" s="12">
        <v>2026</v>
      </c>
      <c r="D1321" s="12" t="s">
        <v>1968</v>
      </c>
      <c r="E1321" s="22" t="s">
        <v>1969</v>
      </c>
      <c r="F1321" s="12" t="s">
        <v>1970</v>
      </c>
      <c r="G1321" s="12" t="s">
        <v>86</v>
      </c>
      <c r="H1321" s="12" t="s">
        <v>1971</v>
      </c>
      <c r="I1321" s="15"/>
      <c r="K1321" s="12" t="s">
        <v>27</v>
      </c>
      <c r="L1321" s="12" t="s">
        <v>28</v>
      </c>
      <c r="N1321" s="12" t="s">
        <v>115</v>
      </c>
      <c r="O1321" s="12" t="s">
        <v>31</v>
      </c>
      <c r="P1321" s="12" t="s">
        <v>115</v>
      </c>
      <c r="Q1321" s="12" t="s">
        <v>31</v>
      </c>
      <c r="R1321" s="12" t="s">
        <v>1976</v>
      </c>
    </row>
    <row r="1322" spans="1:18" x14ac:dyDescent="0.35">
      <c r="A1322" s="12">
        <v>79</v>
      </c>
      <c r="B1322" s="12" t="s">
        <v>1967</v>
      </c>
      <c r="C1322" s="12">
        <v>2026</v>
      </c>
      <c r="D1322" s="12" t="s">
        <v>1968</v>
      </c>
      <c r="E1322" s="22" t="s">
        <v>1969</v>
      </c>
      <c r="F1322" s="12" t="s">
        <v>1970</v>
      </c>
      <c r="G1322" s="12" t="s">
        <v>86</v>
      </c>
      <c r="H1322" s="12" t="s">
        <v>1971</v>
      </c>
      <c r="I1322" s="15"/>
      <c r="K1322" s="12" t="s">
        <v>514</v>
      </c>
      <c r="L1322" s="12" t="s">
        <v>28</v>
      </c>
      <c r="N1322" s="12" t="s">
        <v>115</v>
      </c>
      <c r="O1322" s="12" t="s">
        <v>31</v>
      </c>
      <c r="P1322" s="12" t="s">
        <v>115</v>
      </c>
      <c r="Q1322" s="12" t="s">
        <v>31</v>
      </c>
      <c r="R1322" s="12" t="s">
        <v>1977</v>
      </c>
    </row>
    <row r="1323" spans="1:18" x14ac:dyDescent="0.35">
      <c r="A1323" s="12">
        <v>79</v>
      </c>
      <c r="B1323" s="12" t="s">
        <v>1967</v>
      </c>
      <c r="C1323" s="12">
        <v>2026</v>
      </c>
      <c r="D1323" s="12" t="s">
        <v>1968</v>
      </c>
      <c r="E1323" s="22" t="s">
        <v>1969</v>
      </c>
      <c r="F1323" s="12" t="s">
        <v>1970</v>
      </c>
      <c r="G1323" s="12" t="s">
        <v>86</v>
      </c>
      <c r="H1323" s="12" t="s">
        <v>1971</v>
      </c>
      <c r="I1323" s="15"/>
      <c r="K1323" s="12" t="s">
        <v>514</v>
      </c>
      <c r="L1323" s="12" t="s">
        <v>28</v>
      </c>
      <c r="N1323" s="12" t="s">
        <v>115</v>
      </c>
      <c r="O1323" s="12" t="s">
        <v>31</v>
      </c>
      <c r="P1323" s="12" t="s">
        <v>115</v>
      </c>
      <c r="Q1323" s="12" t="s">
        <v>31</v>
      </c>
      <c r="R1323" s="12" t="s">
        <v>1978</v>
      </c>
    </row>
    <row r="1324" spans="1:18" x14ac:dyDescent="0.35">
      <c r="A1324" s="12">
        <v>80</v>
      </c>
      <c r="B1324" s="12" t="s">
        <v>1979</v>
      </c>
      <c r="C1324" s="12">
        <v>2021</v>
      </c>
      <c r="D1324" s="15" t="s">
        <v>1010</v>
      </c>
      <c r="E1324" s="22" t="s">
        <v>1980</v>
      </c>
      <c r="F1324" s="12" t="s">
        <v>1981</v>
      </c>
      <c r="G1324" s="12" t="s">
        <v>25</v>
      </c>
      <c r="H1324" s="12" t="s">
        <v>1982</v>
      </c>
      <c r="I1324" s="12">
        <v>67.1525915</v>
      </c>
      <c r="J1324" s="12">
        <v>-62.5924823</v>
      </c>
      <c r="K1324" s="12" t="s">
        <v>41</v>
      </c>
      <c r="L1324" s="12" t="s">
        <v>42</v>
      </c>
      <c r="M1324" s="12" t="s">
        <v>1983</v>
      </c>
      <c r="N1324" s="12" t="s">
        <v>1984</v>
      </c>
      <c r="O1324" s="12" t="s">
        <v>31</v>
      </c>
      <c r="P1324" s="12" t="s">
        <v>1984</v>
      </c>
      <c r="Q1324" s="12" t="s">
        <v>31</v>
      </c>
      <c r="R1324" s="12" t="s">
        <v>1985</v>
      </c>
    </row>
    <row r="1325" spans="1:18" x14ac:dyDescent="0.35">
      <c r="A1325" s="12">
        <v>80</v>
      </c>
      <c r="B1325" s="12" t="s">
        <v>1979</v>
      </c>
      <c r="C1325" s="12">
        <v>2021</v>
      </c>
      <c r="D1325" s="15" t="s">
        <v>1010</v>
      </c>
      <c r="E1325" s="22" t="s">
        <v>1980</v>
      </c>
      <c r="F1325" s="12" t="s">
        <v>1981</v>
      </c>
      <c r="G1325" s="12" t="s">
        <v>25</v>
      </c>
      <c r="H1325" s="12" t="s">
        <v>1982</v>
      </c>
      <c r="I1325" s="12" t="s">
        <v>1986</v>
      </c>
      <c r="J1325" s="12">
        <v>-62.620441399999997</v>
      </c>
      <c r="K1325" s="12" t="s">
        <v>41</v>
      </c>
      <c r="L1325" s="12" t="s">
        <v>42</v>
      </c>
      <c r="M1325" s="12" t="s">
        <v>1983</v>
      </c>
      <c r="N1325" s="12" t="s">
        <v>1984</v>
      </c>
      <c r="O1325" s="12" t="s">
        <v>31</v>
      </c>
      <c r="P1325" s="12" t="s">
        <v>1984</v>
      </c>
      <c r="Q1325" s="12" t="s">
        <v>31</v>
      </c>
    </row>
    <row r="1326" spans="1:18" x14ac:dyDescent="0.35">
      <c r="A1326" s="12">
        <v>80</v>
      </c>
      <c r="B1326" s="12" t="s">
        <v>1979</v>
      </c>
      <c r="C1326" s="12">
        <v>2021</v>
      </c>
      <c r="D1326" s="15" t="s">
        <v>1010</v>
      </c>
      <c r="E1326" s="22" t="s">
        <v>1980</v>
      </c>
      <c r="F1326" s="12" t="s">
        <v>1981</v>
      </c>
      <c r="G1326" s="12" t="s">
        <v>25</v>
      </c>
      <c r="H1326" s="12" t="s">
        <v>1982</v>
      </c>
      <c r="I1326" s="12">
        <v>67.167243900000003</v>
      </c>
      <c r="J1326" s="12">
        <v>-62.623271500000001</v>
      </c>
      <c r="K1326" s="12" t="s">
        <v>41</v>
      </c>
      <c r="L1326" s="12" t="s">
        <v>42</v>
      </c>
      <c r="M1326" s="12" t="s">
        <v>1983</v>
      </c>
      <c r="N1326" s="12" t="s">
        <v>1984</v>
      </c>
      <c r="O1326" s="12" t="s">
        <v>31</v>
      </c>
      <c r="P1326" s="12" t="s">
        <v>1984</v>
      </c>
      <c r="Q1326" s="12" t="s">
        <v>31</v>
      </c>
    </row>
    <row r="1327" spans="1:18" x14ac:dyDescent="0.35">
      <c r="A1327" s="12">
        <v>80</v>
      </c>
      <c r="B1327" s="12" t="s">
        <v>1979</v>
      </c>
      <c r="C1327" s="12">
        <v>2021</v>
      </c>
      <c r="D1327" s="15" t="s">
        <v>1010</v>
      </c>
      <c r="E1327" s="22" t="s">
        <v>1980</v>
      </c>
      <c r="F1327" s="12" t="s">
        <v>1981</v>
      </c>
      <c r="G1327" s="12" t="s">
        <v>25</v>
      </c>
      <c r="H1327" s="12" t="s">
        <v>1982</v>
      </c>
      <c r="I1327" s="12">
        <v>67.174501300000003</v>
      </c>
      <c r="J1327" s="12">
        <v>-62.609789300000003</v>
      </c>
      <c r="K1327" s="12" t="s">
        <v>41</v>
      </c>
      <c r="L1327" s="12" t="s">
        <v>42</v>
      </c>
      <c r="M1327" s="12" t="s">
        <v>1983</v>
      </c>
      <c r="N1327" s="12" t="s">
        <v>1984</v>
      </c>
      <c r="O1327" s="12" t="s">
        <v>31</v>
      </c>
      <c r="P1327" s="12" t="s">
        <v>1984</v>
      </c>
      <c r="Q1327" s="12" t="s">
        <v>31</v>
      </c>
    </row>
    <row r="1328" spans="1:18" x14ac:dyDescent="0.35">
      <c r="A1328" s="12">
        <v>80</v>
      </c>
      <c r="B1328" s="12" t="s">
        <v>1979</v>
      </c>
      <c r="C1328" s="12">
        <v>2021</v>
      </c>
      <c r="D1328" s="15" t="s">
        <v>1010</v>
      </c>
      <c r="E1328" s="22" t="s">
        <v>1980</v>
      </c>
      <c r="F1328" s="12" t="s">
        <v>1981</v>
      </c>
      <c r="G1328" s="12" t="s">
        <v>25</v>
      </c>
      <c r="H1328" s="12" t="s">
        <v>1982</v>
      </c>
      <c r="I1328" s="12">
        <v>67.1789244</v>
      </c>
      <c r="J1328" s="12">
        <v>-62.582690100000001</v>
      </c>
      <c r="K1328" s="12" t="s">
        <v>41</v>
      </c>
      <c r="L1328" s="12" t="s">
        <v>42</v>
      </c>
      <c r="M1328" s="12" t="s">
        <v>1983</v>
      </c>
      <c r="N1328" s="12" t="s">
        <v>1984</v>
      </c>
      <c r="O1328" s="12" t="s">
        <v>31</v>
      </c>
      <c r="P1328" s="12" t="s">
        <v>1984</v>
      </c>
      <c r="Q1328" s="12" t="s">
        <v>31</v>
      </c>
    </row>
    <row r="1329" spans="1:18" x14ac:dyDescent="0.35">
      <c r="A1329" s="12">
        <v>80</v>
      </c>
      <c r="B1329" s="12" t="s">
        <v>1979</v>
      </c>
      <c r="C1329" s="12">
        <v>2021</v>
      </c>
      <c r="D1329" s="15" t="s">
        <v>1010</v>
      </c>
      <c r="E1329" s="22" t="s">
        <v>1980</v>
      </c>
      <c r="F1329" s="12" t="s">
        <v>1981</v>
      </c>
      <c r="G1329" s="12" t="s">
        <v>25</v>
      </c>
      <c r="H1329" s="12" t="s">
        <v>1982</v>
      </c>
      <c r="I1329" s="12">
        <v>67.192351700000003</v>
      </c>
      <c r="J1329" s="12">
        <v>-62.592906999999997</v>
      </c>
      <c r="K1329" s="12" t="s">
        <v>41</v>
      </c>
      <c r="L1329" s="12" t="s">
        <v>42</v>
      </c>
      <c r="M1329" s="12" t="s">
        <v>1983</v>
      </c>
      <c r="N1329" s="12" t="s">
        <v>1984</v>
      </c>
      <c r="O1329" s="12" t="s">
        <v>31</v>
      </c>
      <c r="P1329" s="12" t="s">
        <v>1984</v>
      </c>
      <c r="Q1329" s="12" t="s">
        <v>31</v>
      </c>
    </row>
    <row r="1330" spans="1:18" x14ac:dyDescent="0.35">
      <c r="A1330" s="12">
        <v>80</v>
      </c>
      <c r="B1330" s="12" t="s">
        <v>1979</v>
      </c>
      <c r="C1330" s="12">
        <v>2021</v>
      </c>
      <c r="D1330" s="15" t="s">
        <v>1010</v>
      </c>
      <c r="E1330" s="22" t="s">
        <v>1980</v>
      </c>
      <c r="F1330" s="12" t="s">
        <v>1981</v>
      </c>
      <c r="G1330" s="12" t="s">
        <v>25</v>
      </c>
      <c r="H1330" s="12" t="s">
        <v>1982</v>
      </c>
      <c r="I1330" s="12">
        <v>67.198837900000001</v>
      </c>
      <c r="J1330" s="12">
        <v>-62.551456399999999</v>
      </c>
      <c r="K1330" s="12" t="s">
        <v>41</v>
      </c>
      <c r="L1330" s="12" t="s">
        <v>42</v>
      </c>
      <c r="M1330" s="12" t="s">
        <v>1983</v>
      </c>
      <c r="N1330" s="12" t="s">
        <v>1984</v>
      </c>
      <c r="O1330" s="12" t="s">
        <v>31</v>
      </c>
      <c r="P1330" s="12" t="s">
        <v>1984</v>
      </c>
      <c r="Q1330" s="12" t="s">
        <v>31</v>
      </c>
    </row>
    <row r="1331" spans="1:18" x14ac:dyDescent="0.35">
      <c r="A1331" s="12">
        <v>80</v>
      </c>
      <c r="B1331" s="12" t="s">
        <v>1979</v>
      </c>
      <c r="C1331" s="12">
        <v>2021</v>
      </c>
      <c r="D1331" s="15" t="s">
        <v>1010</v>
      </c>
      <c r="E1331" s="22" t="s">
        <v>1980</v>
      </c>
      <c r="F1331" s="12" t="s">
        <v>1981</v>
      </c>
      <c r="G1331" s="12" t="s">
        <v>25</v>
      </c>
      <c r="H1331" s="12" t="s">
        <v>1982</v>
      </c>
      <c r="I1331" s="12">
        <v>67.202637800000005</v>
      </c>
      <c r="J1331" s="12">
        <v>-62.5199061</v>
      </c>
      <c r="K1331" s="12" t="s">
        <v>41</v>
      </c>
      <c r="L1331" s="12" t="s">
        <v>42</v>
      </c>
      <c r="M1331" s="12" t="s">
        <v>1983</v>
      </c>
      <c r="N1331" s="12" t="s">
        <v>1984</v>
      </c>
      <c r="O1331" s="12" t="s">
        <v>31</v>
      </c>
      <c r="P1331" s="12" t="s">
        <v>1984</v>
      </c>
      <c r="Q1331" s="12" t="s">
        <v>31</v>
      </c>
    </row>
    <row r="1332" spans="1:18" x14ac:dyDescent="0.35">
      <c r="A1332" s="12">
        <v>80</v>
      </c>
      <c r="B1332" s="12" t="s">
        <v>1979</v>
      </c>
      <c r="C1332" s="12">
        <v>2021</v>
      </c>
      <c r="D1332" s="15" t="s">
        <v>1010</v>
      </c>
      <c r="E1332" s="22" t="s">
        <v>1980</v>
      </c>
      <c r="F1332" s="12" t="s">
        <v>1981</v>
      </c>
      <c r="G1332" s="12" t="s">
        <v>25</v>
      </c>
      <c r="H1332" s="12" t="s">
        <v>1982</v>
      </c>
      <c r="I1332" s="15">
        <v>67.208524299999993</v>
      </c>
      <c r="J1332" s="12">
        <v>-62.507850900000001</v>
      </c>
      <c r="K1332" s="12" t="s">
        <v>41</v>
      </c>
      <c r="L1332" s="12" t="s">
        <v>42</v>
      </c>
      <c r="M1332" s="12" t="s">
        <v>1983</v>
      </c>
      <c r="N1332" s="12" t="s">
        <v>1984</v>
      </c>
      <c r="O1332" s="12" t="s">
        <v>31</v>
      </c>
      <c r="P1332" s="12" t="s">
        <v>1984</v>
      </c>
      <c r="Q1332" s="12" t="s">
        <v>31</v>
      </c>
    </row>
    <row r="1333" spans="1:18" x14ac:dyDescent="0.35">
      <c r="A1333" s="12">
        <v>80</v>
      </c>
      <c r="B1333" s="12" t="s">
        <v>1979</v>
      </c>
      <c r="C1333" s="12">
        <v>2021</v>
      </c>
      <c r="D1333" s="15" t="s">
        <v>1010</v>
      </c>
      <c r="E1333" s="22" t="s">
        <v>1980</v>
      </c>
      <c r="F1333" s="12" t="s">
        <v>1981</v>
      </c>
      <c r="G1333" s="12" t="s">
        <v>25</v>
      </c>
      <c r="H1333" s="12" t="s">
        <v>1982</v>
      </c>
      <c r="I1333" s="15">
        <v>67.216906699999996</v>
      </c>
      <c r="J1333" s="12">
        <v>-62.4943308</v>
      </c>
      <c r="K1333" s="12" t="s">
        <v>41</v>
      </c>
      <c r="L1333" s="12" t="s">
        <v>42</v>
      </c>
      <c r="M1333" s="12" t="s">
        <v>1983</v>
      </c>
      <c r="N1333" s="12" t="s">
        <v>1984</v>
      </c>
      <c r="O1333" s="12" t="s">
        <v>31</v>
      </c>
      <c r="P1333" s="12" t="s">
        <v>1984</v>
      </c>
      <c r="Q1333" s="12" t="s">
        <v>31</v>
      </c>
    </row>
    <row r="1334" spans="1:18" x14ac:dyDescent="0.35">
      <c r="A1334" s="12">
        <v>80</v>
      </c>
      <c r="B1334" s="12" t="s">
        <v>1979</v>
      </c>
      <c r="C1334" s="12">
        <v>2021</v>
      </c>
      <c r="D1334" s="15" t="s">
        <v>1010</v>
      </c>
      <c r="E1334" s="22" t="s">
        <v>1980</v>
      </c>
      <c r="F1334" s="12" t="s">
        <v>1981</v>
      </c>
      <c r="G1334" s="12" t="s">
        <v>25</v>
      </c>
      <c r="H1334" s="12" t="s">
        <v>1982</v>
      </c>
      <c r="I1334" s="15">
        <v>67.222819799999996</v>
      </c>
      <c r="J1334" s="12">
        <v>-62.473850200000001</v>
      </c>
      <c r="K1334" s="12" t="s">
        <v>41</v>
      </c>
      <c r="L1334" s="12" t="s">
        <v>42</v>
      </c>
      <c r="M1334" s="12" t="s">
        <v>1983</v>
      </c>
      <c r="N1334" s="12" t="s">
        <v>1984</v>
      </c>
      <c r="O1334" s="12" t="s">
        <v>31</v>
      </c>
      <c r="P1334" s="12" t="s">
        <v>1984</v>
      </c>
      <c r="Q1334" s="12" t="s">
        <v>31</v>
      </c>
    </row>
    <row r="1335" spans="1:18" s="7" customFormat="1" x14ac:dyDescent="0.35">
      <c r="A1335" s="7">
        <v>80</v>
      </c>
      <c r="B1335" s="7" t="s">
        <v>1979</v>
      </c>
      <c r="C1335" s="7">
        <v>2021</v>
      </c>
      <c r="D1335" s="69" t="s">
        <v>1010</v>
      </c>
      <c r="E1335" s="50" t="s">
        <v>1980</v>
      </c>
      <c r="F1335" s="7" t="s">
        <v>1981</v>
      </c>
      <c r="G1335" s="7" t="s">
        <v>25</v>
      </c>
      <c r="H1335" s="7" t="s">
        <v>1982</v>
      </c>
      <c r="I1335" s="7">
        <v>67.1525915</v>
      </c>
      <c r="J1335" s="7">
        <v>-62.5924823</v>
      </c>
      <c r="K1335" s="7" t="s">
        <v>138</v>
      </c>
      <c r="L1335" s="7" t="s">
        <v>42</v>
      </c>
      <c r="M1335" s="7" t="s">
        <v>1987</v>
      </c>
      <c r="N1335" s="7" t="s">
        <v>1984</v>
      </c>
      <c r="O1335" s="7" t="s">
        <v>31</v>
      </c>
      <c r="P1335" s="7" t="s">
        <v>1984</v>
      </c>
      <c r="Q1335" s="7" t="s">
        <v>31</v>
      </c>
      <c r="R1335" s="7" t="s">
        <v>1989</v>
      </c>
    </row>
    <row r="1336" spans="1:18" s="7" customFormat="1" x14ac:dyDescent="0.35">
      <c r="A1336" s="7">
        <v>80</v>
      </c>
      <c r="B1336" s="7" t="s">
        <v>1979</v>
      </c>
      <c r="C1336" s="7">
        <v>2022</v>
      </c>
      <c r="D1336" s="69" t="s">
        <v>1010</v>
      </c>
      <c r="E1336" s="50" t="s">
        <v>1980</v>
      </c>
      <c r="F1336" s="7" t="s">
        <v>1981</v>
      </c>
      <c r="G1336" s="7" t="s">
        <v>25</v>
      </c>
      <c r="H1336" s="7" t="s">
        <v>1982</v>
      </c>
      <c r="I1336" s="7" t="s">
        <v>1986</v>
      </c>
      <c r="J1336" s="7">
        <v>-62.620441399999997</v>
      </c>
      <c r="K1336" s="7" t="s">
        <v>138</v>
      </c>
      <c r="L1336" s="7" t="s">
        <v>42</v>
      </c>
      <c r="M1336" s="7" t="s">
        <v>1987</v>
      </c>
      <c r="N1336" s="7" t="s">
        <v>1984</v>
      </c>
      <c r="O1336" s="7" t="s">
        <v>31</v>
      </c>
      <c r="P1336" s="7" t="s">
        <v>1984</v>
      </c>
      <c r="Q1336" s="7" t="s">
        <v>31</v>
      </c>
    </row>
    <row r="1337" spans="1:18" s="7" customFormat="1" x14ac:dyDescent="0.35">
      <c r="A1337" s="7">
        <v>80</v>
      </c>
      <c r="B1337" s="7" t="s">
        <v>1979</v>
      </c>
      <c r="C1337" s="7">
        <v>2023</v>
      </c>
      <c r="D1337" s="69" t="s">
        <v>1010</v>
      </c>
      <c r="E1337" s="50" t="s">
        <v>1980</v>
      </c>
      <c r="F1337" s="7" t="s">
        <v>1981</v>
      </c>
      <c r="G1337" s="7" t="s">
        <v>25</v>
      </c>
      <c r="H1337" s="7" t="s">
        <v>1982</v>
      </c>
      <c r="I1337" s="7">
        <v>67.167243900000003</v>
      </c>
      <c r="J1337" s="7">
        <v>-62.623271500000001</v>
      </c>
      <c r="K1337" s="7" t="s">
        <v>138</v>
      </c>
      <c r="L1337" s="7" t="s">
        <v>42</v>
      </c>
      <c r="M1337" s="7" t="s">
        <v>1987</v>
      </c>
      <c r="N1337" s="7" t="s">
        <v>1984</v>
      </c>
      <c r="O1337" s="7" t="s">
        <v>31</v>
      </c>
      <c r="P1337" s="7" t="s">
        <v>1984</v>
      </c>
      <c r="Q1337" s="7" t="s">
        <v>31</v>
      </c>
    </row>
    <row r="1338" spans="1:18" s="7" customFormat="1" x14ac:dyDescent="0.35">
      <c r="A1338" s="7">
        <v>80</v>
      </c>
      <c r="B1338" s="7" t="s">
        <v>1979</v>
      </c>
      <c r="C1338" s="7">
        <v>2024</v>
      </c>
      <c r="D1338" s="69" t="s">
        <v>1010</v>
      </c>
      <c r="E1338" s="50" t="s">
        <v>1980</v>
      </c>
      <c r="F1338" s="7" t="s">
        <v>1981</v>
      </c>
      <c r="G1338" s="7" t="s">
        <v>25</v>
      </c>
      <c r="H1338" s="7" t="s">
        <v>1982</v>
      </c>
      <c r="I1338" s="7">
        <v>67.174501300000003</v>
      </c>
      <c r="J1338" s="7">
        <v>-62.609789300000003</v>
      </c>
      <c r="K1338" s="7" t="s">
        <v>138</v>
      </c>
      <c r="L1338" s="7" t="s">
        <v>42</v>
      </c>
      <c r="M1338" s="7" t="s">
        <v>1987</v>
      </c>
      <c r="N1338" s="7" t="s">
        <v>1984</v>
      </c>
      <c r="O1338" s="7" t="s">
        <v>31</v>
      </c>
      <c r="P1338" s="7" t="s">
        <v>1984</v>
      </c>
      <c r="Q1338" s="7" t="s">
        <v>31</v>
      </c>
    </row>
    <row r="1339" spans="1:18" s="7" customFormat="1" x14ac:dyDescent="0.35">
      <c r="A1339" s="7">
        <v>80</v>
      </c>
      <c r="B1339" s="7" t="s">
        <v>1979</v>
      </c>
      <c r="C1339" s="7">
        <v>2025</v>
      </c>
      <c r="D1339" s="69" t="s">
        <v>1010</v>
      </c>
      <c r="E1339" s="50" t="s">
        <v>1980</v>
      </c>
      <c r="F1339" s="7" t="s">
        <v>1981</v>
      </c>
      <c r="G1339" s="7" t="s">
        <v>25</v>
      </c>
      <c r="H1339" s="7" t="s">
        <v>1982</v>
      </c>
      <c r="I1339" s="7">
        <v>67.1789244</v>
      </c>
      <c r="J1339" s="7">
        <v>-62.582690100000001</v>
      </c>
      <c r="K1339" s="7" t="s">
        <v>138</v>
      </c>
      <c r="L1339" s="7" t="s">
        <v>42</v>
      </c>
      <c r="M1339" s="7" t="s">
        <v>1987</v>
      </c>
      <c r="N1339" s="7" t="s">
        <v>1984</v>
      </c>
      <c r="O1339" s="7" t="s">
        <v>31</v>
      </c>
      <c r="P1339" s="7" t="s">
        <v>1984</v>
      </c>
      <c r="Q1339" s="7" t="s">
        <v>31</v>
      </c>
    </row>
    <row r="1340" spans="1:18" s="7" customFormat="1" x14ac:dyDescent="0.35">
      <c r="A1340" s="7">
        <v>80</v>
      </c>
      <c r="B1340" s="7" t="s">
        <v>1979</v>
      </c>
      <c r="C1340" s="7">
        <v>2026</v>
      </c>
      <c r="D1340" s="69" t="s">
        <v>1010</v>
      </c>
      <c r="E1340" s="50" t="s">
        <v>1980</v>
      </c>
      <c r="F1340" s="7" t="s">
        <v>1981</v>
      </c>
      <c r="G1340" s="7" t="s">
        <v>25</v>
      </c>
      <c r="H1340" s="7" t="s">
        <v>1982</v>
      </c>
      <c r="I1340" s="7">
        <v>67.192351700000003</v>
      </c>
      <c r="J1340" s="7">
        <v>-62.592906999999997</v>
      </c>
      <c r="K1340" s="7" t="s">
        <v>138</v>
      </c>
      <c r="L1340" s="7" t="s">
        <v>42</v>
      </c>
      <c r="M1340" s="7" t="s">
        <v>1987</v>
      </c>
      <c r="N1340" s="7" t="s">
        <v>1984</v>
      </c>
      <c r="O1340" s="7" t="s">
        <v>31</v>
      </c>
      <c r="P1340" s="7" t="s">
        <v>1984</v>
      </c>
      <c r="Q1340" s="7" t="s">
        <v>31</v>
      </c>
    </row>
    <row r="1341" spans="1:18" s="7" customFormat="1" x14ac:dyDescent="0.35">
      <c r="A1341" s="7">
        <v>80</v>
      </c>
      <c r="B1341" s="7" t="s">
        <v>1979</v>
      </c>
      <c r="C1341" s="7">
        <v>2027</v>
      </c>
      <c r="D1341" s="69" t="s">
        <v>1010</v>
      </c>
      <c r="E1341" s="50" t="s">
        <v>1980</v>
      </c>
      <c r="F1341" s="7" t="s">
        <v>1981</v>
      </c>
      <c r="G1341" s="7" t="s">
        <v>25</v>
      </c>
      <c r="H1341" s="7" t="s">
        <v>1982</v>
      </c>
      <c r="I1341" s="7">
        <v>67.198837900000001</v>
      </c>
      <c r="J1341" s="7">
        <v>-62.551456399999999</v>
      </c>
      <c r="K1341" s="7" t="s">
        <v>138</v>
      </c>
      <c r="L1341" s="7" t="s">
        <v>42</v>
      </c>
      <c r="M1341" s="7" t="s">
        <v>1987</v>
      </c>
      <c r="N1341" s="7" t="s">
        <v>1984</v>
      </c>
      <c r="O1341" s="7" t="s">
        <v>31</v>
      </c>
      <c r="P1341" s="7" t="s">
        <v>1984</v>
      </c>
      <c r="Q1341" s="7" t="s">
        <v>31</v>
      </c>
    </row>
    <row r="1342" spans="1:18" s="7" customFormat="1" x14ac:dyDescent="0.35">
      <c r="A1342" s="7">
        <v>80</v>
      </c>
      <c r="B1342" s="7" t="s">
        <v>1979</v>
      </c>
      <c r="C1342" s="7">
        <v>2028</v>
      </c>
      <c r="D1342" s="69" t="s">
        <v>1010</v>
      </c>
      <c r="E1342" s="50" t="s">
        <v>1980</v>
      </c>
      <c r="F1342" s="7" t="s">
        <v>1981</v>
      </c>
      <c r="G1342" s="7" t="s">
        <v>25</v>
      </c>
      <c r="H1342" s="7" t="s">
        <v>1982</v>
      </c>
      <c r="I1342" s="7">
        <v>67.202637800000005</v>
      </c>
      <c r="J1342" s="7">
        <v>-62.5199061</v>
      </c>
      <c r="K1342" s="7" t="s">
        <v>138</v>
      </c>
      <c r="L1342" s="7" t="s">
        <v>42</v>
      </c>
      <c r="M1342" s="7" t="s">
        <v>1987</v>
      </c>
      <c r="N1342" s="7" t="s">
        <v>1984</v>
      </c>
      <c r="O1342" s="7" t="s">
        <v>31</v>
      </c>
      <c r="P1342" s="7" t="s">
        <v>1984</v>
      </c>
      <c r="Q1342" s="7" t="s">
        <v>31</v>
      </c>
    </row>
    <row r="1343" spans="1:18" s="7" customFormat="1" x14ac:dyDescent="0.35">
      <c r="A1343" s="7">
        <v>80</v>
      </c>
      <c r="B1343" s="7" t="s">
        <v>1979</v>
      </c>
      <c r="C1343" s="7">
        <v>2029</v>
      </c>
      <c r="D1343" s="69" t="s">
        <v>1010</v>
      </c>
      <c r="E1343" s="50" t="s">
        <v>1980</v>
      </c>
      <c r="F1343" s="7" t="s">
        <v>1981</v>
      </c>
      <c r="G1343" s="7" t="s">
        <v>25</v>
      </c>
      <c r="H1343" s="7" t="s">
        <v>1982</v>
      </c>
      <c r="I1343" s="69">
        <v>67.208524299999993</v>
      </c>
      <c r="J1343" s="7">
        <v>-62.507850900000001</v>
      </c>
      <c r="K1343" s="7" t="s">
        <v>138</v>
      </c>
      <c r="L1343" s="7" t="s">
        <v>42</v>
      </c>
      <c r="M1343" s="7" t="s">
        <v>1987</v>
      </c>
      <c r="N1343" s="7" t="s">
        <v>1984</v>
      </c>
      <c r="O1343" s="7" t="s">
        <v>31</v>
      </c>
      <c r="P1343" s="7" t="s">
        <v>1984</v>
      </c>
      <c r="Q1343" s="7" t="s">
        <v>31</v>
      </c>
    </row>
    <row r="1344" spans="1:18" s="7" customFormat="1" x14ac:dyDescent="0.35">
      <c r="A1344" s="7">
        <v>80</v>
      </c>
      <c r="B1344" s="7" t="s">
        <v>1979</v>
      </c>
      <c r="C1344" s="7">
        <v>2030</v>
      </c>
      <c r="D1344" s="69" t="s">
        <v>1010</v>
      </c>
      <c r="E1344" s="50" t="s">
        <v>1980</v>
      </c>
      <c r="F1344" s="7" t="s">
        <v>1981</v>
      </c>
      <c r="G1344" s="7" t="s">
        <v>25</v>
      </c>
      <c r="H1344" s="7" t="s">
        <v>1982</v>
      </c>
      <c r="I1344" s="69">
        <v>67.216906699999996</v>
      </c>
      <c r="J1344" s="7">
        <v>-62.4943308</v>
      </c>
      <c r="K1344" s="7" t="s">
        <v>138</v>
      </c>
      <c r="L1344" s="7" t="s">
        <v>42</v>
      </c>
      <c r="M1344" s="7" t="s">
        <v>1987</v>
      </c>
      <c r="N1344" s="7" t="s">
        <v>1984</v>
      </c>
      <c r="O1344" s="7" t="s">
        <v>31</v>
      </c>
      <c r="P1344" s="7" t="s">
        <v>1984</v>
      </c>
      <c r="Q1344" s="7" t="s">
        <v>31</v>
      </c>
    </row>
    <row r="1345" spans="1:19" s="7" customFormat="1" x14ac:dyDescent="0.35">
      <c r="A1345" s="7">
        <v>80</v>
      </c>
      <c r="B1345" s="7" t="s">
        <v>1979</v>
      </c>
      <c r="C1345" s="7">
        <v>2031</v>
      </c>
      <c r="D1345" s="69" t="s">
        <v>1010</v>
      </c>
      <c r="E1345" s="50" t="s">
        <v>1980</v>
      </c>
      <c r="F1345" s="7" t="s">
        <v>1981</v>
      </c>
      <c r="G1345" s="7" t="s">
        <v>25</v>
      </c>
      <c r="H1345" s="7" t="s">
        <v>1982</v>
      </c>
      <c r="I1345" s="69">
        <v>67.222819799999996</v>
      </c>
      <c r="J1345" s="7">
        <v>-62.473850200000001</v>
      </c>
      <c r="K1345" s="7" t="s">
        <v>138</v>
      </c>
      <c r="L1345" s="7" t="s">
        <v>42</v>
      </c>
      <c r="M1345" s="7" t="s">
        <v>1987</v>
      </c>
      <c r="N1345" s="7" t="s">
        <v>1984</v>
      </c>
      <c r="O1345" s="7" t="s">
        <v>31</v>
      </c>
      <c r="P1345" s="7" t="s">
        <v>1984</v>
      </c>
      <c r="Q1345" s="7" t="s">
        <v>31</v>
      </c>
    </row>
    <row r="1346" spans="1:19" x14ac:dyDescent="0.35">
      <c r="A1346" s="12">
        <v>82</v>
      </c>
      <c r="B1346" s="12" t="s">
        <v>1990</v>
      </c>
      <c r="C1346" s="12">
        <v>2025</v>
      </c>
      <c r="D1346" s="12" t="s">
        <v>1991</v>
      </c>
      <c r="E1346" s="13" t="s">
        <v>1992</v>
      </c>
      <c r="F1346" s="12" t="s">
        <v>1993</v>
      </c>
      <c r="G1346" s="12" t="s">
        <v>86</v>
      </c>
      <c r="H1346" s="12" t="s">
        <v>1994</v>
      </c>
      <c r="I1346" s="12">
        <v>43.808190000000003</v>
      </c>
      <c r="J1346" s="12">
        <v>-79.371514000000005</v>
      </c>
      <c r="K1346" s="12" t="s">
        <v>103</v>
      </c>
      <c r="L1346" s="12" t="s">
        <v>223</v>
      </c>
      <c r="N1346" s="12" t="s">
        <v>1995</v>
      </c>
      <c r="O1346" s="12" t="s">
        <v>44</v>
      </c>
      <c r="P1346" s="12" t="s">
        <v>105</v>
      </c>
      <c r="Q1346" s="12" t="s">
        <v>31</v>
      </c>
      <c r="R1346" s="12" t="s">
        <v>1999</v>
      </c>
      <c r="S1346" s="12" t="s">
        <v>2000</v>
      </c>
    </row>
    <row r="1347" spans="1:19" x14ac:dyDescent="0.35">
      <c r="A1347" s="12">
        <v>82</v>
      </c>
      <c r="B1347" s="12" t="s">
        <v>1990</v>
      </c>
      <c r="C1347" s="12">
        <v>2025</v>
      </c>
      <c r="D1347" s="12" t="s">
        <v>1991</v>
      </c>
      <c r="E1347" s="13" t="s">
        <v>1992</v>
      </c>
      <c r="F1347" s="12" t="s">
        <v>1993</v>
      </c>
      <c r="G1347" s="12" t="s">
        <v>86</v>
      </c>
      <c r="H1347" s="12" t="s">
        <v>1994</v>
      </c>
      <c r="I1347" s="15">
        <v>43.756200999999997</v>
      </c>
      <c r="J1347" s="12">
        <v>-79.343852999999996</v>
      </c>
      <c r="K1347" s="12" t="s">
        <v>103</v>
      </c>
      <c r="L1347" s="12" t="s">
        <v>223</v>
      </c>
      <c r="N1347" s="12" t="s">
        <v>1995</v>
      </c>
      <c r="O1347" s="12" t="s">
        <v>44</v>
      </c>
      <c r="P1347" s="12" t="s">
        <v>105</v>
      </c>
      <c r="Q1347" s="12" t="s">
        <v>31</v>
      </c>
      <c r="S1347" s="12" t="s">
        <v>2002</v>
      </c>
    </row>
    <row r="1348" spans="1:19" x14ac:dyDescent="0.35">
      <c r="A1348" s="12">
        <v>82</v>
      </c>
      <c r="B1348" s="12" t="s">
        <v>1990</v>
      </c>
      <c r="C1348" s="12">
        <v>2025</v>
      </c>
      <c r="D1348" s="12" t="s">
        <v>1991</v>
      </c>
      <c r="E1348" s="13" t="s">
        <v>1992</v>
      </c>
      <c r="F1348" s="12" t="s">
        <v>1993</v>
      </c>
      <c r="G1348" s="12" t="s">
        <v>86</v>
      </c>
      <c r="H1348" s="12" t="s">
        <v>1994</v>
      </c>
      <c r="I1348" s="15">
        <v>43.701694000000003</v>
      </c>
      <c r="J1348" s="12">
        <v>-79.327909000000005</v>
      </c>
      <c r="K1348" s="12" t="s">
        <v>41</v>
      </c>
      <c r="L1348" s="12" t="s">
        <v>223</v>
      </c>
      <c r="N1348" s="12" t="s">
        <v>1995</v>
      </c>
      <c r="O1348" s="12" t="s">
        <v>44</v>
      </c>
      <c r="P1348" s="12" t="s">
        <v>105</v>
      </c>
      <c r="Q1348" s="12" t="s">
        <v>31</v>
      </c>
      <c r="R1348" s="12" t="s">
        <v>2005</v>
      </c>
      <c r="S1348" s="12" t="s">
        <v>2006</v>
      </c>
    </row>
    <row r="1349" spans="1:19" x14ac:dyDescent="0.35">
      <c r="A1349" s="12">
        <v>82</v>
      </c>
      <c r="B1349" s="12" t="s">
        <v>1990</v>
      </c>
      <c r="C1349" s="12">
        <v>2025</v>
      </c>
      <c r="D1349" s="12" t="s">
        <v>1991</v>
      </c>
      <c r="E1349" s="13" t="s">
        <v>1992</v>
      </c>
      <c r="F1349" s="12" t="s">
        <v>1993</v>
      </c>
      <c r="G1349" s="12" t="s">
        <v>86</v>
      </c>
      <c r="H1349" s="12" t="s">
        <v>1994</v>
      </c>
      <c r="I1349" s="15">
        <v>43.688743000000002</v>
      </c>
      <c r="J1349" s="12">
        <v>-79.362255000000005</v>
      </c>
      <c r="K1349" s="12" t="s">
        <v>41</v>
      </c>
      <c r="L1349" s="12" t="s">
        <v>223</v>
      </c>
      <c r="N1349" s="12" t="s">
        <v>1995</v>
      </c>
      <c r="O1349" s="12" t="s">
        <v>44</v>
      </c>
      <c r="P1349" s="12" t="s">
        <v>105</v>
      </c>
      <c r="Q1349" s="12" t="s">
        <v>31</v>
      </c>
      <c r="R1349" s="12" t="s">
        <v>2008</v>
      </c>
      <c r="S1349" s="12" t="s">
        <v>2009</v>
      </c>
    </row>
    <row r="1350" spans="1:19" x14ac:dyDescent="0.35">
      <c r="A1350" s="12">
        <v>83</v>
      </c>
      <c r="B1350" s="12" t="s">
        <v>2010</v>
      </c>
      <c r="C1350" s="12">
        <v>2022</v>
      </c>
      <c r="D1350" s="12" t="s">
        <v>2011</v>
      </c>
      <c r="E1350" s="13" t="s">
        <v>2012</v>
      </c>
      <c r="F1350" s="12" t="s">
        <v>2013</v>
      </c>
      <c r="H1350" s="12" t="s">
        <v>2014</v>
      </c>
      <c r="I1350" s="15">
        <v>46.786883000000003</v>
      </c>
      <c r="J1350" s="12">
        <v>-91.962833000000003</v>
      </c>
      <c r="K1350" s="12" t="s">
        <v>41</v>
      </c>
      <c r="L1350" s="12" t="s">
        <v>28</v>
      </c>
      <c r="M1350" s="12" t="s">
        <v>2015</v>
      </c>
      <c r="N1350" s="12" t="s">
        <v>105</v>
      </c>
      <c r="O1350" s="12" t="s">
        <v>31</v>
      </c>
      <c r="P1350" s="12" t="s">
        <v>105</v>
      </c>
      <c r="Q1350" s="12" t="s">
        <v>31</v>
      </c>
    </row>
    <row r="1351" spans="1:19" x14ac:dyDescent="0.35">
      <c r="A1351" s="12">
        <v>83</v>
      </c>
      <c r="B1351" s="12" t="s">
        <v>2010</v>
      </c>
      <c r="C1351" s="12">
        <v>2022</v>
      </c>
      <c r="D1351" s="12" t="s">
        <v>2011</v>
      </c>
      <c r="E1351" s="13" t="s">
        <v>2012</v>
      </c>
      <c r="F1351" s="12" t="s">
        <v>2013</v>
      </c>
      <c r="H1351" s="12" t="s">
        <v>2014</v>
      </c>
      <c r="I1351" s="15">
        <v>47.066867000000002</v>
      </c>
      <c r="J1351" s="12">
        <v>-91.433582999999999</v>
      </c>
      <c r="K1351" s="12" t="s">
        <v>41</v>
      </c>
      <c r="L1351" s="12" t="s">
        <v>28</v>
      </c>
      <c r="M1351" s="12" t="s">
        <v>2015</v>
      </c>
      <c r="N1351" s="12" t="s">
        <v>105</v>
      </c>
      <c r="O1351" s="12" t="s">
        <v>31</v>
      </c>
      <c r="P1351" s="12" t="s">
        <v>105</v>
      </c>
      <c r="Q1351" s="12" t="s">
        <v>31</v>
      </c>
    </row>
    <row r="1352" spans="1:19" x14ac:dyDescent="0.35">
      <c r="A1352" s="12">
        <v>83</v>
      </c>
      <c r="B1352" s="12" t="s">
        <v>2010</v>
      </c>
      <c r="C1352" s="12">
        <v>2022</v>
      </c>
      <c r="D1352" s="12" t="s">
        <v>2011</v>
      </c>
      <c r="E1352" s="13" t="s">
        <v>2012</v>
      </c>
      <c r="F1352" s="12" t="s">
        <v>2013</v>
      </c>
      <c r="H1352" s="12" t="s">
        <v>2016</v>
      </c>
      <c r="I1352" s="15">
        <v>46.865482999999998</v>
      </c>
      <c r="J1352" s="12">
        <v>-91.282332999999994</v>
      </c>
      <c r="K1352" s="12" t="s">
        <v>41</v>
      </c>
      <c r="L1352" s="12" t="s">
        <v>28</v>
      </c>
      <c r="M1352" s="12" t="s">
        <v>2015</v>
      </c>
      <c r="N1352" s="12" t="s">
        <v>105</v>
      </c>
      <c r="O1352" s="12" t="s">
        <v>31</v>
      </c>
      <c r="P1352" s="12" t="s">
        <v>105</v>
      </c>
      <c r="Q1352" s="12" t="s">
        <v>31</v>
      </c>
    </row>
    <row r="1353" spans="1:19" x14ac:dyDescent="0.35">
      <c r="A1353" s="12">
        <v>83</v>
      </c>
      <c r="B1353" s="12" t="s">
        <v>2010</v>
      </c>
      <c r="C1353" s="12">
        <v>2022</v>
      </c>
      <c r="D1353" s="12" t="s">
        <v>2011</v>
      </c>
      <c r="E1353" s="13" t="s">
        <v>2012</v>
      </c>
      <c r="F1353" s="12" t="s">
        <v>2013</v>
      </c>
      <c r="H1353" s="12" t="s">
        <v>2016</v>
      </c>
      <c r="I1353" s="15">
        <v>46.748617000000003</v>
      </c>
      <c r="J1353" s="12">
        <v>-91.703483000000006</v>
      </c>
      <c r="K1353" s="12" t="s">
        <v>41</v>
      </c>
      <c r="L1353" s="12" t="s">
        <v>28</v>
      </c>
      <c r="M1353" s="12" t="s">
        <v>2015</v>
      </c>
      <c r="N1353" s="12" t="s">
        <v>105</v>
      </c>
      <c r="O1353" s="12" t="s">
        <v>31</v>
      </c>
      <c r="P1353" s="12" t="s">
        <v>105</v>
      </c>
      <c r="Q1353" s="12" t="s">
        <v>31</v>
      </c>
    </row>
    <row r="1354" spans="1:19" x14ac:dyDescent="0.35">
      <c r="A1354" s="12">
        <v>83</v>
      </c>
      <c r="B1354" s="12" t="s">
        <v>2010</v>
      </c>
      <c r="C1354" s="12">
        <v>2022</v>
      </c>
      <c r="D1354" s="12" t="s">
        <v>2011</v>
      </c>
      <c r="E1354" s="13" t="s">
        <v>2012</v>
      </c>
      <c r="F1354" s="12" t="s">
        <v>2013</v>
      </c>
      <c r="H1354" s="12" t="s">
        <v>2014</v>
      </c>
      <c r="I1354" s="15">
        <v>47.067717000000002</v>
      </c>
      <c r="J1354" s="12">
        <v>-91.425583000000003</v>
      </c>
      <c r="K1354" s="12" t="s">
        <v>41</v>
      </c>
      <c r="L1354" s="12" t="s">
        <v>28</v>
      </c>
      <c r="M1354" s="12" t="s">
        <v>2015</v>
      </c>
      <c r="N1354" s="12" t="s">
        <v>105</v>
      </c>
      <c r="O1354" s="12" t="s">
        <v>31</v>
      </c>
      <c r="P1354" s="12" t="s">
        <v>105</v>
      </c>
      <c r="Q1354" s="12" t="s">
        <v>31</v>
      </c>
    </row>
    <row r="1355" spans="1:19" x14ac:dyDescent="0.35">
      <c r="A1355" s="12">
        <v>83</v>
      </c>
      <c r="B1355" s="12" t="s">
        <v>2010</v>
      </c>
      <c r="C1355" s="12">
        <v>2022</v>
      </c>
      <c r="D1355" s="12" t="s">
        <v>2011</v>
      </c>
      <c r="E1355" s="13" t="s">
        <v>2012</v>
      </c>
      <c r="F1355" s="12" t="s">
        <v>2013</v>
      </c>
      <c r="H1355" s="12" t="s">
        <v>2019</v>
      </c>
      <c r="I1355" s="15"/>
      <c r="K1355" s="12" t="s">
        <v>41</v>
      </c>
      <c r="L1355" s="12" t="s">
        <v>28</v>
      </c>
      <c r="M1355" s="12" t="s">
        <v>2020</v>
      </c>
      <c r="N1355" s="12" t="s">
        <v>1888</v>
      </c>
      <c r="O1355" s="12" t="s">
        <v>31</v>
      </c>
      <c r="P1355" s="12" t="s">
        <v>1888</v>
      </c>
      <c r="Q1355" s="12" t="s">
        <v>31</v>
      </c>
    </row>
    <row r="1356" spans="1:19" x14ac:dyDescent="0.35">
      <c r="A1356" s="12">
        <v>83</v>
      </c>
      <c r="B1356" s="12" t="s">
        <v>2010</v>
      </c>
      <c r="C1356" s="12">
        <v>2022</v>
      </c>
      <c r="D1356" s="12" t="s">
        <v>2011</v>
      </c>
      <c r="E1356" s="13" t="s">
        <v>2012</v>
      </c>
      <c r="F1356" s="12" t="s">
        <v>2013</v>
      </c>
      <c r="H1356" s="12" t="s">
        <v>2014</v>
      </c>
      <c r="I1356" s="15">
        <v>47.066867000000002</v>
      </c>
      <c r="J1356" s="12">
        <v>-91.433582999999999</v>
      </c>
      <c r="K1356" s="12" t="s">
        <v>41</v>
      </c>
      <c r="L1356" s="12" t="s">
        <v>28</v>
      </c>
      <c r="M1356" s="12" t="s">
        <v>2022</v>
      </c>
      <c r="N1356" s="12" t="s">
        <v>1888</v>
      </c>
      <c r="O1356" s="12" t="s">
        <v>31</v>
      </c>
      <c r="P1356" s="12" t="s">
        <v>1888</v>
      </c>
      <c r="Q1356" s="12" t="s">
        <v>31</v>
      </c>
    </row>
    <row r="1357" spans="1:19" x14ac:dyDescent="0.35">
      <c r="A1357" s="12">
        <v>83</v>
      </c>
      <c r="B1357" s="12" t="s">
        <v>2010</v>
      </c>
      <c r="C1357" s="12">
        <v>2022</v>
      </c>
      <c r="D1357" s="12" t="s">
        <v>2011</v>
      </c>
      <c r="E1357" s="13" t="s">
        <v>2012</v>
      </c>
      <c r="F1357" s="12" t="s">
        <v>2013</v>
      </c>
      <c r="H1357" s="12" t="s">
        <v>2014</v>
      </c>
      <c r="I1357" s="15">
        <v>47.066867000000002</v>
      </c>
      <c r="J1357" s="12">
        <v>-91.433582999999999</v>
      </c>
      <c r="K1357" s="12" t="s">
        <v>41</v>
      </c>
      <c r="L1357" s="12" t="s">
        <v>28</v>
      </c>
      <c r="M1357" s="12" t="s">
        <v>2023</v>
      </c>
      <c r="N1357" s="12" t="s">
        <v>474</v>
      </c>
      <c r="O1357" s="12" t="s">
        <v>31</v>
      </c>
      <c r="P1357" s="12" t="s">
        <v>474</v>
      </c>
      <c r="Q1357" s="12" t="s">
        <v>31</v>
      </c>
    </row>
    <row r="1358" spans="1:19" x14ac:dyDescent="0.35">
      <c r="A1358" s="12">
        <v>83</v>
      </c>
      <c r="B1358" s="12" t="s">
        <v>2010</v>
      </c>
      <c r="C1358" s="12">
        <v>2022</v>
      </c>
      <c r="D1358" s="12" t="s">
        <v>2011</v>
      </c>
      <c r="E1358" s="13" t="s">
        <v>2012</v>
      </c>
      <c r="F1358" s="12" t="s">
        <v>2013</v>
      </c>
      <c r="H1358" s="12" t="s">
        <v>2014</v>
      </c>
      <c r="I1358" s="15">
        <v>47.066867000000002</v>
      </c>
      <c r="J1358" s="12">
        <v>-91.433582999999999</v>
      </c>
      <c r="K1358" s="12" t="s">
        <v>41</v>
      </c>
      <c r="L1358" s="12" t="s">
        <v>28</v>
      </c>
      <c r="M1358" s="12" t="s">
        <v>2023</v>
      </c>
      <c r="N1358" s="12" t="s">
        <v>474</v>
      </c>
      <c r="O1358" s="12" t="s">
        <v>31</v>
      </c>
      <c r="P1358" s="12" t="s">
        <v>474</v>
      </c>
      <c r="Q1358" s="12" t="s">
        <v>31</v>
      </c>
    </row>
    <row r="1359" spans="1:19" x14ac:dyDescent="0.35">
      <c r="A1359" s="12">
        <v>83</v>
      </c>
      <c r="B1359" s="12" t="s">
        <v>2010</v>
      </c>
      <c r="C1359" s="12">
        <v>2022</v>
      </c>
      <c r="D1359" s="12" t="s">
        <v>2011</v>
      </c>
      <c r="E1359" s="13" t="s">
        <v>2012</v>
      </c>
      <c r="F1359" s="12" t="s">
        <v>2013</v>
      </c>
      <c r="H1359" s="12" t="s">
        <v>2014</v>
      </c>
      <c r="I1359" s="15">
        <v>47.066867000000002</v>
      </c>
      <c r="J1359" s="12">
        <v>-91.433582999999999</v>
      </c>
      <c r="K1359" s="12" t="s">
        <v>41</v>
      </c>
      <c r="L1359" s="12" t="s">
        <v>28</v>
      </c>
      <c r="M1359" s="12" t="s">
        <v>2023</v>
      </c>
      <c r="N1359" s="12" t="s">
        <v>474</v>
      </c>
      <c r="O1359" s="12" t="s">
        <v>31</v>
      </c>
      <c r="P1359" s="12" t="s">
        <v>474</v>
      </c>
      <c r="Q1359" s="12" t="s">
        <v>31</v>
      </c>
    </row>
    <row r="1360" spans="1:19" x14ac:dyDescent="0.35">
      <c r="A1360" s="12">
        <v>83</v>
      </c>
      <c r="B1360" s="12" t="s">
        <v>2010</v>
      </c>
      <c r="C1360" s="12">
        <v>2022</v>
      </c>
      <c r="D1360" s="12" t="s">
        <v>2011</v>
      </c>
      <c r="E1360" s="13" t="s">
        <v>2012</v>
      </c>
      <c r="F1360" s="12" t="s">
        <v>2013</v>
      </c>
      <c r="H1360" s="12" t="s">
        <v>2019</v>
      </c>
      <c r="I1360" s="15"/>
      <c r="K1360" s="12" t="s">
        <v>41</v>
      </c>
      <c r="L1360" s="12" t="s">
        <v>28</v>
      </c>
      <c r="N1360" s="12" t="s">
        <v>474</v>
      </c>
      <c r="O1360" s="12" t="s">
        <v>31</v>
      </c>
      <c r="P1360" s="12" t="s">
        <v>474</v>
      </c>
      <c r="Q1360" s="12" t="s">
        <v>31</v>
      </c>
    </row>
    <row r="1361" spans="1:17" x14ac:dyDescent="0.35">
      <c r="A1361" s="12">
        <v>84</v>
      </c>
      <c r="B1361" s="12" t="s">
        <v>2027</v>
      </c>
      <c r="C1361" s="12">
        <v>2017</v>
      </c>
      <c r="D1361" s="12" t="s">
        <v>2028</v>
      </c>
      <c r="E1361" s="13" t="s">
        <v>2029</v>
      </c>
      <c r="F1361" s="12" t="s">
        <v>2030</v>
      </c>
      <c r="G1361" s="12" t="s">
        <v>1512</v>
      </c>
      <c r="H1361" s="12" t="s">
        <v>2031</v>
      </c>
      <c r="I1361" s="15">
        <v>49.002606</v>
      </c>
      <c r="J1361" s="12">
        <v>-97.223381000000003</v>
      </c>
      <c r="K1361" s="12" t="s">
        <v>41</v>
      </c>
      <c r="L1361" s="12" t="s">
        <v>223</v>
      </c>
      <c r="N1361" s="12" t="s">
        <v>1432</v>
      </c>
      <c r="O1361" s="12" t="s">
        <v>31</v>
      </c>
      <c r="P1361" s="12" t="s">
        <v>1432</v>
      </c>
      <c r="Q1361" s="12" t="s">
        <v>31</v>
      </c>
    </row>
    <row r="1362" spans="1:17" x14ac:dyDescent="0.35">
      <c r="A1362" s="12">
        <v>84</v>
      </c>
      <c r="B1362" s="12" t="s">
        <v>2027</v>
      </c>
      <c r="C1362" s="12">
        <v>2017</v>
      </c>
      <c r="D1362" s="12" t="s">
        <v>2028</v>
      </c>
      <c r="E1362" s="13" t="s">
        <v>2029</v>
      </c>
      <c r="F1362" s="12" t="s">
        <v>2030</v>
      </c>
      <c r="G1362" s="12" t="s">
        <v>1512</v>
      </c>
      <c r="H1362" s="12" t="s">
        <v>2031</v>
      </c>
      <c r="I1362" s="15">
        <v>49.750680000000003</v>
      </c>
      <c r="J1362" s="12">
        <v>-97.133393999999996</v>
      </c>
      <c r="K1362" s="12" t="s">
        <v>41</v>
      </c>
      <c r="L1362" s="12" t="s">
        <v>223</v>
      </c>
      <c r="N1362" s="12" t="s">
        <v>1432</v>
      </c>
      <c r="O1362" s="12" t="s">
        <v>31</v>
      </c>
      <c r="P1362" s="12" t="s">
        <v>1432</v>
      </c>
      <c r="Q1362" s="12" t="s">
        <v>31</v>
      </c>
    </row>
    <row r="1363" spans="1:17" x14ac:dyDescent="0.35">
      <c r="A1363" s="12">
        <v>84</v>
      </c>
      <c r="B1363" s="12" t="s">
        <v>2027</v>
      </c>
      <c r="C1363" s="12">
        <v>2017</v>
      </c>
      <c r="D1363" s="12" t="s">
        <v>2028</v>
      </c>
      <c r="E1363" s="13" t="s">
        <v>2029</v>
      </c>
      <c r="F1363" s="12" t="s">
        <v>2030</v>
      </c>
      <c r="G1363" s="12" t="s">
        <v>1512</v>
      </c>
      <c r="H1363" s="12" t="s">
        <v>2031</v>
      </c>
      <c r="I1363" s="15">
        <v>49.870001000000002</v>
      </c>
      <c r="J1363" s="12">
        <v>-97.131947999999994</v>
      </c>
      <c r="K1363" s="12" t="s">
        <v>41</v>
      </c>
      <c r="L1363" s="12" t="s">
        <v>223</v>
      </c>
      <c r="N1363" s="12" t="s">
        <v>1432</v>
      </c>
      <c r="O1363" s="12" t="s">
        <v>31</v>
      </c>
      <c r="P1363" s="12" t="s">
        <v>1432</v>
      </c>
      <c r="Q1363" s="12" t="s">
        <v>31</v>
      </c>
    </row>
    <row r="1364" spans="1:17" x14ac:dyDescent="0.35">
      <c r="A1364" s="12">
        <v>84</v>
      </c>
      <c r="B1364" s="12" t="s">
        <v>2027</v>
      </c>
      <c r="C1364" s="12">
        <v>2017</v>
      </c>
      <c r="D1364" s="12" t="s">
        <v>2028</v>
      </c>
      <c r="E1364" s="13" t="s">
        <v>2029</v>
      </c>
      <c r="F1364" s="12" t="s">
        <v>2030</v>
      </c>
      <c r="G1364" s="12" t="s">
        <v>1512</v>
      </c>
      <c r="H1364" s="12" t="s">
        <v>2031</v>
      </c>
      <c r="I1364" s="15">
        <v>49.983218000000001</v>
      </c>
      <c r="J1364" s="12">
        <v>-97.054316999999998</v>
      </c>
      <c r="K1364" s="12" t="s">
        <v>41</v>
      </c>
      <c r="L1364" s="12" t="s">
        <v>223</v>
      </c>
      <c r="N1364" s="12" t="s">
        <v>1432</v>
      </c>
      <c r="O1364" s="12" t="s">
        <v>31</v>
      </c>
      <c r="P1364" s="12" t="s">
        <v>1432</v>
      </c>
      <c r="Q1364" s="12" t="s">
        <v>31</v>
      </c>
    </row>
    <row r="1365" spans="1:17" x14ac:dyDescent="0.35">
      <c r="A1365" s="12">
        <v>84</v>
      </c>
      <c r="B1365" s="12" t="s">
        <v>2027</v>
      </c>
      <c r="C1365" s="12">
        <v>2017</v>
      </c>
      <c r="D1365" s="12" t="s">
        <v>2028</v>
      </c>
      <c r="E1365" s="13" t="s">
        <v>2029</v>
      </c>
      <c r="F1365" s="12" t="s">
        <v>2030</v>
      </c>
      <c r="G1365" s="12" t="s">
        <v>1512</v>
      </c>
      <c r="H1365" s="12" t="s">
        <v>2031</v>
      </c>
      <c r="I1365" s="15"/>
      <c r="K1365" s="12" t="s">
        <v>41</v>
      </c>
      <c r="L1365" s="12" t="s">
        <v>223</v>
      </c>
      <c r="N1365" s="12" t="s">
        <v>1432</v>
      </c>
      <c r="O1365" s="12" t="s">
        <v>31</v>
      </c>
      <c r="P1365" s="12" t="s">
        <v>1432</v>
      </c>
      <c r="Q1365" s="12" t="s">
        <v>31</v>
      </c>
    </row>
    <row r="1366" spans="1:17" x14ac:dyDescent="0.35">
      <c r="A1366" s="12">
        <v>84</v>
      </c>
      <c r="B1366" s="12" t="s">
        <v>2027</v>
      </c>
      <c r="C1366" s="12">
        <v>2017</v>
      </c>
      <c r="D1366" s="12" t="s">
        <v>2028</v>
      </c>
      <c r="E1366" s="13" t="s">
        <v>2029</v>
      </c>
      <c r="F1366" s="12" t="s">
        <v>2030</v>
      </c>
      <c r="G1366" s="12" t="s">
        <v>1512</v>
      </c>
      <c r="H1366" s="12" t="s">
        <v>2034</v>
      </c>
      <c r="I1366" s="15">
        <v>49.890394000000001</v>
      </c>
      <c r="J1366" s="12">
        <v>-97.126401999999999</v>
      </c>
      <c r="K1366" s="12" t="s">
        <v>41</v>
      </c>
      <c r="L1366" s="12" t="s">
        <v>223</v>
      </c>
      <c r="N1366" s="12" t="s">
        <v>1432</v>
      </c>
      <c r="O1366" s="12" t="s">
        <v>31</v>
      </c>
      <c r="P1366" s="12" t="s">
        <v>1432</v>
      </c>
      <c r="Q1366" s="12" t="s">
        <v>31</v>
      </c>
    </row>
    <row r="1367" spans="1:17" x14ac:dyDescent="0.35">
      <c r="A1367" s="12">
        <v>84</v>
      </c>
      <c r="B1367" s="12" t="s">
        <v>2027</v>
      </c>
      <c r="C1367" s="12">
        <v>2017</v>
      </c>
      <c r="D1367" s="12" t="s">
        <v>2028</v>
      </c>
      <c r="E1367" s="13" t="s">
        <v>2029</v>
      </c>
      <c r="F1367" s="12" t="s">
        <v>2030</v>
      </c>
      <c r="G1367" s="12" t="s">
        <v>1512</v>
      </c>
      <c r="H1367" s="12" t="s">
        <v>2036</v>
      </c>
      <c r="I1367" s="15">
        <v>53.982691000000003</v>
      </c>
      <c r="J1367" s="12">
        <v>-97.788846000000007</v>
      </c>
      <c r="K1367" s="12" t="s">
        <v>41</v>
      </c>
      <c r="L1367" s="12" t="s">
        <v>223</v>
      </c>
      <c r="N1367" s="12" t="s">
        <v>1432</v>
      </c>
      <c r="O1367" s="12" t="s">
        <v>31</v>
      </c>
      <c r="P1367" s="12" t="s">
        <v>1432</v>
      </c>
      <c r="Q1367" s="12" t="s">
        <v>31</v>
      </c>
    </row>
    <row r="1368" spans="1:17" s="7" customFormat="1" x14ac:dyDescent="0.35">
      <c r="A1368" s="7">
        <v>85</v>
      </c>
      <c r="B1368" s="7" t="s">
        <v>2037</v>
      </c>
      <c r="C1368" s="7">
        <v>2020</v>
      </c>
      <c r="D1368" s="7" t="s">
        <v>178</v>
      </c>
      <c r="E1368" s="8" t="s">
        <v>2038</v>
      </c>
      <c r="F1368" s="7" t="s">
        <v>2039</v>
      </c>
      <c r="G1368" s="7" t="s">
        <v>86</v>
      </c>
      <c r="H1368" s="7" t="s">
        <v>1869</v>
      </c>
      <c r="I1368" s="7">
        <v>41.515689999999999</v>
      </c>
      <c r="J1368" s="7">
        <v>-81.717619999999997</v>
      </c>
      <c r="K1368" s="7" t="s">
        <v>103</v>
      </c>
      <c r="L1368" s="7" t="s">
        <v>28</v>
      </c>
      <c r="N1368" s="7" t="s">
        <v>532</v>
      </c>
      <c r="O1368" s="7" t="s">
        <v>31</v>
      </c>
      <c r="P1368" s="7">
        <v>125</v>
      </c>
      <c r="Q1368" s="7" t="s">
        <v>31</v>
      </c>
    </row>
    <row r="1369" spans="1:17" s="7" customFormat="1" x14ac:dyDescent="0.35">
      <c r="A1369" s="7">
        <v>85</v>
      </c>
      <c r="B1369" s="7" t="s">
        <v>2037</v>
      </c>
      <c r="C1369" s="7">
        <v>2020</v>
      </c>
      <c r="D1369" s="7" t="s">
        <v>178</v>
      </c>
      <c r="E1369" s="8" t="s">
        <v>2038</v>
      </c>
      <c r="F1369" s="7" t="s">
        <v>2039</v>
      </c>
      <c r="G1369" s="7" t="s">
        <v>86</v>
      </c>
      <c r="H1369" s="7" t="s">
        <v>1869</v>
      </c>
      <c r="I1369" s="7">
        <v>41.925319999999999</v>
      </c>
      <c r="J1369" s="7">
        <v>-80.797640000000001</v>
      </c>
      <c r="K1369" s="7" t="s">
        <v>103</v>
      </c>
      <c r="L1369" s="7" t="s">
        <v>28</v>
      </c>
      <c r="N1369" s="7" t="s">
        <v>532</v>
      </c>
      <c r="O1369" s="7" t="s">
        <v>31</v>
      </c>
      <c r="P1369" s="7">
        <v>125</v>
      </c>
      <c r="Q1369" s="7" t="s">
        <v>31</v>
      </c>
    </row>
    <row r="1370" spans="1:17" s="7" customFormat="1" x14ac:dyDescent="0.35">
      <c r="A1370" s="7">
        <v>85</v>
      </c>
      <c r="B1370" s="7" t="s">
        <v>2037</v>
      </c>
      <c r="C1370" s="7">
        <v>2020</v>
      </c>
      <c r="D1370" s="7" t="s">
        <v>178</v>
      </c>
      <c r="E1370" s="8" t="s">
        <v>2038</v>
      </c>
      <c r="F1370" s="7" t="s">
        <v>2039</v>
      </c>
      <c r="G1370" s="7" t="s">
        <v>86</v>
      </c>
      <c r="H1370" s="7" t="s">
        <v>1869</v>
      </c>
      <c r="I1370" s="7">
        <v>42.517359999999996</v>
      </c>
      <c r="J1370" s="7">
        <v>-79.893029999999996</v>
      </c>
      <c r="K1370" s="7" t="s">
        <v>103</v>
      </c>
      <c r="L1370" s="7" t="s">
        <v>28</v>
      </c>
      <c r="N1370" s="7" t="s">
        <v>532</v>
      </c>
      <c r="O1370" s="7" t="s">
        <v>31</v>
      </c>
      <c r="P1370" s="7">
        <v>125</v>
      </c>
      <c r="Q1370" s="7" t="s">
        <v>31</v>
      </c>
    </row>
    <row r="1371" spans="1:17" s="7" customFormat="1" x14ac:dyDescent="0.35">
      <c r="A1371" s="7">
        <v>85</v>
      </c>
      <c r="B1371" s="7" t="s">
        <v>2037</v>
      </c>
      <c r="C1371" s="7">
        <v>2021</v>
      </c>
      <c r="D1371" s="7" t="s">
        <v>178</v>
      </c>
      <c r="E1371" s="8" t="s">
        <v>2041</v>
      </c>
      <c r="F1371" s="7" t="s">
        <v>2039</v>
      </c>
      <c r="G1371" s="7" t="s">
        <v>86</v>
      </c>
      <c r="H1371" s="7" t="s">
        <v>1869</v>
      </c>
      <c r="I1371" s="7">
        <v>41.78848</v>
      </c>
      <c r="J1371" s="7">
        <v>-81.945369999999997</v>
      </c>
      <c r="K1371" s="7" t="s">
        <v>103</v>
      </c>
      <c r="L1371" s="7" t="s">
        <v>28</v>
      </c>
      <c r="N1371" s="7" t="s">
        <v>532</v>
      </c>
      <c r="O1371" s="7" t="s">
        <v>31</v>
      </c>
      <c r="P1371" s="7">
        <v>125</v>
      </c>
      <c r="Q1371" s="7" t="s">
        <v>31</v>
      </c>
    </row>
    <row r="1372" spans="1:17" s="7" customFormat="1" x14ac:dyDescent="0.35">
      <c r="A1372" s="7">
        <v>85</v>
      </c>
      <c r="B1372" s="7" t="s">
        <v>2037</v>
      </c>
      <c r="C1372" s="7">
        <v>2022</v>
      </c>
      <c r="D1372" s="7" t="s">
        <v>178</v>
      </c>
      <c r="E1372" s="8" t="s">
        <v>2042</v>
      </c>
      <c r="F1372" s="7" t="s">
        <v>2039</v>
      </c>
      <c r="G1372" s="7" t="s">
        <v>86</v>
      </c>
      <c r="H1372" s="7" t="s">
        <v>1869</v>
      </c>
      <c r="I1372" s="7">
        <v>41.891669999999998</v>
      </c>
      <c r="J1372" s="7">
        <v>-83.196669999999997</v>
      </c>
      <c r="K1372" s="7" t="s">
        <v>103</v>
      </c>
      <c r="L1372" s="7" t="s">
        <v>28</v>
      </c>
      <c r="N1372" s="7" t="s">
        <v>532</v>
      </c>
      <c r="O1372" s="7" t="s">
        <v>31</v>
      </c>
      <c r="P1372" s="7">
        <v>125</v>
      </c>
      <c r="Q1372" s="7" t="s">
        <v>31</v>
      </c>
    </row>
    <row r="1373" spans="1:17" s="7" customFormat="1" x14ac:dyDescent="0.35">
      <c r="A1373" s="7">
        <v>85</v>
      </c>
      <c r="B1373" s="7" t="s">
        <v>2037</v>
      </c>
      <c r="C1373" s="7">
        <v>2023</v>
      </c>
      <c r="D1373" s="7" t="s">
        <v>178</v>
      </c>
      <c r="E1373" s="8" t="s">
        <v>2043</v>
      </c>
      <c r="F1373" s="7" t="s">
        <v>2039</v>
      </c>
      <c r="G1373" s="7" t="s">
        <v>86</v>
      </c>
      <c r="H1373" s="7" t="s">
        <v>1869</v>
      </c>
      <c r="I1373" s="7">
        <v>42.116959999999999</v>
      </c>
      <c r="J1373" s="7">
        <v>-81.25009</v>
      </c>
      <c r="K1373" s="7" t="s">
        <v>103</v>
      </c>
      <c r="L1373" s="7" t="s">
        <v>28</v>
      </c>
      <c r="N1373" s="7" t="s">
        <v>532</v>
      </c>
      <c r="O1373" s="7" t="s">
        <v>31</v>
      </c>
      <c r="P1373" s="7">
        <v>125</v>
      </c>
      <c r="Q1373" s="7" t="s">
        <v>31</v>
      </c>
    </row>
    <row r="1374" spans="1:17" s="7" customFormat="1" x14ac:dyDescent="0.35">
      <c r="A1374" s="7">
        <v>85</v>
      </c>
      <c r="B1374" s="7" t="s">
        <v>2037</v>
      </c>
      <c r="C1374" s="7">
        <v>2024</v>
      </c>
      <c r="D1374" s="7" t="s">
        <v>178</v>
      </c>
      <c r="E1374" s="8" t="s">
        <v>2044</v>
      </c>
      <c r="F1374" s="7" t="s">
        <v>2039</v>
      </c>
      <c r="G1374" s="7" t="s">
        <v>86</v>
      </c>
      <c r="H1374" s="7" t="s">
        <v>1869</v>
      </c>
      <c r="I1374" s="7">
        <v>41.840769999999999</v>
      </c>
      <c r="J1374" s="7">
        <v>-82.91677</v>
      </c>
      <c r="K1374" s="7" t="s">
        <v>103</v>
      </c>
      <c r="L1374" s="7" t="s">
        <v>28</v>
      </c>
      <c r="N1374" s="7" t="s">
        <v>532</v>
      </c>
      <c r="O1374" s="7" t="s">
        <v>31</v>
      </c>
      <c r="P1374" s="7">
        <v>125</v>
      </c>
      <c r="Q1374" s="7" t="s">
        <v>31</v>
      </c>
    </row>
    <row r="1375" spans="1:17" s="7" customFormat="1" x14ac:dyDescent="0.35">
      <c r="A1375" s="7">
        <v>85</v>
      </c>
      <c r="B1375" s="7" t="s">
        <v>2037</v>
      </c>
      <c r="C1375" s="7">
        <v>2025</v>
      </c>
      <c r="D1375" s="7" t="s">
        <v>178</v>
      </c>
      <c r="E1375" s="8" t="s">
        <v>2045</v>
      </c>
      <c r="F1375" s="7" t="s">
        <v>2039</v>
      </c>
      <c r="G1375" s="7" t="s">
        <v>86</v>
      </c>
      <c r="H1375" s="7" t="s">
        <v>1869</v>
      </c>
      <c r="I1375" s="7">
        <v>42.578130000000002</v>
      </c>
      <c r="J1375" s="7">
        <v>-79.151769999999999</v>
      </c>
      <c r="K1375" s="7" t="s">
        <v>103</v>
      </c>
      <c r="L1375" s="7" t="s">
        <v>28</v>
      </c>
      <c r="N1375" s="7" t="s">
        <v>532</v>
      </c>
      <c r="O1375" s="7" t="s">
        <v>31</v>
      </c>
      <c r="P1375" s="7">
        <v>125</v>
      </c>
      <c r="Q1375" s="7" t="s">
        <v>31</v>
      </c>
    </row>
    <row r="1376" spans="1:17" s="7" customFormat="1" x14ac:dyDescent="0.35">
      <c r="A1376" s="7">
        <v>85</v>
      </c>
      <c r="B1376" s="7" t="s">
        <v>2037</v>
      </c>
      <c r="C1376" s="7">
        <v>2026</v>
      </c>
      <c r="D1376" s="7" t="s">
        <v>178</v>
      </c>
      <c r="E1376" s="8" t="s">
        <v>2046</v>
      </c>
      <c r="F1376" s="7" t="s">
        <v>2039</v>
      </c>
      <c r="G1376" s="7" t="s">
        <v>86</v>
      </c>
      <c r="H1376" s="7" t="s">
        <v>1869</v>
      </c>
      <c r="I1376" s="7">
        <v>42.682949999999998</v>
      </c>
      <c r="J1376" s="7">
        <v>-80.247889999999998</v>
      </c>
      <c r="K1376" s="7" t="s">
        <v>103</v>
      </c>
      <c r="L1376" s="7" t="s">
        <v>28</v>
      </c>
      <c r="N1376" s="7" t="s">
        <v>532</v>
      </c>
      <c r="O1376" s="7" t="s">
        <v>31</v>
      </c>
      <c r="P1376" s="7">
        <v>125</v>
      </c>
      <c r="Q1376" s="7" t="s">
        <v>31</v>
      </c>
    </row>
    <row r="1377" spans="1:17" s="7" customFormat="1" x14ac:dyDescent="0.35">
      <c r="A1377" s="7">
        <v>85</v>
      </c>
      <c r="B1377" s="7" t="s">
        <v>2037</v>
      </c>
      <c r="C1377" s="7">
        <v>2027</v>
      </c>
      <c r="D1377" s="7" t="s">
        <v>178</v>
      </c>
      <c r="E1377" s="8" t="s">
        <v>2047</v>
      </c>
      <c r="F1377" s="7" t="s">
        <v>2039</v>
      </c>
      <c r="G1377" s="7" t="s">
        <v>86</v>
      </c>
      <c r="H1377" s="7" t="s">
        <v>1869</v>
      </c>
      <c r="I1377" s="7">
        <v>41.589179999999999</v>
      </c>
      <c r="J1377" s="7">
        <v>-82.906499999999994</v>
      </c>
      <c r="K1377" s="7" t="s">
        <v>103</v>
      </c>
      <c r="L1377" s="7" t="s">
        <v>28</v>
      </c>
      <c r="N1377" s="7" t="s">
        <v>532</v>
      </c>
      <c r="O1377" s="7" t="s">
        <v>31</v>
      </c>
      <c r="P1377" s="7">
        <v>125</v>
      </c>
      <c r="Q1377" s="7" t="s">
        <v>31</v>
      </c>
    </row>
    <row r="1378" spans="1:17" s="7" customFormat="1" x14ac:dyDescent="0.35">
      <c r="A1378" s="7">
        <v>85</v>
      </c>
      <c r="B1378" s="7" t="s">
        <v>2037</v>
      </c>
      <c r="C1378" s="7">
        <v>2028</v>
      </c>
      <c r="D1378" s="7" t="s">
        <v>178</v>
      </c>
      <c r="E1378" s="8" t="s">
        <v>2048</v>
      </c>
      <c r="F1378" s="7" t="s">
        <v>2039</v>
      </c>
      <c r="G1378" s="7" t="s">
        <v>86</v>
      </c>
      <c r="H1378" s="7" t="s">
        <v>1869</v>
      </c>
      <c r="I1378" s="7">
        <v>41.9358</v>
      </c>
      <c r="J1378" s="7">
        <v>-83.009619999999998</v>
      </c>
      <c r="K1378" s="7" t="s">
        <v>103</v>
      </c>
      <c r="L1378" s="7" t="s">
        <v>28</v>
      </c>
      <c r="N1378" s="7" t="s">
        <v>532</v>
      </c>
      <c r="O1378" s="7" t="s">
        <v>31</v>
      </c>
      <c r="P1378" s="7">
        <v>125</v>
      </c>
      <c r="Q1378" s="7" t="s">
        <v>31</v>
      </c>
    </row>
    <row r="1379" spans="1:17" s="7" customFormat="1" x14ac:dyDescent="0.35">
      <c r="A1379" s="7">
        <v>85</v>
      </c>
      <c r="B1379" s="7" t="s">
        <v>2037</v>
      </c>
      <c r="C1379" s="7">
        <v>2029</v>
      </c>
      <c r="D1379" s="7" t="s">
        <v>178</v>
      </c>
      <c r="E1379" s="8" t="s">
        <v>2049</v>
      </c>
      <c r="F1379" s="7" t="s">
        <v>2039</v>
      </c>
      <c r="G1379" s="7" t="s">
        <v>86</v>
      </c>
      <c r="H1379" s="7" t="s">
        <v>1869</v>
      </c>
      <c r="I1379" s="7">
        <v>41.807780000000001</v>
      </c>
      <c r="J1379" s="7">
        <v>-83.159779999999998</v>
      </c>
      <c r="K1379" s="7" t="s">
        <v>103</v>
      </c>
      <c r="L1379" s="7" t="s">
        <v>28</v>
      </c>
      <c r="N1379" s="7" t="s">
        <v>532</v>
      </c>
      <c r="O1379" s="7" t="s">
        <v>31</v>
      </c>
      <c r="P1379" s="7">
        <v>125</v>
      </c>
      <c r="Q1379" s="7" t="s">
        <v>31</v>
      </c>
    </row>
    <row r="1380" spans="1:17" s="7" customFormat="1" x14ac:dyDescent="0.35">
      <c r="A1380" s="7">
        <v>85</v>
      </c>
      <c r="B1380" s="7" t="s">
        <v>2037</v>
      </c>
      <c r="C1380" s="7">
        <v>2030</v>
      </c>
      <c r="D1380" s="7" t="s">
        <v>178</v>
      </c>
      <c r="E1380" s="8" t="s">
        <v>2050</v>
      </c>
      <c r="F1380" s="7" t="s">
        <v>2039</v>
      </c>
      <c r="G1380" s="7" t="s">
        <v>86</v>
      </c>
      <c r="H1380" s="7" t="s">
        <v>2051</v>
      </c>
      <c r="I1380" s="7">
        <v>42.123890000000003</v>
      </c>
      <c r="J1380" s="7">
        <v>-87.092389999999995</v>
      </c>
      <c r="K1380" s="7" t="s">
        <v>103</v>
      </c>
      <c r="L1380" s="7" t="s">
        <v>28</v>
      </c>
      <c r="N1380" s="7" t="s">
        <v>2052</v>
      </c>
      <c r="O1380" s="7" t="s">
        <v>44</v>
      </c>
      <c r="P1380" s="7" t="s">
        <v>1432</v>
      </c>
      <c r="Q1380" s="7" t="s">
        <v>31</v>
      </c>
    </row>
    <row r="1381" spans="1:17" s="7" customFormat="1" x14ac:dyDescent="0.35">
      <c r="A1381" s="7">
        <v>85</v>
      </c>
      <c r="B1381" s="7" t="s">
        <v>2037</v>
      </c>
      <c r="C1381" s="7">
        <v>2030</v>
      </c>
      <c r="D1381" s="7" t="s">
        <v>178</v>
      </c>
      <c r="E1381" s="8" t="s">
        <v>2050</v>
      </c>
      <c r="F1381" s="7" t="s">
        <v>2039</v>
      </c>
      <c r="G1381" s="7" t="s">
        <v>86</v>
      </c>
      <c r="H1381" s="7" t="s">
        <v>2051</v>
      </c>
      <c r="I1381" s="7">
        <v>41.884680000000003</v>
      </c>
      <c r="J1381" s="7">
        <v>-87.489829999999998</v>
      </c>
      <c r="K1381" s="7" t="s">
        <v>103</v>
      </c>
      <c r="L1381" s="7" t="s">
        <v>28</v>
      </c>
      <c r="N1381" s="7" t="s">
        <v>2052</v>
      </c>
      <c r="O1381" s="7" t="s">
        <v>44</v>
      </c>
      <c r="P1381" s="7" t="s">
        <v>2053</v>
      </c>
      <c r="Q1381" s="7" t="s">
        <v>31</v>
      </c>
    </row>
    <row r="1382" spans="1:17" s="7" customFormat="1" x14ac:dyDescent="0.35">
      <c r="A1382" s="7">
        <v>85</v>
      </c>
      <c r="B1382" s="7" t="s">
        <v>2037</v>
      </c>
      <c r="C1382" s="7">
        <v>2030</v>
      </c>
      <c r="D1382" s="7" t="s">
        <v>178</v>
      </c>
      <c r="E1382" s="8" t="s">
        <v>2050</v>
      </c>
      <c r="F1382" s="7" t="s">
        <v>2039</v>
      </c>
      <c r="G1382" s="7" t="s">
        <v>86</v>
      </c>
      <c r="H1382" s="7" t="s">
        <v>2051</v>
      </c>
      <c r="I1382" s="7">
        <v>41.686619999999998</v>
      </c>
      <c r="J1382" s="7">
        <v>-87.312759999999997</v>
      </c>
      <c r="K1382" s="7" t="s">
        <v>103</v>
      </c>
      <c r="L1382" s="7" t="s">
        <v>28</v>
      </c>
      <c r="N1382" s="7" t="s">
        <v>2052</v>
      </c>
      <c r="O1382" s="7" t="s">
        <v>44</v>
      </c>
      <c r="P1382" s="7" t="s">
        <v>2054</v>
      </c>
      <c r="Q1382" s="7" t="s">
        <v>31</v>
      </c>
    </row>
    <row r="1383" spans="1:17" s="7" customFormat="1" x14ac:dyDescent="0.35">
      <c r="A1383" s="7">
        <v>85</v>
      </c>
      <c r="B1383" s="7" t="s">
        <v>2037</v>
      </c>
      <c r="C1383" s="7">
        <v>2030</v>
      </c>
      <c r="D1383" s="7" t="s">
        <v>178</v>
      </c>
      <c r="E1383" s="8" t="s">
        <v>2050</v>
      </c>
      <c r="F1383" s="7" t="s">
        <v>2039</v>
      </c>
      <c r="G1383" s="7" t="s">
        <v>86</v>
      </c>
      <c r="H1383" s="7" t="s">
        <v>2051</v>
      </c>
      <c r="I1383" s="7">
        <v>42.679259999999999</v>
      </c>
      <c r="J1383" s="7">
        <v>-86.240499999999997</v>
      </c>
      <c r="K1383" s="7" t="s">
        <v>103</v>
      </c>
      <c r="L1383" s="7" t="s">
        <v>28</v>
      </c>
      <c r="N1383" s="7" t="s">
        <v>2052</v>
      </c>
      <c r="O1383" s="7" t="s">
        <v>44</v>
      </c>
      <c r="P1383" s="7" t="s">
        <v>2055</v>
      </c>
      <c r="Q1383" s="7" t="s">
        <v>31</v>
      </c>
    </row>
    <row r="1384" spans="1:17" s="7" customFormat="1" x14ac:dyDescent="0.35">
      <c r="A1384" s="7">
        <v>85</v>
      </c>
      <c r="B1384" s="7" t="s">
        <v>2037</v>
      </c>
      <c r="C1384" s="7">
        <v>2030</v>
      </c>
      <c r="D1384" s="7" t="s">
        <v>178</v>
      </c>
      <c r="E1384" s="8" t="s">
        <v>2050</v>
      </c>
      <c r="F1384" s="7" t="s">
        <v>2039</v>
      </c>
      <c r="G1384" s="7" t="s">
        <v>86</v>
      </c>
      <c r="H1384" s="7" t="s">
        <v>2051</v>
      </c>
      <c r="I1384" s="7">
        <v>43.062600000000003</v>
      </c>
      <c r="J1384" s="7">
        <v>-86.277469999999994</v>
      </c>
      <c r="K1384" s="7" t="s">
        <v>103</v>
      </c>
      <c r="L1384" s="7" t="s">
        <v>28</v>
      </c>
      <c r="N1384" s="7" t="s">
        <v>2052</v>
      </c>
      <c r="O1384" s="7" t="s">
        <v>44</v>
      </c>
      <c r="P1384" s="7" t="s">
        <v>2056</v>
      </c>
      <c r="Q1384" s="7" t="s">
        <v>31</v>
      </c>
    </row>
    <row r="1385" spans="1:17" s="7" customFormat="1" x14ac:dyDescent="0.35">
      <c r="A1385" s="7">
        <v>85</v>
      </c>
      <c r="B1385" s="7" t="s">
        <v>2037</v>
      </c>
      <c r="C1385" s="7">
        <v>2030</v>
      </c>
      <c r="D1385" s="7" t="s">
        <v>178</v>
      </c>
      <c r="E1385" s="8" t="s">
        <v>2050</v>
      </c>
      <c r="F1385" s="7" t="s">
        <v>2039</v>
      </c>
      <c r="G1385" s="7" t="s">
        <v>86</v>
      </c>
      <c r="H1385" s="7" t="s">
        <v>2051</v>
      </c>
      <c r="I1385" s="7">
        <v>43.093440000000001</v>
      </c>
      <c r="J1385" s="7">
        <v>-86.532849999999996</v>
      </c>
      <c r="K1385" s="7" t="s">
        <v>103</v>
      </c>
      <c r="L1385" s="7" t="s">
        <v>28</v>
      </c>
      <c r="N1385" s="7" t="s">
        <v>2052</v>
      </c>
      <c r="O1385" s="7" t="s">
        <v>44</v>
      </c>
      <c r="P1385" s="7" t="s">
        <v>2057</v>
      </c>
      <c r="Q1385" s="7" t="s">
        <v>31</v>
      </c>
    </row>
    <row r="1386" spans="1:17" s="7" customFormat="1" x14ac:dyDescent="0.35">
      <c r="A1386" s="7">
        <v>85</v>
      </c>
      <c r="B1386" s="7" t="s">
        <v>2037</v>
      </c>
      <c r="C1386" s="7">
        <v>2030</v>
      </c>
      <c r="D1386" s="7" t="s">
        <v>178</v>
      </c>
      <c r="E1386" s="8" t="s">
        <v>2050</v>
      </c>
      <c r="F1386" s="7" t="s">
        <v>2039</v>
      </c>
      <c r="G1386" s="7" t="s">
        <v>86</v>
      </c>
      <c r="H1386" s="7" t="s">
        <v>2051</v>
      </c>
      <c r="I1386" s="7">
        <v>43.637070000000001</v>
      </c>
      <c r="J1386" s="7">
        <v>-86.622200000000007</v>
      </c>
      <c r="K1386" s="7" t="s">
        <v>103</v>
      </c>
      <c r="L1386" s="7" t="s">
        <v>28</v>
      </c>
      <c r="N1386" s="7" t="s">
        <v>2052</v>
      </c>
      <c r="O1386" s="7" t="s">
        <v>44</v>
      </c>
      <c r="P1386" s="7" t="s">
        <v>2058</v>
      </c>
      <c r="Q1386" s="7" t="s">
        <v>31</v>
      </c>
    </row>
    <row r="1387" spans="1:17" s="7" customFormat="1" x14ac:dyDescent="0.35">
      <c r="A1387" s="7">
        <v>85</v>
      </c>
      <c r="B1387" s="7" t="s">
        <v>2037</v>
      </c>
      <c r="C1387" s="7">
        <v>2030</v>
      </c>
      <c r="D1387" s="7" t="s">
        <v>178</v>
      </c>
      <c r="E1387" s="8" t="s">
        <v>2050</v>
      </c>
      <c r="F1387" s="7" t="s">
        <v>2039</v>
      </c>
      <c r="G1387" s="7" t="s">
        <v>86</v>
      </c>
      <c r="H1387" s="7" t="s">
        <v>2051</v>
      </c>
      <c r="I1387" s="7">
        <v>44.750329999999998</v>
      </c>
      <c r="J1387" s="7">
        <v>-86.579790000000003</v>
      </c>
      <c r="K1387" s="7" t="s">
        <v>103</v>
      </c>
      <c r="L1387" s="7" t="s">
        <v>28</v>
      </c>
      <c r="N1387" s="7" t="s">
        <v>2052</v>
      </c>
      <c r="O1387" s="7" t="s">
        <v>44</v>
      </c>
      <c r="P1387" s="7" t="s">
        <v>2059</v>
      </c>
      <c r="Q1387" s="7" t="s">
        <v>31</v>
      </c>
    </row>
    <row r="1388" spans="1:17" s="7" customFormat="1" x14ac:dyDescent="0.35">
      <c r="A1388" s="7">
        <v>85</v>
      </c>
      <c r="B1388" s="7" t="s">
        <v>2037</v>
      </c>
      <c r="C1388" s="7">
        <v>2030</v>
      </c>
      <c r="D1388" s="7" t="s">
        <v>178</v>
      </c>
      <c r="E1388" s="8" t="s">
        <v>2050</v>
      </c>
      <c r="F1388" s="7" t="s">
        <v>2039</v>
      </c>
      <c r="G1388" s="7" t="s">
        <v>86</v>
      </c>
      <c r="H1388" s="7" t="s">
        <v>2051</v>
      </c>
      <c r="I1388" s="7">
        <v>44.96895</v>
      </c>
      <c r="J1388" s="7">
        <v>-86.037040000000005</v>
      </c>
      <c r="K1388" s="7" t="s">
        <v>103</v>
      </c>
      <c r="L1388" s="7" t="s">
        <v>28</v>
      </c>
      <c r="N1388" s="7" t="s">
        <v>2052</v>
      </c>
      <c r="O1388" s="7" t="s">
        <v>44</v>
      </c>
      <c r="P1388" s="7" t="s">
        <v>2060</v>
      </c>
      <c r="Q1388" s="7" t="s">
        <v>31</v>
      </c>
    </row>
    <row r="1389" spans="1:17" s="7" customFormat="1" x14ac:dyDescent="0.35">
      <c r="A1389" s="7">
        <v>85</v>
      </c>
      <c r="B1389" s="7" t="s">
        <v>2037</v>
      </c>
      <c r="C1389" s="7">
        <v>2031</v>
      </c>
      <c r="D1389" s="7" t="s">
        <v>178</v>
      </c>
      <c r="E1389" s="8" t="s">
        <v>2061</v>
      </c>
      <c r="F1389" s="7" t="s">
        <v>2039</v>
      </c>
      <c r="G1389" s="7" t="s">
        <v>86</v>
      </c>
      <c r="H1389" s="7" t="s">
        <v>2051</v>
      </c>
      <c r="I1389" s="7">
        <v>45.609909999999999</v>
      </c>
      <c r="J1389" s="7">
        <v>-87.045310000000001</v>
      </c>
      <c r="K1389" s="7" t="s">
        <v>103</v>
      </c>
      <c r="L1389" s="7" t="s">
        <v>28</v>
      </c>
      <c r="N1389" s="7" t="s">
        <v>2052</v>
      </c>
      <c r="O1389" s="7" t="s">
        <v>44</v>
      </c>
      <c r="P1389" s="7" t="s">
        <v>2062</v>
      </c>
      <c r="Q1389" s="7" t="s">
        <v>31</v>
      </c>
    </row>
    <row r="1390" spans="1:17" s="7" customFormat="1" x14ac:dyDescent="0.35">
      <c r="A1390" s="7">
        <v>85</v>
      </c>
      <c r="B1390" s="7" t="s">
        <v>2037</v>
      </c>
      <c r="C1390" s="7">
        <v>2032</v>
      </c>
      <c r="D1390" s="7" t="s">
        <v>178</v>
      </c>
      <c r="E1390" s="8" t="s">
        <v>2063</v>
      </c>
      <c r="F1390" s="7" t="s">
        <v>2039</v>
      </c>
      <c r="G1390" s="7" t="s">
        <v>86</v>
      </c>
      <c r="H1390" s="7" t="s">
        <v>2051</v>
      </c>
      <c r="I1390" s="7">
        <v>45.094479999999997</v>
      </c>
      <c r="J1390" s="7">
        <v>-87.546379999999999</v>
      </c>
      <c r="K1390" s="7" t="s">
        <v>103</v>
      </c>
      <c r="L1390" s="7" t="s">
        <v>28</v>
      </c>
      <c r="N1390" s="7" t="s">
        <v>2052</v>
      </c>
      <c r="O1390" s="7" t="s">
        <v>44</v>
      </c>
      <c r="P1390" s="7" t="s">
        <v>2064</v>
      </c>
      <c r="Q1390" s="7" t="s">
        <v>31</v>
      </c>
    </row>
    <row r="1391" spans="1:17" s="7" customFormat="1" x14ac:dyDescent="0.35">
      <c r="A1391" s="7">
        <v>85</v>
      </c>
      <c r="B1391" s="7" t="s">
        <v>2037</v>
      </c>
      <c r="C1391" s="7">
        <v>2033</v>
      </c>
      <c r="D1391" s="7" t="s">
        <v>178</v>
      </c>
      <c r="E1391" s="8" t="s">
        <v>2065</v>
      </c>
      <c r="F1391" s="7" t="s">
        <v>2039</v>
      </c>
      <c r="G1391" s="7" t="s">
        <v>86</v>
      </c>
      <c r="H1391" s="7" t="s">
        <v>2051</v>
      </c>
      <c r="I1391" s="7">
        <v>44.807789999999997</v>
      </c>
      <c r="J1391" s="7">
        <v>-87.72636</v>
      </c>
      <c r="K1391" s="7" t="s">
        <v>103</v>
      </c>
      <c r="L1391" s="7" t="s">
        <v>28</v>
      </c>
      <c r="N1391" s="7" t="s">
        <v>2052</v>
      </c>
      <c r="O1391" s="7" t="s">
        <v>44</v>
      </c>
      <c r="P1391" s="7" t="s">
        <v>2066</v>
      </c>
      <c r="Q1391" s="7" t="s">
        <v>31</v>
      </c>
    </row>
    <row r="1392" spans="1:17" s="7" customFormat="1" x14ac:dyDescent="0.35">
      <c r="A1392" s="7">
        <v>85</v>
      </c>
      <c r="B1392" s="7" t="s">
        <v>2037</v>
      </c>
      <c r="C1392" s="7">
        <v>2034</v>
      </c>
      <c r="D1392" s="7" t="s">
        <v>178</v>
      </c>
      <c r="E1392" s="8" t="s">
        <v>2067</v>
      </c>
      <c r="F1392" s="7" t="s">
        <v>2039</v>
      </c>
      <c r="G1392" s="7" t="s">
        <v>86</v>
      </c>
      <c r="H1392" s="7" t="s">
        <v>2051</v>
      </c>
      <c r="I1392" s="7">
        <v>44.064450000000001</v>
      </c>
      <c r="J1392" s="7">
        <v>-87.473460000000003</v>
      </c>
      <c r="K1392" s="7" t="s">
        <v>103</v>
      </c>
      <c r="L1392" s="7" t="s">
        <v>28</v>
      </c>
      <c r="N1392" s="7" t="s">
        <v>2052</v>
      </c>
      <c r="O1392" s="7" t="s">
        <v>44</v>
      </c>
      <c r="P1392" s="7" t="s">
        <v>2068</v>
      </c>
      <c r="Q1392" s="7" t="s">
        <v>31</v>
      </c>
    </row>
    <row r="1393" spans="1:19" s="7" customFormat="1" x14ac:dyDescent="0.35">
      <c r="A1393" s="7">
        <v>85</v>
      </c>
      <c r="B1393" s="7" t="s">
        <v>2037</v>
      </c>
      <c r="C1393" s="7">
        <v>2034</v>
      </c>
      <c r="D1393" s="7" t="s">
        <v>178</v>
      </c>
      <c r="E1393" s="8" t="s">
        <v>2067</v>
      </c>
      <c r="F1393" s="7" t="s">
        <v>2039</v>
      </c>
      <c r="G1393" s="7" t="s">
        <v>86</v>
      </c>
      <c r="H1393" s="7" t="s">
        <v>2051</v>
      </c>
      <c r="I1393" s="7">
        <v>44.136830000000003</v>
      </c>
      <c r="J1393" s="7">
        <v>-87.517390000000006</v>
      </c>
      <c r="K1393" s="7" t="s">
        <v>103</v>
      </c>
      <c r="L1393" s="7" t="s">
        <v>28</v>
      </c>
      <c r="N1393" s="7" t="s">
        <v>2052</v>
      </c>
      <c r="O1393" s="7" t="s">
        <v>44</v>
      </c>
      <c r="P1393" s="7" t="s">
        <v>2069</v>
      </c>
      <c r="Q1393" s="7" t="s">
        <v>31</v>
      </c>
    </row>
    <row r="1394" spans="1:19" s="7" customFormat="1" x14ac:dyDescent="0.35">
      <c r="A1394" s="7">
        <v>85</v>
      </c>
      <c r="B1394" s="7" t="s">
        <v>2037</v>
      </c>
      <c r="C1394" s="7">
        <v>2034</v>
      </c>
      <c r="D1394" s="7" t="s">
        <v>178</v>
      </c>
      <c r="E1394" s="8" t="s">
        <v>2067</v>
      </c>
      <c r="F1394" s="7" t="s">
        <v>2039</v>
      </c>
      <c r="G1394" s="7" t="s">
        <v>86</v>
      </c>
      <c r="H1394" s="7" t="s">
        <v>2051</v>
      </c>
      <c r="I1394" s="7">
        <v>44.085259999999998</v>
      </c>
      <c r="J1394" s="7">
        <v>-87.588830000000002</v>
      </c>
      <c r="K1394" s="7" t="s">
        <v>103</v>
      </c>
      <c r="L1394" s="7" t="s">
        <v>28</v>
      </c>
      <c r="N1394" s="7" t="s">
        <v>2052</v>
      </c>
      <c r="O1394" s="7" t="s">
        <v>44</v>
      </c>
      <c r="P1394" s="7" t="s">
        <v>2070</v>
      </c>
      <c r="Q1394" s="7" t="s">
        <v>31</v>
      </c>
    </row>
    <row r="1395" spans="1:19" s="7" customFormat="1" x14ac:dyDescent="0.35">
      <c r="A1395" s="7">
        <v>85</v>
      </c>
      <c r="B1395" s="7" t="s">
        <v>2037</v>
      </c>
      <c r="C1395" s="7">
        <v>2034</v>
      </c>
      <c r="D1395" s="7" t="s">
        <v>178</v>
      </c>
      <c r="E1395" s="8" t="s">
        <v>2067</v>
      </c>
      <c r="F1395" s="7" t="s">
        <v>2039</v>
      </c>
      <c r="G1395" s="7" t="s">
        <v>86</v>
      </c>
      <c r="H1395" s="7" t="s">
        <v>2051</v>
      </c>
      <c r="I1395" s="7">
        <v>42.733089999999997</v>
      </c>
      <c r="J1395" s="7">
        <v>-86.998140000000006</v>
      </c>
      <c r="K1395" s="7" t="s">
        <v>103</v>
      </c>
      <c r="L1395" s="7" t="s">
        <v>28</v>
      </c>
      <c r="N1395" s="7" t="s">
        <v>2052</v>
      </c>
      <c r="O1395" s="7" t="s">
        <v>44</v>
      </c>
      <c r="P1395" s="7" t="s">
        <v>2071</v>
      </c>
      <c r="Q1395" s="7" t="s">
        <v>31</v>
      </c>
    </row>
    <row r="1396" spans="1:19" s="7" customFormat="1" x14ac:dyDescent="0.35">
      <c r="A1396" s="7">
        <v>85</v>
      </c>
      <c r="B1396" s="7" t="s">
        <v>2037</v>
      </c>
      <c r="C1396" s="7">
        <v>2034</v>
      </c>
      <c r="D1396" s="7" t="s">
        <v>178</v>
      </c>
      <c r="E1396" s="8" t="s">
        <v>2067</v>
      </c>
      <c r="F1396" s="7" t="s">
        <v>2039</v>
      </c>
      <c r="G1396" s="7" t="s">
        <v>86</v>
      </c>
      <c r="H1396" s="7" t="s">
        <v>2051</v>
      </c>
      <c r="I1396" s="7">
        <v>44.089939999999999</v>
      </c>
      <c r="J1396" s="7">
        <v>-86.766670000000005</v>
      </c>
      <c r="K1396" s="7" t="s">
        <v>103</v>
      </c>
      <c r="L1396" s="7" t="s">
        <v>28</v>
      </c>
      <c r="N1396" s="7" t="s">
        <v>2052</v>
      </c>
      <c r="O1396" s="7" t="s">
        <v>44</v>
      </c>
      <c r="P1396" s="7" t="s">
        <v>2072</v>
      </c>
      <c r="Q1396" s="7" t="s">
        <v>31</v>
      </c>
    </row>
    <row r="1397" spans="1:19" s="7" customFormat="1" x14ac:dyDescent="0.35">
      <c r="A1397" s="7">
        <v>85</v>
      </c>
      <c r="B1397" s="7" t="s">
        <v>2037</v>
      </c>
      <c r="C1397" s="7">
        <v>2034</v>
      </c>
      <c r="D1397" s="7" t="s">
        <v>178</v>
      </c>
      <c r="E1397" s="8" t="s">
        <v>2067</v>
      </c>
      <c r="F1397" s="7" t="s">
        <v>2039</v>
      </c>
      <c r="G1397" s="7" t="s">
        <v>86</v>
      </c>
      <c r="H1397" s="7" t="s">
        <v>2051</v>
      </c>
      <c r="I1397" s="7">
        <v>45.17821</v>
      </c>
      <c r="J1397" s="7">
        <v>-86.374799999999993</v>
      </c>
      <c r="K1397" s="7" t="s">
        <v>103</v>
      </c>
      <c r="L1397" s="7" t="s">
        <v>28</v>
      </c>
      <c r="N1397" s="7" t="s">
        <v>2052</v>
      </c>
      <c r="O1397" s="7" t="s">
        <v>44</v>
      </c>
      <c r="P1397" s="7" t="s">
        <v>2073</v>
      </c>
      <c r="Q1397" s="7" t="s">
        <v>31</v>
      </c>
    </row>
    <row r="1398" spans="1:19" s="7" customFormat="1" x14ac:dyDescent="0.35">
      <c r="A1398" s="7">
        <v>85</v>
      </c>
      <c r="B1398" s="7" t="s">
        <v>2037</v>
      </c>
      <c r="C1398" s="7">
        <v>2034</v>
      </c>
      <c r="D1398" s="7" t="s">
        <v>178</v>
      </c>
      <c r="E1398" s="8" t="s">
        <v>2067</v>
      </c>
      <c r="F1398" s="7" t="s">
        <v>2039</v>
      </c>
      <c r="G1398" s="7" t="s">
        <v>86</v>
      </c>
      <c r="H1398" s="7" t="s">
        <v>2051</v>
      </c>
      <c r="I1398" s="7">
        <v>45.491300000000003</v>
      </c>
      <c r="J1398" s="7">
        <v>-87.033010000000004</v>
      </c>
      <c r="K1398" s="7" t="s">
        <v>103</v>
      </c>
      <c r="L1398" s="7" t="s">
        <v>28</v>
      </c>
      <c r="N1398" s="7" t="s">
        <v>2052</v>
      </c>
      <c r="O1398" s="7" t="s">
        <v>44</v>
      </c>
      <c r="P1398" s="7" t="s">
        <v>2074</v>
      </c>
      <c r="Q1398" s="7" t="s">
        <v>31</v>
      </c>
    </row>
    <row r="1399" spans="1:19" s="7" customFormat="1" x14ac:dyDescent="0.35">
      <c r="A1399" s="7">
        <v>85</v>
      </c>
      <c r="B1399" s="7" t="s">
        <v>2037</v>
      </c>
      <c r="C1399" s="7">
        <v>2034</v>
      </c>
      <c r="D1399" s="7" t="s">
        <v>178</v>
      </c>
      <c r="E1399" s="8" t="s">
        <v>2067</v>
      </c>
      <c r="F1399" s="7" t="s">
        <v>2039</v>
      </c>
      <c r="G1399" s="7" t="s">
        <v>86</v>
      </c>
      <c r="H1399" s="7" t="s">
        <v>2051</v>
      </c>
      <c r="I1399" s="7">
        <v>45.116340000000001</v>
      </c>
      <c r="J1399" s="7">
        <v>-87.41583</v>
      </c>
      <c r="K1399" s="7" t="s">
        <v>103</v>
      </c>
      <c r="L1399" s="7" t="s">
        <v>28</v>
      </c>
      <c r="N1399" s="7" t="s">
        <v>2052</v>
      </c>
      <c r="O1399" s="7" t="s">
        <v>44</v>
      </c>
      <c r="P1399" s="7" t="s">
        <v>2075</v>
      </c>
      <c r="Q1399" s="7" t="s">
        <v>31</v>
      </c>
    </row>
    <row r="1400" spans="1:19" s="7" customFormat="1" x14ac:dyDescent="0.35">
      <c r="A1400" s="7">
        <v>86</v>
      </c>
      <c r="B1400" s="7" t="s">
        <v>2076</v>
      </c>
      <c r="C1400" s="7">
        <v>2025</v>
      </c>
      <c r="D1400" s="7" t="s">
        <v>2077</v>
      </c>
      <c r="E1400" s="8" t="s">
        <v>2078</v>
      </c>
      <c r="F1400" s="7" t="s">
        <v>2079</v>
      </c>
      <c r="G1400" s="7" t="s">
        <v>54</v>
      </c>
      <c r="H1400" s="7" t="s">
        <v>2080</v>
      </c>
      <c r="I1400" s="70">
        <v>49.304997</v>
      </c>
      <c r="J1400" s="7">
        <v>-124.241559</v>
      </c>
      <c r="K1400" s="7" t="s">
        <v>138</v>
      </c>
      <c r="L1400" s="7" t="s">
        <v>163</v>
      </c>
      <c r="N1400" s="7" t="s">
        <v>2081</v>
      </c>
      <c r="O1400" s="7" t="s">
        <v>31</v>
      </c>
      <c r="P1400" s="7" t="s">
        <v>2081</v>
      </c>
      <c r="Q1400" s="7" t="s">
        <v>31</v>
      </c>
      <c r="S1400" s="8"/>
    </row>
    <row r="1401" spans="1:19" s="7" customFormat="1" x14ac:dyDescent="0.35">
      <c r="A1401" s="7">
        <v>86</v>
      </c>
      <c r="B1401" s="7" t="s">
        <v>2076</v>
      </c>
      <c r="C1401" s="7">
        <v>2025</v>
      </c>
      <c r="D1401" s="7" t="s">
        <v>2077</v>
      </c>
      <c r="E1401" s="8" t="s">
        <v>2083</v>
      </c>
      <c r="F1401" s="7" t="s">
        <v>2079</v>
      </c>
      <c r="G1401" s="7" t="s">
        <v>54</v>
      </c>
      <c r="H1401" s="7" t="s">
        <v>2080</v>
      </c>
      <c r="I1401" s="70">
        <v>49.304355000000001</v>
      </c>
      <c r="J1401" s="7">
        <v>-124.244981</v>
      </c>
      <c r="K1401" s="7" t="s">
        <v>138</v>
      </c>
      <c r="L1401" s="7" t="s">
        <v>163</v>
      </c>
      <c r="N1401" s="7" t="s">
        <v>2081</v>
      </c>
      <c r="O1401" s="7" t="s">
        <v>31</v>
      </c>
      <c r="P1401" s="7" t="s">
        <v>2081</v>
      </c>
      <c r="Q1401" s="7" t="s">
        <v>31</v>
      </c>
      <c r="S1401" s="8"/>
    </row>
    <row r="1402" spans="1:19" s="7" customFormat="1" x14ac:dyDescent="0.35">
      <c r="A1402" s="7">
        <v>86</v>
      </c>
      <c r="B1402" s="7" t="s">
        <v>2076</v>
      </c>
      <c r="C1402" s="7">
        <v>2025</v>
      </c>
      <c r="D1402" s="7" t="s">
        <v>2077</v>
      </c>
      <c r="E1402" s="8" t="s">
        <v>2083</v>
      </c>
      <c r="F1402" s="7" t="s">
        <v>2079</v>
      </c>
      <c r="G1402" s="7" t="s">
        <v>54</v>
      </c>
      <c r="H1402" s="7" t="s">
        <v>2080</v>
      </c>
      <c r="I1402" s="70">
        <v>49.303866999999997</v>
      </c>
      <c r="J1402" s="7">
        <v>-124.250134</v>
      </c>
      <c r="K1402" s="7" t="s">
        <v>138</v>
      </c>
      <c r="L1402" s="7" t="s">
        <v>163</v>
      </c>
      <c r="N1402" s="7" t="s">
        <v>2081</v>
      </c>
      <c r="O1402" s="7" t="s">
        <v>31</v>
      </c>
      <c r="P1402" s="7" t="s">
        <v>2081</v>
      </c>
      <c r="Q1402" s="7" t="s">
        <v>31</v>
      </c>
      <c r="S1402" s="8"/>
    </row>
    <row r="1403" spans="1:19" s="7" customFormat="1" x14ac:dyDescent="0.35">
      <c r="A1403" s="7">
        <v>86</v>
      </c>
      <c r="B1403" s="7" t="s">
        <v>2076</v>
      </c>
      <c r="C1403" s="7">
        <v>2025</v>
      </c>
      <c r="D1403" s="7" t="s">
        <v>2077</v>
      </c>
      <c r="E1403" s="8" t="s">
        <v>2083</v>
      </c>
      <c r="F1403" s="7" t="s">
        <v>2079</v>
      </c>
      <c r="G1403" s="7" t="s">
        <v>54</v>
      </c>
      <c r="H1403" s="7" t="s">
        <v>2080</v>
      </c>
      <c r="I1403" s="70">
        <v>49.305345000000003</v>
      </c>
      <c r="J1403" s="7">
        <v>-124.253726</v>
      </c>
      <c r="K1403" s="7" t="s">
        <v>138</v>
      </c>
      <c r="L1403" s="7" t="s">
        <v>163</v>
      </c>
      <c r="N1403" s="7" t="s">
        <v>2081</v>
      </c>
      <c r="O1403" s="7" t="s">
        <v>31</v>
      </c>
      <c r="P1403" s="7" t="s">
        <v>2081</v>
      </c>
      <c r="Q1403" s="7" t="s">
        <v>31</v>
      </c>
      <c r="S1403" s="8"/>
    </row>
    <row r="1404" spans="1:19" s="7" customFormat="1" x14ac:dyDescent="0.35">
      <c r="A1404" s="7">
        <v>87</v>
      </c>
      <c r="B1404" s="7" t="s">
        <v>2084</v>
      </c>
      <c r="C1404" s="7">
        <v>2019</v>
      </c>
      <c r="D1404" s="7" t="s">
        <v>2085</v>
      </c>
      <c r="E1404" s="8" t="s">
        <v>2086</v>
      </c>
      <c r="F1404" s="7" t="s">
        <v>2087</v>
      </c>
      <c r="G1404" s="7" t="s">
        <v>54</v>
      </c>
      <c r="H1404" s="71" t="s">
        <v>2088</v>
      </c>
      <c r="I1404" s="52">
        <v>50.119950000000003</v>
      </c>
      <c r="J1404" s="52">
        <v>-125.227949</v>
      </c>
      <c r="K1404" s="7" t="s">
        <v>41</v>
      </c>
      <c r="L1404" s="7" t="s">
        <v>163</v>
      </c>
      <c r="N1404" s="7" t="s">
        <v>2090</v>
      </c>
      <c r="O1404" s="7" t="s">
        <v>31</v>
      </c>
      <c r="P1404" s="7" t="s">
        <v>2090</v>
      </c>
      <c r="Q1404" s="7" t="s">
        <v>31</v>
      </c>
    </row>
    <row r="1405" spans="1:19" s="7" customFormat="1" x14ac:dyDescent="0.35">
      <c r="A1405" s="7">
        <v>87</v>
      </c>
      <c r="B1405" s="7" t="s">
        <v>2084</v>
      </c>
      <c r="C1405" s="7">
        <v>2019</v>
      </c>
      <c r="D1405" s="7" t="s">
        <v>2085</v>
      </c>
      <c r="E1405" s="8" t="s">
        <v>2086</v>
      </c>
      <c r="F1405" s="7" t="s">
        <v>2087</v>
      </c>
      <c r="G1405" s="7" t="s">
        <v>54</v>
      </c>
      <c r="H1405" s="71" t="s">
        <v>2091</v>
      </c>
      <c r="I1405" s="52">
        <v>50.121496</v>
      </c>
      <c r="J1405" s="52">
        <v>-125.23427100000001</v>
      </c>
      <c r="K1405" s="7" t="s">
        <v>41</v>
      </c>
      <c r="L1405" s="7" t="s">
        <v>163</v>
      </c>
      <c r="N1405" s="7" t="s">
        <v>2093</v>
      </c>
      <c r="O1405" s="7" t="s">
        <v>31</v>
      </c>
      <c r="P1405" s="7" t="s">
        <v>2093</v>
      </c>
      <c r="Q1405" s="7" t="s">
        <v>31</v>
      </c>
    </row>
    <row r="1406" spans="1:19" s="7" customFormat="1" x14ac:dyDescent="0.35">
      <c r="A1406" s="7">
        <v>87</v>
      </c>
      <c r="B1406" s="7" t="s">
        <v>2084</v>
      </c>
      <c r="C1406" s="7">
        <v>2019</v>
      </c>
      <c r="D1406" s="7" t="s">
        <v>2085</v>
      </c>
      <c r="E1406" s="8" t="s">
        <v>2086</v>
      </c>
      <c r="F1406" s="7" t="s">
        <v>2087</v>
      </c>
      <c r="G1406" s="7" t="s">
        <v>54</v>
      </c>
      <c r="H1406" s="71" t="s">
        <v>2094</v>
      </c>
      <c r="I1406" s="52">
        <v>50.199317000000001</v>
      </c>
      <c r="J1406" s="52">
        <v>-125.06346600000001</v>
      </c>
      <c r="K1406" s="7" t="s">
        <v>41</v>
      </c>
      <c r="L1406" s="7" t="s">
        <v>163</v>
      </c>
      <c r="N1406" s="7" t="s">
        <v>1473</v>
      </c>
      <c r="O1406" s="7" t="s">
        <v>31</v>
      </c>
      <c r="P1406" s="7" t="s">
        <v>1473</v>
      </c>
      <c r="Q1406" s="7" t="s">
        <v>31</v>
      </c>
    </row>
    <row r="1407" spans="1:19" s="7" customFormat="1" x14ac:dyDescent="0.35">
      <c r="A1407" s="7">
        <v>87</v>
      </c>
      <c r="B1407" s="7" t="s">
        <v>2084</v>
      </c>
      <c r="C1407" s="7">
        <v>2019</v>
      </c>
      <c r="D1407" s="7" t="s">
        <v>2085</v>
      </c>
      <c r="E1407" s="8" t="s">
        <v>2086</v>
      </c>
      <c r="F1407" s="7" t="s">
        <v>2087</v>
      </c>
      <c r="G1407" s="7" t="s">
        <v>54</v>
      </c>
      <c r="H1407" s="71" t="s">
        <v>2096</v>
      </c>
      <c r="I1407" s="52">
        <v>50.195278000000002</v>
      </c>
      <c r="J1407" s="52">
        <v>-125.066129</v>
      </c>
      <c r="K1407" s="7" t="s">
        <v>41</v>
      </c>
      <c r="L1407" s="7" t="s">
        <v>163</v>
      </c>
      <c r="N1407" s="7" t="s">
        <v>2098</v>
      </c>
      <c r="O1407" s="7" t="s">
        <v>31</v>
      </c>
      <c r="P1407" s="7" t="s">
        <v>2098</v>
      </c>
      <c r="Q1407" s="7" t="s">
        <v>31</v>
      </c>
    </row>
    <row r="1408" spans="1:19" s="7" customFormat="1" x14ac:dyDescent="0.35">
      <c r="A1408" s="7">
        <v>87</v>
      </c>
      <c r="B1408" s="7" t="s">
        <v>2084</v>
      </c>
      <c r="C1408" s="7">
        <v>2019</v>
      </c>
      <c r="D1408" s="7" t="s">
        <v>2085</v>
      </c>
      <c r="E1408" s="8" t="s">
        <v>2086</v>
      </c>
      <c r="F1408" s="7" t="s">
        <v>2087</v>
      </c>
      <c r="G1408" s="7" t="s">
        <v>54</v>
      </c>
      <c r="H1408" s="7" t="s">
        <v>2099</v>
      </c>
      <c r="I1408" s="52">
        <v>50.017679999999999</v>
      </c>
      <c r="J1408" s="52">
        <v>-124.726366</v>
      </c>
      <c r="K1408" s="7" t="s">
        <v>41</v>
      </c>
      <c r="L1408" s="7" t="s">
        <v>163</v>
      </c>
      <c r="N1408" s="7" t="s">
        <v>2101</v>
      </c>
      <c r="O1408" s="7" t="s">
        <v>31</v>
      </c>
      <c r="P1408" s="7" t="s">
        <v>2101</v>
      </c>
      <c r="Q1408" s="7" t="s">
        <v>31</v>
      </c>
    </row>
    <row r="1409" spans="1:18" s="7" customFormat="1" x14ac:dyDescent="0.35">
      <c r="A1409" s="7">
        <v>87</v>
      </c>
      <c r="B1409" s="7" t="s">
        <v>2084</v>
      </c>
      <c r="C1409" s="7">
        <v>2019</v>
      </c>
      <c r="D1409" s="7" t="s">
        <v>2085</v>
      </c>
      <c r="E1409" s="8" t="s">
        <v>2086</v>
      </c>
      <c r="F1409" s="7" t="s">
        <v>2087</v>
      </c>
      <c r="G1409" s="7" t="s">
        <v>54</v>
      </c>
      <c r="H1409" s="7" t="s">
        <v>2102</v>
      </c>
      <c r="I1409" s="52">
        <v>50.021819999999998</v>
      </c>
      <c r="J1409" s="52">
        <v>-124.731927</v>
      </c>
      <c r="K1409" s="7" t="s">
        <v>41</v>
      </c>
      <c r="L1409" s="7" t="s">
        <v>163</v>
      </c>
      <c r="N1409" s="7" t="s">
        <v>2104</v>
      </c>
      <c r="O1409" s="7" t="s">
        <v>31</v>
      </c>
      <c r="P1409" s="7" t="s">
        <v>2104</v>
      </c>
      <c r="Q1409" s="7" t="s">
        <v>31</v>
      </c>
    </row>
    <row r="1410" spans="1:18" s="7" customFormat="1" x14ac:dyDescent="0.35">
      <c r="A1410" s="7">
        <v>87</v>
      </c>
      <c r="B1410" s="7" t="s">
        <v>2084</v>
      </c>
      <c r="C1410" s="7">
        <v>2019</v>
      </c>
      <c r="D1410" s="7" t="s">
        <v>2085</v>
      </c>
      <c r="E1410" s="8" t="s">
        <v>2086</v>
      </c>
      <c r="F1410" s="7" t="s">
        <v>2087</v>
      </c>
      <c r="G1410" s="7" t="s">
        <v>54</v>
      </c>
      <c r="H1410" s="7" t="s">
        <v>2105</v>
      </c>
      <c r="I1410" s="52">
        <v>49.971294</v>
      </c>
      <c r="J1410" s="52">
        <v>-124.68742</v>
      </c>
      <c r="K1410" s="7" t="s">
        <v>41</v>
      </c>
      <c r="L1410" s="7" t="s">
        <v>163</v>
      </c>
      <c r="N1410" s="7" t="s">
        <v>2107</v>
      </c>
      <c r="O1410" s="7" t="s">
        <v>31</v>
      </c>
      <c r="P1410" s="7" t="s">
        <v>2107</v>
      </c>
      <c r="Q1410" s="7" t="s">
        <v>31</v>
      </c>
    </row>
    <row r="1411" spans="1:18" s="7" customFormat="1" x14ac:dyDescent="0.35">
      <c r="A1411" s="7">
        <v>87</v>
      </c>
      <c r="B1411" s="7" t="s">
        <v>2084</v>
      </c>
      <c r="C1411" s="7">
        <v>2019</v>
      </c>
      <c r="D1411" s="7" t="s">
        <v>2085</v>
      </c>
      <c r="E1411" s="8" t="s">
        <v>2086</v>
      </c>
      <c r="F1411" s="7" t="s">
        <v>2087</v>
      </c>
      <c r="G1411" s="7" t="s">
        <v>54</v>
      </c>
      <c r="H1411" s="7" t="s">
        <v>2108</v>
      </c>
      <c r="I1411" s="52">
        <v>49.965992</v>
      </c>
      <c r="J1411" s="52">
        <v>-124.683892</v>
      </c>
      <c r="K1411" s="7" t="s">
        <v>41</v>
      </c>
      <c r="L1411" s="7" t="s">
        <v>163</v>
      </c>
      <c r="N1411" s="7" t="s">
        <v>2110</v>
      </c>
      <c r="O1411" s="7" t="s">
        <v>31</v>
      </c>
      <c r="P1411" s="7" t="s">
        <v>2110</v>
      </c>
      <c r="Q1411" s="7" t="s">
        <v>31</v>
      </c>
    </row>
    <row r="1412" spans="1:18" s="7" customFormat="1" x14ac:dyDescent="0.35">
      <c r="A1412" s="7">
        <v>87</v>
      </c>
      <c r="B1412" s="7" t="s">
        <v>2084</v>
      </c>
      <c r="C1412" s="7">
        <v>2019</v>
      </c>
      <c r="D1412" s="7" t="s">
        <v>2085</v>
      </c>
      <c r="E1412" s="8" t="s">
        <v>2086</v>
      </c>
      <c r="F1412" s="7" t="s">
        <v>2087</v>
      </c>
      <c r="G1412" s="7" t="s">
        <v>54</v>
      </c>
      <c r="H1412" s="71" t="s">
        <v>2111</v>
      </c>
      <c r="I1412" s="52">
        <v>49.504444999999997</v>
      </c>
      <c r="J1412" s="52">
        <v>-124.809876</v>
      </c>
      <c r="K1412" s="7" t="s">
        <v>41</v>
      </c>
      <c r="L1412" s="7" t="s">
        <v>163</v>
      </c>
      <c r="N1412" s="7" t="s">
        <v>2113</v>
      </c>
      <c r="O1412" s="7" t="s">
        <v>31</v>
      </c>
      <c r="P1412" s="7" t="s">
        <v>2113</v>
      </c>
      <c r="Q1412" s="7" t="s">
        <v>31</v>
      </c>
    </row>
    <row r="1413" spans="1:18" s="7" customFormat="1" x14ac:dyDescent="0.35">
      <c r="A1413" s="7">
        <v>87</v>
      </c>
      <c r="B1413" s="7" t="s">
        <v>2084</v>
      </c>
      <c r="C1413" s="7">
        <v>2019</v>
      </c>
      <c r="D1413" s="7" t="s">
        <v>2085</v>
      </c>
      <c r="E1413" s="8" t="s">
        <v>2086</v>
      </c>
      <c r="F1413" s="7" t="s">
        <v>2087</v>
      </c>
      <c r="G1413" s="7" t="s">
        <v>54</v>
      </c>
      <c r="H1413" s="71" t="s">
        <v>2114</v>
      </c>
      <c r="I1413" s="52">
        <v>49.503155</v>
      </c>
      <c r="J1413" s="52">
        <v>-124.810018</v>
      </c>
      <c r="K1413" s="7" t="s">
        <v>41</v>
      </c>
      <c r="L1413" s="7" t="s">
        <v>163</v>
      </c>
      <c r="N1413" s="7" t="s">
        <v>2116</v>
      </c>
      <c r="O1413" s="7" t="s">
        <v>31</v>
      </c>
      <c r="P1413" s="7" t="s">
        <v>2116</v>
      </c>
      <c r="Q1413" s="7" t="s">
        <v>31</v>
      </c>
    </row>
    <row r="1414" spans="1:18" s="7" customFormat="1" x14ac:dyDescent="0.35">
      <c r="A1414" s="7">
        <v>87</v>
      </c>
      <c r="B1414" s="7" t="s">
        <v>2084</v>
      </c>
      <c r="C1414" s="7">
        <v>2019</v>
      </c>
      <c r="D1414" s="7" t="s">
        <v>2085</v>
      </c>
      <c r="E1414" s="8" t="s">
        <v>2086</v>
      </c>
      <c r="F1414" s="7" t="s">
        <v>2087</v>
      </c>
      <c r="G1414" s="7" t="s">
        <v>54</v>
      </c>
      <c r="H1414" s="71" t="s">
        <v>2117</v>
      </c>
      <c r="I1414" s="52">
        <v>49.468730999999998</v>
      </c>
      <c r="J1414" s="52">
        <v>-124.77795</v>
      </c>
      <c r="K1414" s="7" t="s">
        <v>41</v>
      </c>
      <c r="L1414" s="7" t="s">
        <v>163</v>
      </c>
      <c r="N1414" s="7" t="s">
        <v>2119</v>
      </c>
      <c r="O1414" s="7" t="s">
        <v>31</v>
      </c>
      <c r="P1414" s="7" t="s">
        <v>2119</v>
      </c>
      <c r="Q1414" s="7" t="s">
        <v>31</v>
      </c>
    </row>
    <row r="1415" spans="1:18" s="7" customFormat="1" x14ac:dyDescent="0.35">
      <c r="A1415" s="7">
        <v>87</v>
      </c>
      <c r="B1415" s="7" t="s">
        <v>2084</v>
      </c>
      <c r="C1415" s="7">
        <v>2019</v>
      </c>
      <c r="D1415" s="7" t="s">
        <v>2085</v>
      </c>
      <c r="E1415" s="8" t="s">
        <v>2086</v>
      </c>
      <c r="F1415" s="7" t="s">
        <v>2087</v>
      </c>
      <c r="G1415" s="7" t="s">
        <v>54</v>
      </c>
      <c r="H1415" s="71" t="s">
        <v>2120</v>
      </c>
      <c r="I1415" s="52">
        <v>49.468409000000001</v>
      </c>
      <c r="J1415" s="52">
        <v>-124.77866</v>
      </c>
      <c r="K1415" s="7" t="s">
        <v>41</v>
      </c>
      <c r="L1415" s="7" t="s">
        <v>163</v>
      </c>
      <c r="N1415" s="7" t="s">
        <v>1632</v>
      </c>
      <c r="O1415" s="7" t="s">
        <v>31</v>
      </c>
      <c r="P1415" s="7" t="s">
        <v>1632</v>
      </c>
      <c r="Q1415" s="7" t="s">
        <v>31</v>
      </c>
    </row>
    <row r="1416" spans="1:18" s="7" customFormat="1" x14ac:dyDescent="0.35">
      <c r="A1416" s="7">
        <v>87</v>
      </c>
      <c r="B1416" s="7" t="s">
        <v>2084</v>
      </c>
      <c r="C1416" s="7">
        <v>2019</v>
      </c>
      <c r="D1416" s="7" t="s">
        <v>2085</v>
      </c>
      <c r="E1416" s="8" t="s">
        <v>2086</v>
      </c>
      <c r="F1416" s="7" t="s">
        <v>2087</v>
      </c>
      <c r="G1416" s="7" t="s">
        <v>54</v>
      </c>
      <c r="H1416" s="71" t="s">
        <v>1480</v>
      </c>
      <c r="I1416" s="52">
        <v>49.4587</v>
      </c>
      <c r="J1416" s="52">
        <v>-124.741063</v>
      </c>
      <c r="K1416" s="7" t="s">
        <v>41</v>
      </c>
      <c r="L1416" s="7" t="s">
        <v>163</v>
      </c>
      <c r="N1416" s="7" t="s">
        <v>2123</v>
      </c>
      <c r="O1416" s="7" t="s">
        <v>31</v>
      </c>
      <c r="P1416" s="7" t="s">
        <v>2123</v>
      </c>
      <c r="Q1416" s="7" t="s">
        <v>31</v>
      </c>
    </row>
    <row r="1417" spans="1:18" s="7" customFormat="1" x14ac:dyDescent="0.35">
      <c r="A1417" s="7">
        <v>87</v>
      </c>
      <c r="B1417" s="7" t="s">
        <v>2084</v>
      </c>
      <c r="C1417" s="7">
        <v>2019</v>
      </c>
      <c r="D1417" s="7" t="s">
        <v>2085</v>
      </c>
      <c r="E1417" s="8" t="s">
        <v>2086</v>
      </c>
      <c r="F1417" s="7" t="s">
        <v>2087</v>
      </c>
      <c r="G1417" s="7" t="s">
        <v>54</v>
      </c>
      <c r="H1417" s="71" t="s">
        <v>2124</v>
      </c>
      <c r="I1417" s="52">
        <v>49.462705999999997</v>
      </c>
      <c r="J1417" s="52">
        <v>-124.72985199999999</v>
      </c>
      <c r="K1417" s="7" t="s">
        <v>41</v>
      </c>
      <c r="L1417" s="7" t="s">
        <v>163</v>
      </c>
      <c r="N1417" s="7" t="s">
        <v>2126</v>
      </c>
      <c r="O1417" s="7" t="s">
        <v>31</v>
      </c>
      <c r="P1417" s="7" t="s">
        <v>2126</v>
      </c>
      <c r="Q1417" s="7" t="s">
        <v>31</v>
      </c>
    </row>
    <row r="1418" spans="1:18" s="7" customFormat="1" x14ac:dyDescent="0.35">
      <c r="A1418" s="7">
        <v>87</v>
      </c>
      <c r="B1418" s="7" t="s">
        <v>2084</v>
      </c>
      <c r="C1418" s="7">
        <v>2019</v>
      </c>
      <c r="D1418" s="7" t="s">
        <v>2085</v>
      </c>
      <c r="E1418" s="8" t="s">
        <v>2086</v>
      </c>
      <c r="F1418" s="7" t="s">
        <v>2087</v>
      </c>
      <c r="G1418" s="7" t="s">
        <v>54</v>
      </c>
      <c r="H1418" s="71" t="s">
        <v>2127</v>
      </c>
      <c r="I1418" s="52">
        <v>49.186892999999998</v>
      </c>
      <c r="J1418" s="52">
        <v>-125.890227</v>
      </c>
      <c r="K1418" s="7" t="s">
        <v>41</v>
      </c>
      <c r="L1418" s="7" t="s">
        <v>163</v>
      </c>
      <c r="N1418" s="7" t="s">
        <v>2129</v>
      </c>
      <c r="O1418" s="7" t="s">
        <v>31</v>
      </c>
      <c r="P1418" s="7" t="s">
        <v>2129</v>
      </c>
      <c r="Q1418" s="7" t="s">
        <v>31</v>
      </c>
    </row>
    <row r="1419" spans="1:18" s="7" customFormat="1" x14ac:dyDescent="0.35">
      <c r="A1419" s="7">
        <v>87</v>
      </c>
      <c r="B1419" s="7" t="s">
        <v>2084</v>
      </c>
      <c r="C1419" s="7">
        <v>2019</v>
      </c>
      <c r="D1419" s="7" t="s">
        <v>2085</v>
      </c>
      <c r="E1419" s="8" t="s">
        <v>2086</v>
      </c>
      <c r="F1419" s="7" t="s">
        <v>2087</v>
      </c>
      <c r="G1419" s="7" t="s">
        <v>54</v>
      </c>
      <c r="H1419" s="71" t="s">
        <v>2130</v>
      </c>
      <c r="I1419" s="52">
        <v>49.188524999999998</v>
      </c>
      <c r="J1419" s="52">
        <v>-125.88036200000001</v>
      </c>
      <c r="K1419" s="7" t="s">
        <v>41</v>
      </c>
      <c r="L1419" s="7" t="s">
        <v>163</v>
      </c>
      <c r="N1419" s="7" t="s">
        <v>2132</v>
      </c>
      <c r="O1419" s="7" t="s">
        <v>31</v>
      </c>
      <c r="P1419" s="7" t="s">
        <v>2132</v>
      </c>
      <c r="Q1419" s="7" t="s">
        <v>31</v>
      </c>
    </row>
    <row r="1420" spans="1:18" s="7" customFormat="1" x14ac:dyDescent="0.35">
      <c r="A1420" s="7">
        <v>87</v>
      </c>
      <c r="B1420" s="7" t="s">
        <v>2084</v>
      </c>
      <c r="C1420" s="7">
        <v>2019</v>
      </c>
      <c r="D1420" s="7" t="s">
        <v>2085</v>
      </c>
      <c r="E1420" s="8" t="s">
        <v>2086</v>
      </c>
      <c r="F1420" s="7" t="s">
        <v>2087</v>
      </c>
      <c r="G1420" s="7" t="s">
        <v>54</v>
      </c>
      <c r="H1420" s="71" t="s">
        <v>2088</v>
      </c>
      <c r="I1420" s="52">
        <v>50.119950000000003</v>
      </c>
      <c r="J1420" s="52">
        <v>-125.227949</v>
      </c>
      <c r="K1420" s="7" t="s">
        <v>103</v>
      </c>
      <c r="L1420" s="7" t="s">
        <v>163</v>
      </c>
      <c r="N1420" s="7" t="s">
        <v>2133</v>
      </c>
      <c r="O1420" s="7" t="s">
        <v>31</v>
      </c>
      <c r="P1420" s="7" t="s">
        <v>2133</v>
      </c>
      <c r="Q1420" s="7" t="s">
        <v>31</v>
      </c>
      <c r="R1420" s="7" t="s">
        <v>2134</v>
      </c>
    </row>
    <row r="1421" spans="1:18" s="7" customFormat="1" x14ac:dyDescent="0.35">
      <c r="A1421" s="7">
        <v>87</v>
      </c>
      <c r="B1421" s="7" t="s">
        <v>2084</v>
      </c>
      <c r="C1421" s="7">
        <v>2019</v>
      </c>
      <c r="D1421" s="7" t="s">
        <v>2085</v>
      </c>
      <c r="E1421" s="8" t="s">
        <v>2086</v>
      </c>
      <c r="F1421" s="7" t="s">
        <v>2087</v>
      </c>
      <c r="G1421" s="7" t="s">
        <v>54</v>
      </c>
      <c r="H1421" s="71" t="s">
        <v>2091</v>
      </c>
      <c r="I1421" s="52">
        <v>50.121496</v>
      </c>
      <c r="J1421" s="52">
        <v>-125.23427100000001</v>
      </c>
      <c r="K1421" s="7" t="s">
        <v>103</v>
      </c>
      <c r="L1421" s="7" t="s">
        <v>163</v>
      </c>
      <c r="N1421" s="7" t="s">
        <v>2135</v>
      </c>
      <c r="O1421" s="7" t="s">
        <v>31</v>
      </c>
      <c r="P1421" s="7" t="s">
        <v>2135</v>
      </c>
      <c r="Q1421" s="7" t="s">
        <v>31</v>
      </c>
    </row>
    <row r="1422" spans="1:18" s="7" customFormat="1" x14ac:dyDescent="0.35">
      <c r="A1422" s="7">
        <v>87</v>
      </c>
      <c r="B1422" s="7" t="s">
        <v>2084</v>
      </c>
      <c r="C1422" s="7">
        <v>2019</v>
      </c>
      <c r="D1422" s="7" t="s">
        <v>2085</v>
      </c>
      <c r="E1422" s="8" t="s">
        <v>2086</v>
      </c>
      <c r="F1422" s="7" t="s">
        <v>2087</v>
      </c>
      <c r="G1422" s="7" t="s">
        <v>54</v>
      </c>
      <c r="H1422" s="71" t="s">
        <v>2094</v>
      </c>
      <c r="I1422" s="52">
        <v>50.199317000000001</v>
      </c>
      <c r="J1422" s="52">
        <v>-125.06346600000001</v>
      </c>
      <c r="K1422" s="7" t="s">
        <v>103</v>
      </c>
      <c r="L1422" s="7" t="s">
        <v>163</v>
      </c>
      <c r="N1422" s="7" t="s">
        <v>2136</v>
      </c>
      <c r="O1422" s="7" t="s">
        <v>31</v>
      </c>
      <c r="P1422" s="7" t="s">
        <v>2136</v>
      </c>
      <c r="Q1422" s="7" t="s">
        <v>31</v>
      </c>
    </row>
    <row r="1423" spans="1:18" s="7" customFormat="1" x14ac:dyDescent="0.35">
      <c r="A1423" s="7">
        <v>87</v>
      </c>
      <c r="B1423" s="7" t="s">
        <v>2084</v>
      </c>
      <c r="C1423" s="7">
        <v>2019</v>
      </c>
      <c r="D1423" s="7" t="s">
        <v>2085</v>
      </c>
      <c r="E1423" s="8" t="s">
        <v>2086</v>
      </c>
      <c r="F1423" s="7" t="s">
        <v>2087</v>
      </c>
      <c r="G1423" s="7" t="s">
        <v>54</v>
      </c>
      <c r="H1423" s="71" t="s">
        <v>2096</v>
      </c>
      <c r="I1423" s="52">
        <v>50.195278000000002</v>
      </c>
      <c r="J1423" s="52">
        <v>-125.066129</v>
      </c>
      <c r="K1423" s="7" t="s">
        <v>103</v>
      </c>
      <c r="L1423" s="7" t="s">
        <v>163</v>
      </c>
      <c r="N1423" s="7" t="s">
        <v>2137</v>
      </c>
      <c r="O1423" s="7" t="s">
        <v>31</v>
      </c>
      <c r="P1423" s="7" t="s">
        <v>2137</v>
      </c>
      <c r="Q1423" s="7" t="s">
        <v>31</v>
      </c>
    </row>
    <row r="1424" spans="1:18" s="7" customFormat="1" x14ac:dyDescent="0.35">
      <c r="A1424" s="7">
        <v>87</v>
      </c>
      <c r="B1424" s="7" t="s">
        <v>2084</v>
      </c>
      <c r="C1424" s="7">
        <v>2019</v>
      </c>
      <c r="D1424" s="7" t="s">
        <v>2085</v>
      </c>
      <c r="E1424" s="8" t="s">
        <v>2086</v>
      </c>
      <c r="F1424" s="7" t="s">
        <v>2087</v>
      </c>
      <c r="G1424" s="7" t="s">
        <v>54</v>
      </c>
      <c r="H1424" s="7" t="s">
        <v>2099</v>
      </c>
      <c r="I1424" s="52">
        <v>50.017679999999999</v>
      </c>
      <c r="J1424" s="52">
        <v>-124.726366</v>
      </c>
      <c r="K1424" s="7" t="s">
        <v>103</v>
      </c>
      <c r="L1424" s="7" t="s">
        <v>163</v>
      </c>
      <c r="N1424" s="7" t="s">
        <v>2138</v>
      </c>
      <c r="O1424" s="7" t="s">
        <v>31</v>
      </c>
      <c r="P1424" s="7" t="s">
        <v>2138</v>
      </c>
      <c r="Q1424" s="7" t="s">
        <v>31</v>
      </c>
    </row>
    <row r="1425" spans="1:19" s="7" customFormat="1" x14ac:dyDescent="0.35">
      <c r="A1425" s="7">
        <v>87</v>
      </c>
      <c r="B1425" s="7" t="s">
        <v>2084</v>
      </c>
      <c r="C1425" s="7">
        <v>2019</v>
      </c>
      <c r="D1425" s="7" t="s">
        <v>2085</v>
      </c>
      <c r="E1425" s="8" t="s">
        <v>2086</v>
      </c>
      <c r="F1425" s="7" t="s">
        <v>2087</v>
      </c>
      <c r="G1425" s="7" t="s">
        <v>54</v>
      </c>
      <c r="H1425" s="7" t="s">
        <v>2102</v>
      </c>
      <c r="I1425" s="52">
        <v>50.021819999999998</v>
      </c>
      <c r="J1425" s="52">
        <v>-124.731927</v>
      </c>
      <c r="K1425" s="7" t="s">
        <v>103</v>
      </c>
      <c r="L1425" s="7" t="s">
        <v>163</v>
      </c>
      <c r="N1425" s="7" t="s">
        <v>225</v>
      </c>
      <c r="O1425" s="7" t="s">
        <v>31</v>
      </c>
      <c r="P1425" s="7" t="s">
        <v>225</v>
      </c>
      <c r="Q1425" s="7" t="s">
        <v>31</v>
      </c>
    </row>
    <row r="1426" spans="1:19" s="7" customFormat="1" x14ac:dyDescent="0.35">
      <c r="A1426" s="7">
        <v>87</v>
      </c>
      <c r="B1426" s="7" t="s">
        <v>2084</v>
      </c>
      <c r="C1426" s="7">
        <v>2019</v>
      </c>
      <c r="D1426" s="7" t="s">
        <v>2085</v>
      </c>
      <c r="E1426" s="8" t="s">
        <v>2086</v>
      </c>
      <c r="F1426" s="7" t="s">
        <v>2087</v>
      </c>
      <c r="G1426" s="7" t="s">
        <v>54</v>
      </c>
      <c r="H1426" s="7" t="s">
        <v>2105</v>
      </c>
      <c r="I1426" s="52">
        <v>49.971294</v>
      </c>
      <c r="J1426" s="52">
        <v>-124.68742</v>
      </c>
      <c r="K1426" s="7" t="s">
        <v>103</v>
      </c>
      <c r="L1426" s="7" t="s">
        <v>163</v>
      </c>
      <c r="N1426" s="7" t="s">
        <v>2139</v>
      </c>
      <c r="O1426" s="7" t="s">
        <v>31</v>
      </c>
      <c r="P1426" s="7" t="s">
        <v>2139</v>
      </c>
      <c r="Q1426" s="7" t="s">
        <v>31</v>
      </c>
    </row>
    <row r="1427" spans="1:19" s="7" customFormat="1" x14ac:dyDescent="0.35">
      <c r="A1427" s="7">
        <v>87</v>
      </c>
      <c r="B1427" s="7" t="s">
        <v>2084</v>
      </c>
      <c r="C1427" s="7">
        <v>2019</v>
      </c>
      <c r="D1427" s="7" t="s">
        <v>2085</v>
      </c>
      <c r="E1427" s="8" t="s">
        <v>2086</v>
      </c>
      <c r="F1427" s="7" t="s">
        <v>2087</v>
      </c>
      <c r="G1427" s="7" t="s">
        <v>54</v>
      </c>
      <c r="H1427" s="7" t="s">
        <v>2108</v>
      </c>
      <c r="I1427" s="52">
        <v>49.965992</v>
      </c>
      <c r="J1427" s="52">
        <v>-124.683892</v>
      </c>
      <c r="K1427" s="7" t="s">
        <v>103</v>
      </c>
      <c r="L1427" s="7" t="s">
        <v>163</v>
      </c>
      <c r="N1427" s="7" t="s">
        <v>2140</v>
      </c>
      <c r="O1427" s="7" t="s">
        <v>31</v>
      </c>
      <c r="P1427" s="7" t="s">
        <v>2140</v>
      </c>
      <c r="Q1427" s="7" t="s">
        <v>31</v>
      </c>
    </row>
    <row r="1428" spans="1:19" s="7" customFormat="1" x14ac:dyDescent="0.35">
      <c r="A1428" s="7">
        <v>87</v>
      </c>
      <c r="B1428" s="7" t="s">
        <v>2084</v>
      </c>
      <c r="C1428" s="7">
        <v>2019</v>
      </c>
      <c r="D1428" s="7" t="s">
        <v>2085</v>
      </c>
      <c r="E1428" s="8" t="s">
        <v>2086</v>
      </c>
      <c r="F1428" s="7" t="s">
        <v>2087</v>
      </c>
      <c r="G1428" s="7" t="s">
        <v>54</v>
      </c>
      <c r="H1428" s="71" t="s">
        <v>2111</v>
      </c>
      <c r="I1428" s="52">
        <v>49.504444999999997</v>
      </c>
      <c r="J1428" s="52">
        <v>-124.809876</v>
      </c>
      <c r="K1428" s="7" t="s">
        <v>103</v>
      </c>
      <c r="L1428" s="7" t="s">
        <v>163</v>
      </c>
      <c r="N1428" s="7" t="s">
        <v>236</v>
      </c>
      <c r="O1428" s="7" t="s">
        <v>31</v>
      </c>
      <c r="P1428" s="7" t="s">
        <v>236</v>
      </c>
      <c r="Q1428" s="7" t="s">
        <v>31</v>
      </c>
    </row>
    <row r="1429" spans="1:19" s="7" customFormat="1" x14ac:dyDescent="0.35">
      <c r="A1429" s="7">
        <v>87</v>
      </c>
      <c r="B1429" s="7" t="s">
        <v>2084</v>
      </c>
      <c r="C1429" s="7">
        <v>2019</v>
      </c>
      <c r="D1429" s="7" t="s">
        <v>2085</v>
      </c>
      <c r="E1429" s="8" t="s">
        <v>2086</v>
      </c>
      <c r="F1429" s="7" t="s">
        <v>2087</v>
      </c>
      <c r="G1429" s="7" t="s">
        <v>54</v>
      </c>
      <c r="H1429" s="71" t="s">
        <v>2114</v>
      </c>
      <c r="I1429" s="52">
        <v>49.503155</v>
      </c>
      <c r="J1429" s="52">
        <v>-124.810018</v>
      </c>
      <c r="K1429" s="7" t="s">
        <v>103</v>
      </c>
      <c r="L1429" s="7" t="s">
        <v>163</v>
      </c>
      <c r="N1429" s="7" t="s">
        <v>2141</v>
      </c>
      <c r="O1429" s="7" t="s">
        <v>31</v>
      </c>
      <c r="P1429" s="7" t="s">
        <v>2141</v>
      </c>
      <c r="Q1429" s="7" t="s">
        <v>31</v>
      </c>
    </row>
    <row r="1430" spans="1:19" s="7" customFormat="1" x14ac:dyDescent="0.35">
      <c r="A1430" s="7">
        <v>87</v>
      </c>
      <c r="B1430" s="7" t="s">
        <v>2084</v>
      </c>
      <c r="C1430" s="7">
        <v>2019</v>
      </c>
      <c r="D1430" s="7" t="s">
        <v>2085</v>
      </c>
      <c r="E1430" s="8" t="s">
        <v>2086</v>
      </c>
      <c r="F1430" s="7" t="s">
        <v>2087</v>
      </c>
      <c r="G1430" s="7" t="s">
        <v>54</v>
      </c>
      <c r="H1430" s="71" t="s">
        <v>2117</v>
      </c>
      <c r="I1430" s="52">
        <v>49.468730999999998</v>
      </c>
      <c r="J1430" s="52">
        <v>-124.77795</v>
      </c>
      <c r="K1430" s="7" t="s">
        <v>103</v>
      </c>
      <c r="L1430" s="7" t="s">
        <v>163</v>
      </c>
      <c r="N1430" s="7" t="s">
        <v>2142</v>
      </c>
      <c r="O1430" s="7" t="s">
        <v>31</v>
      </c>
      <c r="P1430" s="7" t="s">
        <v>2142</v>
      </c>
      <c r="Q1430" s="7" t="s">
        <v>31</v>
      </c>
    </row>
    <row r="1431" spans="1:19" s="7" customFormat="1" x14ac:dyDescent="0.35">
      <c r="A1431" s="7">
        <v>87</v>
      </c>
      <c r="B1431" s="7" t="s">
        <v>2084</v>
      </c>
      <c r="C1431" s="7">
        <v>2019</v>
      </c>
      <c r="D1431" s="7" t="s">
        <v>2085</v>
      </c>
      <c r="E1431" s="8" t="s">
        <v>2086</v>
      </c>
      <c r="F1431" s="7" t="s">
        <v>2087</v>
      </c>
      <c r="G1431" s="7" t="s">
        <v>54</v>
      </c>
      <c r="H1431" s="71" t="s">
        <v>2120</v>
      </c>
      <c r="I1431" s="52">
        <v>49.468409000000001</v>
      </c>
      <c r="J1431" s="52">
        <v>-124.77866</v>
      </c>
      <c r="K1431" s="7" t="s">
        <v>103</v>
      </c>
      <c r="L1431" s="7" t="s">
        <v>163</v>
      </c>
      <c r="N1431" s="7" t="s">
        <v>2143</v>
      </c>
      <c r="O1431" s="7" t="s">
        <v>31</v>
      </c>
      <c r="P1431" s="7" t="s">
        <v>2143</v>
      </c>
      <c r="Q1431" s="7" t="s">
        <v>31</v>
      </c>
    </row>
    <row r="1432" spans="1:19" s="7" customFormat="1" x14ac:dyDescent="0.35">
      <c r="A1432" s="7">
        <v>87</v>
      </c>
      <c r="B1432" s="7" t="s">
        <v>2084</v>
      </c>
      <c r="C1432" s="7">
        <v>2019</v>
      </c>
      <c r="D1432" s="7" t="s">
        <v>2085</v>
      </c>
      <c r="E1432" s="8" t="s">
        <v>2086</v>
      </c>
      <c r="F1432" s="7" t="s">
        <v>2087</v>
      </c>
      <c r="G1432" s="7" t="s">
        <v>54</v>
      </c>
      <c r="H1432" s="71" t="s">
        <v>1480</v>
      </c>
      <c r="I1432" s="52">
        <v>49.4587</v>
      </c>
      <c r="J1432" s="52">
        <v>-124.741063</v>
      </c>
      <c r="K1432" s="7" t="s">
        <v>103</v>
      </c>
      <c r="L1432" s="7" t="s">
        <v>163</v>
      </c>
      <c r="N1432" s="7" t="s">
        <v>2144</v>
      </c>
      <c r="O1432" s="7" t="s">
        <v>31</v>
      </c>
      <c r="P1432" s="7" t="s">
        <v>2144</v>
      </c>
      <c r="Q1432" s="7" t="s">
        <v>31</v>
      </c>
    </row>
    <row r="1433" spans="1:19" s="7" customFormat="1" x14ac:dyDescent="0.35">
      <c r="A1433" s="7">
        <v>87</v>
      </c>
      <c r="B1433" s="7" t="s">
        <v>2084</v>
      </c>
      <c r="C1433" s="7">
        <v>2019</v>
      </c>
      <c r="D1433" s="7" t="s">
        <v>2085</v>
      </c>
      <c r="E1433" s="8" t="s">
        <v>2086</v>
      </c>
      <c r="F1433" s="7" t="s">
        <v>2087</v>
      </c>
      <c r="G1433" s="7" t="s">
        <v>54</v>
      </c>
      <c r="H1433" s="71" t="s">
        <v>2124</v>
      </c>
      <c r="I1433" s="52">
        <v>49.462705999999997</v>
      </c>
      <c r="J1433" s="52">
        <v>-124.72985199999999</v>
      </c>
      <c r="K1433" s="7" t="s">
        <v>103</v>
      </c>
      <c r="L1433" s="7" t="s">
        <v>163</v>
      </c>
      <c r="N1433" s="7" t="s">
        <v>2145</v>
      </c>
      <c r="O1433" s="7" t="s">
        <v>31</v>
      </c>
      <c r="P1433" s="7" t="s">
        <v>2145</v>
      </c>
      <c r="Q1433" s="7" t="s">
        <v>31</v>
      </c>
    </row>
    <row r="1434" spans="1:19" s="7" customFormat="1" x14ac:dyDescent="0.35">
      <c r="A1434" s="7">
        <v>87</v>
      </c>
      <c r="B1434" s="7" t="s">
        <v>2084</v>
      </c>
      <c r="C1434" s="7">
        <v>2019</v>
      </c>
      <c r="D1434" s="7" t="s">
        <v>2085</v>
      </c>
      <c r="E1434" s="8" t="s">
        <v>2086</v>
      </c>
      <c r="F1434" s="7" t="s">
        <v>2087</v>
      </c>
      <c r="G1434" s="7" t="s">
        <v>54</v>
      </c>
      <c r="H1434" s="71" t="s">
        <v>2127</v>
      </c>
      <c r="I1434" s="52">
        <v>49.186892999999998</v>
      </c>
      <c r="J1434" s="52">
        <v>-125.890227</v>
      </c>
      <c r="K1434" s="7" t="s">
        <v>103</v>
      </c>
      <c r="L1434" s="7" t="s">
        <v>163</v>
      </c>
      <c r="N1434" s="7" t="s">
        <v>2146</v>
      </c>
      <c r="O1434" s="7" t="s">
        <v>31</v>
      </c>
      <c r="P1434" s="7" t="s">
        <v>2146</v>
      </c>
      <c r="Q1434" s="7" t="s">
        <v>31</v>
      </c>
    </row>
    <row r="1435" spans="1:19" s="7" customFormat="1" x14ac:dyDescent="0.35">
      <c r="A1435" s="7">
        <v>87</v>
      </c>
      <c r="B1435" s="7" t="s">
        <v>2084</v>
      </c>
      <c r="C1435" s="7">
        <v>2019</v>
      </c>
      <c r="D1435" s="7" t="s">
        <v>2085</v>
      </c>
      <c r="E1435" s="8" t="s">
        <v>2086</v>
      </c>
      <c r="F1435" s="7" t="s">
        <v>2087</v>
      </c>
      <c r="G1435" s="7" t="s">
        <v>54</v>
      </c>
      <c r="H1435" s="71" t="s">
        <v>2130</v>
      </c>
      <c r="I1435" s="52">
        <v>49.188524999999998</v>
      </c>
      <c r="J1435" s="52">
        <v>-125.88036200000001</v>
      </c>
      <c r="K1435" s="7" t="s">
        <v>103</v>
      </c>
      <c r="L1435" s="7" t="s">
        <v>163</v>
      </c>
      <c r="N1435" s="7" t="s">
        <v>2147</v>
      </c>
      <c r="O1435" s="7" t="s">
        <v>31</v>
      </c>
      <c r="P1435" s="7" t="s">
        <v>2147</v>
      </c>
      <c r="Q1435" s="7" t="s">
        <v>31</v>
      </c>
    </row>
    <row r="1436" spans="1:19" s="7" customFormat="1" x14ac:dyDescent="0.35">
      <c r="A1436" s="7">
        <v>88</v>
      </c>
      <c r="B1436" s="7" t="s">
        <v>2148</v>
      </c>
      <c r="C1436" s="7">
        <v>2025</v>
      </c>
      <c r="D1436" s="7" t="s">
        <v>1010</v>
      </c>
      <c r="E1436" s="8" t="s">
        <v>2083</v>
      </c>
      <c r="F1436" s="7" t="s">
        <v>2149</v>
      </c>
      <c r="G1436" s="7" t="s">
        <v>804</v>
      </c>
      <c r="I1436" s="70">
        <v>47.235216666666666</v>
      </c>
      <c r="J1436" s="70">
        <v>-53.371266666666664</v>
      </c>
      <c r="K1436" s="7" t="s">
        <v>1919</v>
      </c>
      <c r="L1436" s="7" t="s">
        <v>28</v>
      </c>
      <c r="N1436" s="7" t="s">
        <v>2150</v>
      </c>
      <c r="O1436" s="7" t="s">
        <v>31</v>
      </c>
      <c r="P1436" s="7" t="s">
        <v>2150</v>
      </c>
      <c r="Q1436" s="7" t="s">
        <v>31</v>
      </c>
    </row>
    <row r="1437" spans="1:19" s="7" customFormat="1" x14ac:dyDescent="0.35">
      <c r="A1437" s="7">
        <v>88</v>
      </c>
      <c r="B1437" s="7" t="s">
        <v>2148</v>
      </c>
      <c r="C1437" s="7">
        <v>2025</v>
      </c>
      <c r="D1437" s="7" t="s">
        <v>1010</v>
      </c>
      <c r="E1437" s="8" t="s">
        <v>2083</v>
      </c>
      <c r="F1437" s="7" t="s">
        <v>2149</v>
      </c>
      <c r="G1437" s="7" t="s">
        <v>804</v>
      </c>
      <c r="I1437" s="52">
        <v>47.036966666666665</v>
      </c>
      <c r="J1437" s="52">
        <v>-52.926733333333331</v>
      </c>
      <c r="K1437" s="7" t="s">
        <v>1919</v>
      </c>
      <c r="L1437" s="7" t="s">
        <v>28</v>
      </c>
      <c r="N1437" s="7" t="s">
        <v>2150</v>
      </c>
      <c r="O1437" s="7" t="s">
        <v>31</v>
      </c>
      <c r="P1437" s="7" t="s">
        <v>2150</v>
      </c>
      <c r="Q1437" s="7" t="s">
        <v>31</v>
      </c>
    </row>
    <row r="1438" spans="1:19" s="7" customFormat="1" x14ac:dyDescent="0.35">
      <c r="A1438" s="7">
        <v>88</v>
      </c>
      <c r="B1438" s="7" t="s">
        <v>2148</v>
      </c>
      <c r="C1438" s="7">
        <v>2025</v>
      </c>
      <c r="D1438" s="7" t="s">
        <v>1010</v>
      </c>
      <c r="E1438" s="8" t="s">
        <v>2083</v>
      </c>
      <c r="F1438" s="7" t="s">
        <v>2149</v>
      </c>
      <c r="G1438" s="7" t="s">
        <v>804</v>
      </c>
      <c r="I1438" s="52">
        <v>47.53543333333333</v>
      </c>
      <c r="J1438" s="52">
        <v>-53.869066666666669</v>
      </c>
      <c r="K1438" s="7" t="s">
        <v>1919</v>
      </c>
      <c r="L1438" s="7" t="s">
        <v>28</v>
      </c>
      <c r="N1438" s="7" t="s">
        <v>2150</v>
      </c>
      <c r="O1438" s="7" t="s">
        <v>31</v>
      </c>
      <c r="P1438" s="7" t="s">
        <v>2150</v>
      </c>
      <c r="Q1438" s="7" t="s">
        <v>31</v>
      </c>
      <c r="S1438" s="8"/>
    </row>
    <row r="1439" spans="1:19" s="7" customFormat="1" x14ac:dyDescent="0.35">
      <c r="A1439" s="7">
        <v>88</v>
      </c>
      <c r="B1439" s="7" t="s">
        <v>2148</v>
      </c>
      <c r="C1439" s="7">
        <v>2025</v>
      </c>
      <c r="D1439" s="7" t="s">
        <v>1010</v>
      </c>
      <c r="E1439" s="8" t="s">
        <v>2083</v>
      </c>
      <c r="F1439" s="7" t="s">
        <v>2149</v>
      </c>
      <c r="G1439" s="7" t="s">
        <v>804</v>
      </c>
      <c r="I1439" s="70">
        <v>47.892616666666669</v>
      </c>
      <c r="J1439" s="52">
        <v>-54.358733333333333</v>
      </c>
      <c r="K1439" s="7" t="s">
        <v>1919</v>
      </c>
      <c r="L1439" s="7" t="s">
        <v>28</v>
      </c>
      <c r="N1439" s="7" t="s">
        <v>2150</v>
      </c>
      <c r="O1439" s="7" t="s">
        <v>31</v>
      </c>
      <c r="P1439" s="7" t="s">
        <v>2150</v>
      </c>
      <c r="Q1439" s="7" t="s">
        <v>31</v>
      </c>
      <c r="S1439" s="8"/>
    </row>
    <row r="1440" spans="1:19" s="7" customFormat="1" x14ac:dyDescent="0.35">
      <c r="A1440" s="7">
        <v>88</v>
      </c>
      <c r="B1440" s="7" t="s">
        <v>2148</v>
      </c>
      <c r="C1440" s="7">
        <v>2025</v>
      </c>
      <c r="D1440" s="7" t="s">
        <v>1010</v>
      </c>
      <c r="E1440" s="8" t="s">
        <v>2083</v>
      </c>
      <c r="F1440" s="7" t="s">
        <v>2149</v>
      </c>
      <c r="G1440" s="7" t="s">
        <v>804</v>
      </c>
      <c r="I1440" s="70">
        <v>47.951266666666669</v>
      </c>
      <c r="J1440" s="52">
        <v>-55.589116666666669</v>
      </c>
      <c r="K1440" s="7" t="s">
        <v>1919</v>
      </c>
      <c r="L1440" s="7" t="s">
        <v>28</v>
      </c>
      <c r="N1440" s="7" t="s">
        <v>2150</v>
      </c>
      <c r="O1440" s="7" t="s">
        <v>31</v>
      </c>
      <c r="P1440" s="7" t="s">
        <v>2150</v>
      </c>
      <c r="Q1440" s="7" t="s">
        <v>31</v>
      </c>
      <c r="S1440" s="8"/>
    </row>
    <row r="1441" spans="1:19" s="7" customFormat="1" x14ac:dyDescent="0.35">
      <c r="A1441" s="7">
        <v>88</v>
      </c>
      <c r="B1441" s="7" t="s">
        <v>2148</v>
      </c>
      <c r="C1441" s="7">
        <v>2025</v>
      </c>
      <c r="D1441" s="7" t="s">
        <v>1010</v>
      </c>
      <c r="E1441" s="8" t="s">
        <v>2083</v>
      </c>
      <c r="F1441" s="7" t="s">
        <v>2149</v>
      </c>
      <c r="G1441" s="7" t="s">
        <v>804</v>
      </c>
      <c r="I1441" s="70">
        <v>48.326000000000001</v>
      </c>
      <c r="J1441" s="52">
        <v>-55.455449999999999</v>
      </c>
      <c r="K1441" s="7" t="s">
        <v>1919</v>
      </c>
      <c r="L1441" s="7" t="s">
        <v>28</v>
      </c>
      <c r="N1441" s="7" t="s">
        <v>2150</v>
      </c>
      <c r="O1441" s="7" t="s">
        <v>31</v>
      </c>
      <c r="P1441" s="7" t="s">
        <v>2150</v>
      </c>
      <c r="Q1441" s="7" t="s">
        <v>31</v>
      </c>
      <c r="S1441" s="8"/>
    </row>
    <row r="1442" spans="1:19" s="7" customFormat="1" x14ac:dyDescent="0.35">
      <c r="A1442" s="7">
        <v>88</v>
      </c>
      <c r="B1442" s="7" t="s">
        <v>2148</v>
      </c>
      <c r="C1442" s="7">
        <v>2025</v>
      </c>
      <c r="D1442" s="7" t="s">
        <v>1010</v>
      </c>
      <c r="E1442" s="8" t="s">
        <v>2083</v>
      </c>
      <c r="F1442" s="7" t="s">
        <v>2149</v>
      </c>
      <c r="G1442" s="7" t="s">
        <v>804</v>
      </c>
      <c r="I1442" s="70">
        <v>48.843333333333334</v>
      </c>
      <c r="J1442" s="52">
        <v>-56.38621666666667</v>
      </c>
      <c r="K1442" s="7" t="s">
        <v>1919</v>
      </c>
      <c r="L1442" s="7" t="s">
        <v>28</v>
      </c>
      <c r="N1442" s="7" t="s">
        <v>2150</v>
      </c>
      <c r="O1442" s="7" t="s">
        <v>31</v>
      </c>
      <c r="P1442" s="7" t="s">
        <v>2150</v>
      </c>
      <c r="Q1442" s="7" t="s">
        <v>31</v>
      </c>
      <c r="S1442" s="8"/>
    </row>
    <row r="1443" spans="1:19" s="7" customFormat="1" x14ac:dyDescent="0.35">
      <c r="A1443" s="7">
        <v>88</v>
      </c>
      <c r="B1443" s="7" t="s">
        <v>2148</v>
      </c>
      <c r="C1443" s="7">
        <v>2025</v>
      </c>
      <c r="D1443" s="7" t="s">
        <v>1010</v>
      </c>
      <c r="E1443" s="8" t="s">
        <v>2083</v>
      </c>
      <c r="F1443" s="7" t="s">
        <v>2149</v>
      </c>
      <c r="G1443" s="7" t="s">
        <v>804</v>
      </c>
      <c r="I1443" s="70">
        <v>49.589633333333332</v>
      </c>
      <c r="J1443" s="52">
        <v>-56.466549999999998</v>
      </c>
      <c r="K1443" s="7" t="s">
        <v>1919</v>
      </c>
      <c r="L1443" s="7" t="s">
        <v>28</v>
      </c>
      <c r="N1443" s="7" t="s">
        <v>2150</v>
      </c>
      <c r="O1443" s="7" t="s">
        <v>31</v>
      </c>
      <c r="P1443" s="7" t="s">
        <v>2150</v>
      </c>
      <c r="Q1443" s="7" t="s">
        <v>31</v>
      </c>
      <c r="S1443" s="8"/>
    </row>
    <row r="1444" spans="1:19" s="7" customFormat="1" x14ac:dyDescent="0.35">
      <c r="A1444" s="7">
        <v>88</v>
      </c>
      <c r="B1444" s="7" t="s">
        <v>2148</v>
      </c>
      <c r="C1444" s="7">
        <v>2025</v>
      </c>
      <c r="D1444" s="7" t="s">
        <v>1010</v>
      </c>
      <c r="E1444" s="8" t="s">
        <v>2083</v>
      </c>
      <c r="F1444" s="7" t="s">
        <v>2149</v>
      </c>
      <c r="G1444" s="7" t="s">
        <v>804</v>
      </c>
      <c r="I1444" s="70">
        <v>50.55381666666667</v>
      </c>
      <c r="J1444" s="52">
        <v>-57.165416666666665</v>
      </c>
      <c r="K1444" s="7" t="s">
        <v>1919</v>
      </c>
      <c r="L1444" s="7" t="s">
        <v>28</v>
      </c>
      <c r="N1444" s="7" t="s">
        <v>2150</v>
      </c>
      <c r="O1444" s="7" t="s">
        <v>31</v>
      </c>
      <c r="P1444" s="7" t="s">
        <v>2150</v>
      </c>
      <c r="Q1444" s="7" t="s">
        <v>31</v>
      </c>
      <c r="S1444" s="8"/>
    </row>
    <row r="1445" spans="1:19" s="7" customFormat="1" x14ac:dyDescent="0.35">
      <c r="A1445" s="7">
        <v>88</v>
      </c>
      <c r="B1445" s="7" t="s">
        <v>2148</v>
      </c>
      <c r="C1445" s="7">
        <v>2025</v>
      </c>
      <c r="D1445" s="7" t="s">
        <v>1010</v>
      </c>
      <c r="E1445" s="8" t="s">
        <v>2083</v>
      </c>
      <c r="F1445" s="7" t="s">
        <v>2149</v>
      </c>
      <c r="G1445" s="7" t="s">
        <v>804</v>
      </c>
      <c r="I1445" s="70">
        <v>50.990333333333332</v>
      </c>
      <c r="J1445" s="52">
        <v>-56.961500000000001</v>
      </c>
      <c r="K1445" s="7" t="s">
        <v>1919</v>
      </c>
      <c r="L1445" s="7" t="s">
        <v>28</v>
      </c>
      <c r="N1445" s="7" t="s">
        <v>2150</v>
      </c>
      <c r="O1445" s="7" t="s">
        <v>31</v>
      </c>
      <c r="P1445" s="7" t="s">
        <v>2150</v>
      </c>
      <c r="Q1445" s="7" t="s">
        <v>31</v>
      </c>
      <c r="S1445" s="8"/>
    </row>
    <row r="1446" spans="1:19" s="7" customFormat="1" x14ac:dyDescent="0.35">
      <c r="A1446" s="7">
        <v>88</v>
      </c>
      <c r="B1446" s="7" t="s">
        <v>2148</v>
      </c>
      <c r="C1446" s="7">
        <v>2025</v>
      </c>
      <c r="D1446" s="7" t="s">
        <v>1010</v>
      </c>
      <c r="E1446" s="8" t="s">
        <v>2083</v>
      </c>
      <c r="F1446" s="7" t="s">
        <v>2149</v>
      </c>
      <c r="G1446" s="7" t="s">
        <v>804</v>
      </c>
      <c r="I1446" s="70">
        <v>48.462400000000002</v>
      </c>
      <c r="J1446" s="52">
        <v>-57.990416666666668</v>
      </c>
      <c r="K1446" s="7" t="s">
        <v>1919</v>
      </c>
      <c r="L1446" s="7" t="s">
        <v>28</v>
      </c>
      <c r="N1446" s="7" t="s">
        <v>2150</v>
      </c>
      <c r="O1446" s="7" t="s">
        <v>31</v>
      </c>
      <c r="P1446" s="7" t="s">
        <v>2150</v>
      </c>
      <c r="Q1446" s="7" t="s">
        <v>31</v>
      </c>
      <c r="S1446" s="8"/>
    </row>
    <row r="1447" spans="1:19" s="7" customFormat="1" x14ac:dyDescent="0.35">
      <c r="A1447" s="7">
        <v>90</v>
      </c>
      <c r="B1447" s="7" t="s">
        <v>2151</v>
      </c>
      <c r="C1447" s="7">
        <v>2021</v>
      </c>
      <c r="D1447" s="7" t="s">
        <v>2152</v>
      </c>
      <c r="E1447" s="8" t="s">
        <v>2153</v>
      </c>
      <c r="F1447" s="7" t="s">
        <v>2154</v>
      </c>
      <c r="G1447" s="7" t="s">
        <v>54</v>
      </c>
      <c r="H1447" s="7" t="s">
        <v>2155</v>
      </c>
      <c r="I1447" s="52">
        <v>48.627012000000001</v>
      </c>
      <c r="J1447" s="52">
        <v>-123.471304</v>
      </c>
      <c r="K1447" s="7" t="s">
        <v>1910</v>
      </c>
      <c r="L1447" s="7" t="s">
        <v>42</v>
      </c>
      <c r="N1447" s="7" t="s">
        <v>2156</v>
      </c>
      <c r="O1447" s="7" t="s">
        <v>31</v>
      </c>
      <c r="P1447" s="7" t="s">
        <v>2156</v>
      </c>
      <c r="Q1447" s="7" t="s">
        <v>31</v>
      </c>
    </row>
    <row r="1448" spans="1:19" s="7" customFormat="1" x14ac:dyDescent="0.35">
      <c r="A1448" s="7">
        <v>90</v>
      </c>
      <c r="B1448" s="7" t="s">
        <v>2151</v>
      </c>
      <c r="C1448" s="7">
        <v>2021</v>
      </c>
      <c r="D1448" s="7" t="s">
        <v>2152</v>
      </c>
      <c r="E1448" s="8" t="s">
        <v>2157</v>
      </c>
      <c r="F1448" s="7" t="s">
        <v>2154</v>
      </c>
      <c r="G1448" s="7" t="s">
        <v>54</v>
      </c>
      <c r="H1448" s="7" t="s">
        <v>2155</v>
      </c>
      <c r="I1448" s="52">
        <v>48.627012000000001</v>
      </c>
      <c r="J1448" s="52">
        <v>-123.471304</v>
      </c>
      <c r="K1448" s="7" t="s">
        <v>1910</v>
      </c>
      <c r="L1448" s="7" t="s">
        <v>42</v>
      </c>
      <c r="N1448" s="7" t="s">
        <v>2158</v>
      </c>
      <c r="O1448" s="7" t="s">
        <v>31</v>
      </c>
      <c r="P1448" s="7" t="s">
        <v>2158</v>
      </c>
      <c r="Q1448" s="7" t="s">
        <v>31</v>
      </c>
      <c r="S1448" s="8"/>
    </row>
    <row r="1449" spans="1:19" s="7" customFormat="1" x14ac:dyDescent="0.35">
      <c r="A1449" s="7">
        <v>90</v>
      </c>
      <c r="B1449" s="7" t="s">
        <v>2151</v>
      </c>
      <c r="C1449" s="7">
        <v>2021</v>
      </c>
      <c r="D1449" s="7" t="s">
        <v>2152</v>
      </c>
      <c r="E1449" s="8" t="s">
        <v>2159</v>
      </c>
      <c r="F1449" s="7" t="s">
        <v>2154</v>
      </c>
      <c r="G1449" s="7" t="s">
        <v>54</v>
      </c>
      <c r="H1449" s="7" t="s">
        <v>2160</v>
      </c>
      <c r="I1449" s="70">
        <v>48.986756</v>
      </c>
      <c r="J1449" s="52">
        <v>-123.761042</v>
      </c>
      <c r="K1449" s="7" t="s">
        <v>1910</v>
      </c>
      <c r="L1449" s="7" t="s">
        <v>42</v>
      </c>
      <c r="N1449" s="7" t="s">
        <v>2156</v>
      </c>
      <c r="O1449" s="7" t="s">
        <v>31</v>
      </c>
      <c r="P1449" s="7" t="s">
        <v>2156</v>
      </c>
      <c r="Q1449" s="7" t="s">
        <v>31</v>
      </c>
      <c r="S1449" s="8"/>
    </row>
    <row r="1450" spans="1:19" s="7" customFormat="1" x14ac:dyDescent="0.35">
      <c r="A1450" s="7">
        <v>90</v>
      </c>
      <c r="B1450" s="7" t="s">
        <v>2151</v>
      </c>
      <c r="C1450" s="7">
        <v>2021</v>
      </c>
      <c r="D1450" s="7" t="s">
        <v>2152</v>
      </c>
      <c r="E1450" s="8" t="s">
        <v>2161</v>
      </c>
      <c r="F1450" s="7" t="s">
        <v>2154</v>
      </c>
      <c r="G1450" s="7" t="s">
        <v>54</v>
      </c>
      <c r="H1450" s="7" t="s">
        <v>2160</v>
      </c>
      <c r="I1450" s="70">
        <v>48.986756</v>
      </c>
      <c r="J1450" s="52">
        <v>-123.761042</v>
      </c>
      <c r="K1450" s="7" t="s">
        <v>1910</v>
      </c>
      <c r="L1450" s="7" t="s">
        <v>42</v>
      </c>
      <c r="N1450" s="7" t="s">
        <v>2158</v>
      </c>
      <c r="O1450" s="7" t="s">
        <v>31</v>
      </c>
      <c r="P1450" s="7" t="s">
        <v>2158</v>
      </c>
      <c r="Q1450" s="7" t="s">
        <v>31</v>
      </c>
      <c r="S1450" s="8"/>
    </row>
    <row r="1451" spans="1:19" s="7" customFormat="1" x14ac:dyDescent="0.35">
      <c r="A1451" s="7">
        <v>90</v>
      </c>
      <c r="B1451" s="7" t="s">
        <v>2151</v>
      </c>
      <c r="C1451" s="7">
        <v>2021</v>
      </c>
      <c r="D1451" s="7" t="s">
        <v>2152</v>
      </c>
      <c r="E1451" s="8" t="s">
        <v>2162</v>
      </c>
      <c r="F1451" s="7" t="s">
        <v>2154</v>
      </c>
      <c r="G1451" s="7" t="s">
        <v>54</v>
      </c>
      <c r="H1451" s="7" t="s">
        <v>2163</v>
      </c>
      <c r="I1451" s="52">
        <v>48.41751</v>
      </c>
      <c r="J1451" s="70">
        <v>-123.38887099999999</v>
      </c>
      <c r="K1451" s="7" t="s">
        <v>1910</v>
      </c>
      <c r="L1451" s="7" t="s">
        <v>42</v>
      </c>
      <c r="N1451" s="7" t="s">
        <v>2156</v>
      </c>
      <c r="O1451" s="7" t="s">
        <v>31</v>
      </c>
      <c r="P1451" s="7" t="s">
        <v>2156</v>
      </c>
      <c r="Q1451" s="7" t="s">
        <v>31</v>
      </c>
      <c r="S1451" s="8"/>
    </row>
    <row r="1452" spans="1:19" s="7" customFormat="1" x14ac:dyDescent="0.35">
      <c r="A1452" s="7">
        <v>90</v>
      </c>
      <c r="B1452" s="7" t="s">
        <v>2151</v>
      </c>
      <c r="C1452" s="7">
        <v>2021</v>
      </c>
      <c r="D1452" s="7" t="s">
        <v>2152</v>
      </c>
      <c r="E1452" s="8" t="s">
        <v>2164</v>
      </c>
      <c r="F1452" s="7" t="s">
        <v>2154</v>
      </c>
      <c r="G1452" s="7" t="s">
        <v>54</v>
      </c>
      <c r="H1452" s="7" t="s">
        <v>2163</v>
      </c>
      <c r="I1452" s="52">
        <v>48.41751</v>
      </c>
      <c r="J1452" s="70">
        <v>-123.38887099999999</v>
      </c>
      <c r="K1452" s="7" t="s">
        <v>1910</v>
      </c>
      <c r="L1452" s="7" t="s">
        <v>42</v>
      </c>
      <c r="N1452" s="7" t="s">
        <v>2158</v>
      </c>
      <c r="O1452" s="7" t="s">
        <v>31</v>
      </c>
      <c r="P1452" s="7" t="s">
        <v>2158</v>
      </c>
      <c r="Q1452" s="7" t="s">
        <v>31</v>
      </c>
      <c r="S1452" s="8"/>
    </row>
    <row r="1453" spans="1:19" s="7" customFormat="1" x14ac:dyDescent="0.35">
      <c r="A1453" s="7">
        <v>91</v>
      </c>
      <c r="B1453" s="7" t="s">
        <v>2165</v>
      </c>
      <c r="C1453" s="7">
        <v>2021</v>
      </c>
      <c r="D1453" s="7" t="s">
        <v>1010</v>
      </c>
      <c r="E1453" s="8" t="s">
        <v>2166</v>
      </c>
      <c r="F1453" s="7" t="s">
        <v>2167</v>
      </c>
      <c r="G1453" s="7" t="s">
        <v>25</v>
      </c>
      <c r="H1453" s="7" t="s">
        <v>2168</v>
      </c>
      <c r="I1453" s="72">
        <v>63.646880000000003</v>
      </c>
      <c r="J1453" s="72">
        <v>-68.522099999999995</v>
      </c>
      <c r="K1453" s="7" t="s">
        <v>1910</v>
      </c>
      <c r="L1453" s="7" t="s">
        <v>42</v>
      </c>
      <c r="N1453" s="7" t="s">
        <v>2169</v>
      </c>
      <c r="O1453" s="7" t="s">
        <v>31</v>
      </c>
      <c r="P1453" s="7" t="s">
        <v>2169</v>
      </c>
      <c r="Q1453" s="7" t="s">
        <v>31</v>
      </c>
      <c r="S1453" s="8" t="s">
        <v>2170</v>
      </c>
    </row>
    <row r="1454" spans="1:19" s="7" customFormat="1" x14ac:dyDescent="0.35">
      <c r="A1454" s="7">
        <v>91</v>
      </c>
      <c r="B1454" s="7" t="s">
        <v>2165</v>
      </c>
      <c r="C1454" s="7">
        <v>2021</v>
      </c>
      <c r="D1454" s="7" t="s">
        <v>1010</v>
      </c>
      <c r="E1454" s="8" t="s">
        <v>2166</v>
      </c>
      <c r="F1454" s="7" t="s">
        <v>2167</v>
      </c>
      <c r="G1454" s="7" t="s">
        <v>25</v>
      </c>
      <c r="H1454" s="7" t="s">
        <v>2168</v>
      </c>
      <c r="I1454" s="72">
        <v>63.675699999999999</v>
      </c>
      <c r="J1454" s="72">
        <v>-68.534099999999995</v>
      </c>
      <c r="K1454" s="7" t="s">
        <v>1910</v>
      </c>
      <c r="L1454" s="7" t="s">
        <v>42</v>
      </c>
      <c r="N1454" s="7" t="s">
        <v>2169</v>
      </c>
      <c r="O1454" s="7" t="s">
        <v>31</v>
      </c>
      <c r="P1454" s="7" t="s">
        <v>2169</v>
      </c>
      <c r="Q1454" s="7" t="s">
        <v>31</v>
      </c>
      <c r="S1454" s="8"/>
    </row>
    <row r="1455" spans="1:19" s="7" customFormat="1" x14ac:dyDescent="0.35">
      <c r="A1455" s="7">
        <v>91</v>
      </c>
      <c r="B1455" s="7" t="s">
        <v>2165</v>
      </c>
      <c r="C1455" s="7">
        <v>2021</v>
      </c>
      <c r="D1455" s="7" t="s">
        <v>1010</v>
      </c>
      <c r="E1455" s="8" t="s">
        <v>2166</v>
      </c>
      <c r="F1455" s="7" t="s">
        <v>2167</v>
      </c>
      <c r="G1455" s="7" t="s">
        <v>25</v>
      </c>
      <c r="H1455" s="7" t="s">
        <v>2168</v>
      </c>
      <c r="I1455" s="72">
        <v>63.670169999999999</v>
      </c>
      <c r="J1455" s="72">
        <v>-68.598100000000002</v>
      </c>
      <c r="K1455" s="7" t="s">
        <v>1910</v>
      </c>
      <c r="L1455" s="7" t="s">
        <v>42</v>
      </c>
      <c r="M1455" s="73"/>
      <c r="N1455" s="7" t="s">
        <v>2169</v>
      </c>
      <c r="O1455" s="7" t="s">
        <v>31</v>
      </c>
      <c r="P1455" s="7" t="s">
        <v>2169</v>
      </c>
      <c r="Q1455" s="7" t="s">
        <v>31</v>
      </c>
      <c r="S1455" s="8"/>
    </row>
    <row r="1456" spans="1:19" s="7" customFormat="1" x14ac:dyDescent="0.35">
      <c r="A1456" s="7">
        <v>91</v>
      </c>
      <c r="B1456" s="7" t="s">
        <v>2165</v>
      </c>
      <c r="C1456" s="7">
        <v>2021</v>
      </c>
      <c r="D1456" s="7" t="s">
        <v>1010</v>
      </c>
      <c r="E1456" s="8" t="s">
        <v>2166</v>
      </c>
      <c r="F1456" s="7" t="s">
        <v>2167</v>
      </c>
      <c r="G1456" s="7" t="s">
        <v>25</v>
      </c>
      <c r="H1456" s="7" t="s">
        <v>2168</v>
      </c>
      <c r="I1456" s="72">
        <v>63.641919999999999</v>
      </c>
      <c r="J1456" s="72">
        <v>-68.586600000000004</v>
      </c>
      <c r="K1456" s="7" t="s">
        <v>1910</v>
      </c>
      <c r="L1456" s="7" t="s">
        <v>42</v>
      </c>
      <c r="M1456" s="73"/>
      <c r="N1456" s="7" t="s">
        <v>2169</v>
      </c>
      <c r="O1456" s="7" t="s">
        <v>31</v>
      </c>
      <c r="P1456" s="7" t="s">
        <v>2169</v>
      </c>
      <c r="Q1456" s="7" t="s">
        <v>31</v>
      </c>
      <c r="S1456" s="8"/>
    </row>
    <row r="1457" spans="1:19" s="7" customFormat="1" x14ac:dyDescent="0.35">
      <c r="A1457" s="7">
        <v>91</v>
      </c>
      <c r="B1457" s="7" t="s">
        <v>2165</v>
      </c>
      <c r="C1457" s="7">
        <v>2021</v>
      </c>
      <c r="D1457" s="7" t="s">
        <v>1010</v>
      </c>
      <c r="E1457" s="8" t="s">
        <v>2166</v>
      </c>
      <c r="F1457" s="7" t="s">
        <v>2167</v>
      </c>
      <c r="G1457" s="7" t="s">
        <v>25</v>
      </c>
      <c r="H1457" s="7" t="s">
        <v>2168</v>
      </c>
      <c r="I1457" s="72">
        <v>63.132599999999996</v>
      </c>
      <c r="J1457" s="72">
        <v>-67.440700000000007</v>
      </c>
      <c r="K1457" s="7" t="s">
        <v>1910</v>
      </c>
      <c r="L1457" s="7" t="s">
        <v>42</v>
      </c>
      <c r="M1457" s="73"/>
      <c r="N1457" s="7" t="s">
        <v>2169</v>
      </c>
      <c r="O1457" s="7" t="s">
        <v>31</v>
      </c>
      <c r="P1457" s="7" t="s">
        <v>2169</v>
      </c>
      <c r="Q1457" s="7" t="s">
        <v>31</v>
      </c>
      <c r="S1457" s="8"/>
    </row>
    <row r="1458" spans="1:19" s="7" customFormat="1" x14ac:dyDescent="0.35">
      <c r="A1458" s="7">
        <v>91</v>
      </c>
      <c r="B1458" s="7" t="s">
        <v>2165</v>
      </c>
      <c r="C1458" s="7">
        <v>2021</v>
      </c>
      <c r="D1458" s="7" t="s">
        <v>1010</v>
      </c>
      <c r="E1458" s="8" t="s">
        <v>2166</v>
      </c>
      <c r="F1458" s="7" t="s">
        <v>2167</v>
      </c>
      <c r="G1458" s="7" t="s">
        <v>25</v>
      </c>
      <c r="H1458" s="7" t="s">
        <v>2168</v>
      </c>
      <c r="I1458" s="72">
        <v>62.687359999999998</v>
      </c>
      <c r="J1458" s="72">
        <v>-66.770899999999997</v>
      </c>
      <c r="K1458" s="7" t="s">
        <v>1910</v>
      </c>
      <c r="L1458" s="7" t="s">
        <v>42</v>
      </c>
      <c r="M1458" s="73"/>
      <c r="N1458" s="7" t="s">
        <v>2169</v>
      </c>
      <c r="O1458" s="7" t="s">
        <v>31</v>
      </c>
      <c r="P1458" s="7" t="s">
        <v>2169</v>
      </c>
      <c r="Q1458" s="7" t="s">
        <v>31</v>
      </c>
      <c r="S1458" s="8"/>
    </row>
    <row r="1459" spans="1:19" s="7" customFormat="1" x14ac:dyDescent="0.35">
      <c r="A1459" s="7">
        <v>91</v>
      </c>
      <c r="B1459" s="7" t="s">
        <v>2165</v>
      </c>
      <c r="C1459" s="7">
        <v>2021</v>
      </c>
      <c r="D1459" s="7" t="s">
        <v>1010</v>
      </c>
      <c r="E1459" s="8" t="s">
        <v>2166</v>
      </c>
      <c r="F1459" s="7" t="s">
        <v>2167</v>
      </c>
      <c r="G1459" s="7" t="s">
        <v>25</v>
      </c>
      <c r="H1459" s="7" t="s">
        <v>2168</v>
      </c>
      <c r="I1459" s="72">
        <v>62.431049999999999</v>
      </c>
      <c r="J1459" s="72">
        <v>-65.894999999999996</v>
      </c>
      <c r="K1459" s="7" t="s">
        <v>1910</v>
      </c>
      <c r="L1459" s="7" t="s">
        <v>42</v>
      </c>
      <c r="M1459" s="73"/>
      <c r="N1459" s="7" t="s">
        <v>2169</v>
      </c>
      <c r="O1459" s="7" t="s">
        <v>31</v>
      </c>
      <c r="P1459" s="7" t="s">
        <v>2169</v>
      </c>
      <c r="Q1459" s="7" t="s">
        <v>31</v>
      </c>
      <c r="S1459" s="8"/>
    </row>
    <row r="1460" spans="1:19" s="7" customFormat="1" x14ac:dyDescent="0.35">
      <c r="A1460" s="7">
        <v>91</v>
      </c>
      <c r="B1460" s="7" t="s">
        <v>2165</v>
      </c>
      <c r="C1460" s="7">
        <v>2021</v>
      </c>
      <c r="D1460" s="7" t="s">
        <v>1010</v>
      </c>
      <c r="E1460" s="8" t="s">
        <v>2166</v>
      </c>
      <c r="F1460" s="7" t="s">
        <v>2167</v>
      </c>
      <c r="G1460" s="7" t="s">
        <v>25</v>
      </c>
      <c r="H1460" s="7" t="s">
        <v>2168</v>
      </c>
      <c r="I1460" s="72">
        <v>62.431319999999999</v>
      </c>
      <c r="J1460" s="72">
        <v>-65.897599999999997</v>
      </c>
      <c r="K1460" s="7" t="s">
        <v>1910</v>
      </c>
      <c r="L1460" s="7" t="s">
        <v>42</v>
      </c>
      <c r="M1460" s="73"/>
      <c r="N1460" s="7" t="s">
        <v>2169</v>
      </c>
      <c r="O1460" s="7" t="s">
        <v>31</v>
      </c>
      <c r="P1460" s="7" t="s">
        <v>2169</v>
      </c>
      <c r="Q1460" s="7" t="s">
        <v>31</v>
      </c>
      <c r="S1460" s="8"/>
    </row>
    <row r="1461" spans="1:19" s="7" customFormat="1" x14ac:dyDescent="0.35">
      <c r="A1461" s="7">
        <v>92</v>
      </c>
      <c r="B1461" s="7" t="s">
        <v>2171</v>
      </c>
      <c r="C1461" s="7">
        <v>2022</v>
      </c>
      <c r="D1461" s="7" t="s">
        <v>2172</v>
      </c>
      <c r="E1461" s="8" t="s">
        <v>2173</v>
      </c>
      <c r="F1461" s="7" t="s">
        <v>2174</v>
      </c>
      <c r="G1461" s="7" t="s">
        <v>54</v>
      </c>
      <c r="H1461" s="7" t="s">
        <v>2175</v>
      </c>
      <c r="I1461" s="74">
        <v>49.654222222222224</v>
      </c>
      <c r="J1461" s="74">
        <v>-124.92655555555557</v>
      </c>
      <c r="K1461" s="7" t="s">
        <v>1910</v>
      </c>
      <c r="L1461" s="7" t="s">
        <v>163</v>
      </c>
      <c r="N1461" s="7" t="s">
        <v>2081</v>
      </c>
      <c r="O1461" s="7" t="s">
        <v>31</v>
      </c>
      <c r="P1461" s="7" t="s">
        <v>2081</v>
      </c>
      <c r="Q1461" s="7" t="s">
        <v>31</v>
      </c>
      <c r="R1461" s="7" t="s">
        <v>2176</v>
      </c>
      <c r="S1461" s="8" t="s">
        <v>2177</v>
      </c>
    </row>
    <row r="1462" spans="1:19" s="7" customFormat="1" x14ac:dyDescent="0.35">
      <c r="A1462" s="7">
        <v>92</v>
      </c>
      <c r="B1462" s="7" t="s">
        <v>2171</v>
      </c>
      <c r="C1462" s="7">
        <v>2022</v>
      </c>
      <c r="D1462" s="7" t="s">
        <v>2172</v>
      </c>
      <c r="E1462" s="8" t="s">
        <v>2173</v>
      </c>
      <c r="F1462" s="7" t="s">
        <v>2174</v>
      </c>
      <c r="G1462" s="7" t="s">
        <v>54</v>
      </c>
      <c r="H1462" s="7" t="s">
        <v>2175</v>
      </c>
      <c r="I1462" s="74">
        <v>49.636583333333334</v>
      </c>
      <c r="J1462" s="74">
        <v>-124.8935</v>
      </c>
      <c r="K1462" s="7" t="s">
        <v>1910</v>
      </c>
      <c r="L1462" s="7" t="s">
        <v>163</v>
      </c>
      <c r="N1462" s="7" t="s">
        <v>2081</v>
      </c>
      <c r="O1462" s="7" t="s">
        <v>31</v>
      </c>
      <c r="P1462" s="7" t="s">
        <v>2081</v>
      </c>
      <c r="Q1462" s="7" t="s">
        <v>31</v>
      </c>
      <c r="R1462" s="7" t="s">
        <v>2176</v>
      </c>
      <c r="S1462" s="13"/>
    </row>
    <row r="1463" spans="1:19" s="7" customFormat="1" x14ac:dyDescent="0.35">
      <c r="A1463" s="7">
        <v>92</v>
      </c>
      <c r="B1463" s="7" t="s">
        <v>2171</v>
      </c>
      <c r="C1463" s="7">
        <v>2022</v>
      </c>
      <c r="D1463" s="7" t="s">
        <v>2172</v>
      </c>
      <c r="E1463" s="8" t="s">
        <v>2173</v>
      </c>
      <c r="F1463" s="7" t="s">
        <v>2174</v>
      </c>
      <c r="G1463" s="7" t="s">
        <v>54</v>
      </c>
      <c r="H1463" s="7" t="s">
        <v>2175</v>
      </c>
      <c r="I1463" s="74">
        <v>49.601611111111112</v>
      </c>
      <c r="J1463" s="74">
        <v>-124.84163888888888</v>
      </c>
      <c r="K1463" s="7" t="s">
        <v>1910</v>
      </c>
      <c r="L1463" s="7" t="s">
        <v>163</v>
      </c>
      <c r="N1463" s="7" t="s">
        <v>2081</v>
      </c>
      <c r="O1463" s="7" t="s">
        <v>31</v>
      </c>
      <c r="P1463" s="7" t="s">
        <v>2081</v>
      </c>
      <c r="Q1463" s="7" t="s">
        <v>31</v>
      </c>
      <c r="R1463" s="7" t="s">
        <v>2176</v>
      </c>
      <c r="S1463" s="13"/>
    </row>
    <row r="1464" spans="1:19" s="7" customFormat="1" x14ac:dyDescent="0.35">
      <c r="A1464" s="7">
        <v>92</v>
      </c>
      <c r="B1464" s="7" t="s">
        <v>2171</v>
      </c>
      <c r="C1464" s="7">
        <v>2022</v>
      </c>
      <c r="D1464" s="7" t="s">
        <v>2172</v>
      </c>
      <c r="E1464" s="8" t="s">
        <v>2173</v>
      </c>
      <c r="F1464" s="7" t="s">
        <v>2174</v>
      </c>
      <c r="G1464" s="7" t="s">
        <v>54</v>
      </c>
      <c r="H1464" s="7" t="s">
        <v>2175</v>
      </c>
      <c r="I1464" s="74">
        <v>49.596055555555559</v>
      </c>
      <c r="J1464" s="74">
        <v>-124.86402777777778</v>
      </c>
      <c r="K1464" s="7" t="s">
        <v>1910</v>
      </c>
      <c r="L1464" s="7" t="s">
        <v>163</v>
      </c>
      <c r="N1464" s="7" t="s">
        <v>2081</v>
      </c>
      <c r="O1464" s="7" t="s">
        <v>31</v>
      </c>
      <c r="P1464" s="7" t="s">
        <v>2081</v>
      </c>
      <c r="Q1464" s="7" t="s">
        <v>31</v>
      </c>
      <c r="R1464" s="7" t="s">
        <v>2176</v>
      </c>
      <c r="S1464" s="13"/>
    </row>
    <row r="1465" spans="1:19" s="7" customFormat="1" x14ac:dyDescent="0.35">
      <c r="A1465" s="7">
        <v>92</v>
      </c>
      <c r="B1465" s="7" t="s">
        <v>2171</v>
      </c>
      <c r="C1465" s="7">
        <v>2022</v>
      </c>
      <c r="D1465" s="7" t="s">
        <v>2172</v>
      </c>
      <c r="E1465" s="8" t="s">
        <v>2173</v>
      </c>
      <c r="F1465" s="7" t="s">
        <v>2174</v>
      </c>
      <c r="G1465" s="7" t="s">
        <v>54</v>
      </c>
      <c r="H1465" s="7" t="s">
        <v>2175</v>
      </c>
      <c r="I1465" s="74">
        <v>49.536361111111113</v>
      </c>
      <c r="J1465" s="74">
        <v>-124.84358333333333</v>
      </c>
      <c r="K1465" s="7" t="s">
        <v>1910</v>
      </c>
      <c r="L1465" s="7" t="s">
        <v>163</v>
      </c>
      <c r="N1465" s="7" t="s">
        <v>2081</v>
      </c>
      <c r="O1465" s="7" t="s">
        <v>31</v>
      </c>
      <c r="P1465" s="7" t="s">
        <v>2081</v>
      </c>
      <c r="Q1465" s="7" t="s">
        <v>31</v>
      </c>
      <c r="R1465" s="7" t="s">
        <v>2176</v>
      </c>
      <c r="S1465" s="48"/>
    </row>
    <row r="1466" spans="1:19" s="7" customFormat="1" x14ac:dyDescent="0.35">
      <c r="A1466" s="7">
        <v>92</v>
      </c>
      <c r="B1466" s="7" t="s">
        <v>2171</v>
      </c>
      <c r="C1466" s="7">
        <v>2022</v>
      </c>
      <c r="D1466" s="7" t="s">
        <v>2172</v>
      </c>
      <c r="E1466" s="8" t="s">
        <v>2173</v>
      </c>
      <c r="F1466" s="7" t="s">
        <v>2174</v>
      </c>
      <c r="G1466" s="7" t="s">
        <v>54</v>
      </c>
      <c r="H1466" s="7" t="s">
        <v>2175</v>
      </c>
      <c r="I1466" s="74">
        <v>49.483166666666669</v>
      </c>
      <c r="J1466" s="74">
        <v>-124.77877777777778</v>
      </c>
      <c r="K1466" s="7" t="s">
        <v>1910</v>
      </c>
      <c r="L1466" s="7" t="s">
        <v>163</v>
      </c>
      <c r="N1466" s="7" t="s">
        <v>2081</v>
      </c>
      <c r="O1466" s="7" t="s">
        <v>31</v>
      </c>
      <c r="P1466" s="7" t="s">
        <v>2081</v>
      </c>
      <c r="Q1466" s="7" t="s">
        <v>31</v>
      </c>
      <c r="R1466" s="7" t="s">
        <v>2176</v>
      </c>
    </row>
    <row r="1467" spans="1:19" s="7" customFormat="1" x14ac:dyDescent="0.35">
      <c r="A1467" s="7">
        <v>92</v>
      </c>
      <c r="B1467" s="7" t="s">
        <v>2171</v>
      </c>
      <c r="C1467" s="7">
        <v>2022</v>
      </c>
      <c r="D1467" s="7" t="s">
        <v>2172</v>
      </c>
      <c r="E1467" s="8" t="s">
        <v>2173</v>
      </c>
      <c r="F1467" s="7" t="s">
        <v>2174</v>
      </c>
      <c r="G1467" s="7" t="s">
        <v>54</v>
      </c>
      <c r="H1467" s="7" t="s">
        <v>2175</v>
      </c>
      <c r="I1467" s="74">
        <v>49.475305555555558</v>
      </c>
      <c r="J1467" s="74">
        <v>-124.74836111111111</v>
      </c>
      <c r="K1467" s="7" t="s">
        <v>1910</v>
      </c>
      <c r="L1467" s="7" t="s">
        <v>163</v>
      </c>
      <c r="N1467" s="7" t="s">
        <v>2081</v>
      </c>
      <c r="O1467" s="7" t="s">
        <v>31</v>
      </c>
      <c r="P1467" s="7" t="s">
        <v>2081</v>
      </c>
      <c r="Q1467" s="7" t="s">
        <v>31</v>
      </c>
      <c r="R1467" s="7" t="s">
        <v>2176</v>
      </c>
    </row>
    <row r="1468" spans="1:19" s="7" customFormat="1" x14ac:dyDescent="0.35">
      <c r="A1468" s="7">
        <v>92</v>
      </c>
      <c r="B1468" s="7" t="s">
        <v>2171</v>
      </c>
      <c r="C1468" s="7">
        <v>2022</v>
      </c>
      <c r="D1468" s="7" t="s">
        <v>2172</v>
      </c>
      <c r="E1468" s="8" t="s">
        <v>2173</v>
      </c>
      <c r="F1468" s="7" t="s">
        <v>2174</v>
      </c>
      <c r="G1468" s="7" t="s">
        <v>54</v>
      </c>
      <c r="H1468" s="7" t="s">
        <v>2175</v>
      </c>
      <c r="I1468" s="74">
        <v>49.479277777777781</v>
      </c>
      <c r="J1468" s="74">
        <v>-124.71580555555556</v>
      </c>
      <c r="K1468" s="7" t="s">
        <v>1910</v>
      </c>
      <c r="L1468" s="7" t="s">
        <v>163</v>
      </c>
      <c r="N1468" s="7" t="s">
        <v>2081</v>
      </c>
      <c r="O1468" s="7" t="s">
        <v>31</v>
      </c>
      <c r="P1468" s="7" t="s">
        <v>2081</v>
      </c>
      <c r="Q1468" s="7" t="s">
        <v>31</v>
      </c>
      <c r="R1468" s="7" t="s">
        <v>2176</v>
      </c>
    </row>
    <row r="1469" spans="1:19" s="7" customFormat="1" x14ac:dyDescent="0.35">
      <c r="A1469" s="7">
        <v>92</v>
      </c>
      <c r="B1469" s="7" t="s">
        <v>2171</v>
      </c>
      <c r="C1469" s="7">
        <v>2022</v>
      </c>
      <c r="D1469" s="7" t="s">
        <v>2172</v>
      </c>
      <c r="E1469" s="8" t="s">
        <v>2173</v>
      </c>
      <c r="F1469" s="7" t="s">
        <v>2174</v>
      </c>
      <c r="G1469" s="7" t="s">
        <v>54</v>
      </c>
      <c r="H1469" s="7" t="s">
        <v>2175</v>
      </c>
      <c r="I1469" s="74">
        <v>49.479277777777781</v>
      </c>
      <c r="J1469" s="74">
        <v>-124.71580555555556</v>
      </c>
      <c r="K1469" s="7" t="s">
        <v>1910</v>
      </c>
      <c r="L1469" s="7" t="s">
        <v>163</v>
      </c>
      <c r="N1469" s="7" t="s">
        <v>2081</v>
      </c>
      <c r="O1469" s="7" t="s">
        <v>31</v>
      </c>
      <c r="P1469" s="7" t="s">
        <v>2081</v>
      </c>
      <c r="Q1469" s="7" t="s">
        <v>31</v>
      </c>
      <c r="R1469" s="7" t="s">
        <v>2176</v>
      </c>
    </row>
    <row r="1470" spans="1:19" s="7" customFormat="1" x14ac:dyDescent="0.35">
      <c r="A1470" s="7">
        <v>92</v>
      </c>
      <c r="B1470" s="7" t="s">
        <v>2171</v>
      </c>
      <c r="C1470" s="7">
        <v>2022</v>
      </c>
      <c r="D1470" s="7" t="s">
        <v>2172</v>
      </c>
      <c r="E1470" s="8" t="s">
        <v>2173</v>
      </c>
      <c r="F1470" s="7" t="s">
        <v>2174</v>
      </c>
      <c r="G1470" s="7" t="s">
        <v>54</v>
      </c>
      <c r="H1470" s="7" t="s">
        <v>2175</v>
      </c>
      <c r="I1470" s="74">
        <v>49.507638888888891</v>
      </c>
      <c r="J1470" s="74">
        <v>-124.71633333333334</v>
      </c>
      <c r="K1470" s="7" t="s">
        <v>1910</v>
      </c>
      <c r="L1470" s="7" t="s">
        <v>163</v>
      </c>
      <c r="N1470" s="7" t="s">
        <v>2081</v>
      </c>
      <c r="O1470" s="7" t="s">
        <v>31</v>
      </c>
      <c r="P1470" s="7" t="s">
        <v>2081</v>
      </c>
      <c r="Q1470" s="7" t="s">
        <v>31</v>
      </c>
      <c r="R1470" s="7" t="s">
        <v>2176</v>
      </c>
    </row>
    <row r="1471" spans="1:19" s="7" customFormat="1" x14ac:dyDescent="0.35">
      <c r="A1471" s="7">
        <v>92</v>
      </c>
      <c r="B1471" s="7" t="s">
        <v>2171</v>
      </c>
      <c r="C1471" s="7">
        <v>2022</v>
      </c>
      <c r="D1471" s="7" t="s">
        <v>2172</v>
      </c>
      <c r="E1471" s="8" t="s">
        <v>2173</v>
      </c>
      <c r="F1471" s="7" t="s">
        <v>2174</v>
      </c>
      <c r="G1471" s="7" t="s">
        <v>54</v>
      </c>
      <c r="H1471" s="7" t="s">
        <v>2175</v>
      </c>
      <c r="I1471" s="74">
        <v>49.589000000000006</v>
      </c>
      <c r="J1471" s="74">
        <v>-124.792</v>
      </c>
      <c r="K1471" s="7" t="s">
        <v>1910</v>
      </c>
      <c r="L1471" s="7" t="s">
        <v>163</v>
      </c>
      <c r="N1471" s="7" t="s">
        <v>2081</v>
      </c>
      <c r="O1471" s="7" t="s">
        <v>31</v>
      </c>
      <c r="P1471" s="7" t="s">
        <v>2081</v>
      </c>
      <c r="Q1471" s="7" t="s">
        <v>31</v>
      </c>
      <c r="R1471" s="7" t="s">
        <v>2176</v>
      </c>
    </row>
    <row r="1472" spans="1:19" s="7" customFormat="1" x14ac:dyDescent="0.35">
      <c r="A1472" s="7">
        <v>89</v>
      </c>
      <c r="B1472" s="7" t="s">
        <v>2178</v>
      </c>
      <c r="E1472" s="8" t="s">
        <v>2179</v>
      </c>
      <c r="F1472" s="7" t="s">
        <v>2180</v>
      </c>
      <c r="G1472" s="7" t="s">
        <v>494</v>
      </c>
      <c r="H1472" s="71" t="s">
        <v>2181</v>
      </c>
      <c r="I1472" s="52">
        <v>41.868299999999998</v>
      </c>
      <c r="J1472" s="52">
        <v>-65.353800000000007</v>
      </c>
      <c r="K1472" s="7" t="s">
        <v>1910</v>
      </c>
      <c r="L1472" s="7" t="s">
        <v>42</v>
      </c>
      <c r="M1472" s="75" t="s">
        <v>2182</v>
      </c>
      <c r="N1472" s="7">
        <v>200</v>
      </c>
      <c r="O1472" s="7" t="s">
        <v>31</v>
      </c>
      <c r="P1472" s="7">
        <v>200</v>
      </c>
      <c r="Q1472" s="7" t="s">
        <v>31</v>
      </c>
    </row>
    <row r="1473" spans="1:17" s="7" customFormat="1" x14ac:dyDescent="0.35">
      <c r="A1473" s="7">
        <v>89</v>
      </c>
      <c r="B1473" s="7" t="s">
        <v>2178</v>
      </c>
      <c r="E1473" s="8" t="s">
        <v>2183</v>
      </c>
      <c r="F1473" s="7" t="s">
        <v>2180</v>
      </c>
      <c r="G1473" s="7" t="s">
        <v>494</v>
      </c>
      <c r="H1473" s="71" t="s">
        <v>2181</v>
      </c>
      <c r="I1473" s="52">
        <v>44.000399999999999</v>
      </c>
      <c r="J1473" s="52">
        <v>-59.009500000000003</v>
      </c>
      <c r="K1473" s="7" t="s">
        <v>1910</v>
      </c>
      <c r="L1473" s="7" t="s">
        <v>42</v>
      </c>
      <c r="N1473" s="7">
        <v>200</v>
      </c>
      <c r="O1473" s="7" t="s">
        <v>31</v>
      </c>
      <c r="P1473" s="7">
        <v>200</v>
      </c>
      <c r="Q1473" s="7" t="s">
        <v>31</v>
      </c>
    </row>
    <row r="1474" spans="1:17" s="7" customFormat="1" x14ac:dyDescent="0.35">
      <c r="A1474" s="7">
        <v>89</v>
      </c>
      <c r="B1474" s="7" t="s">
        <v>2178</v>
      </c>
      <c r="E1474" s="8" t="s">
        <v>2184</v>
      </c>
      <c r="F1474" s="7" t="s">
        <v>2180</v>
      </c>
      <c r="G1474" s="7" t="s">
        <v>494</v>
      </c>
      <c r="H1474" s="71" t="s">
        <v>2181</v>
      </c>
      <c r="I1474" s="52">
        <v>43.889499999999998</v>
      </c>
      <c r="J1474" s="52">
        <v>-62.889899999999997</v>
      </c>
      <c r="K1474" s="7" t="s">
        <v>1910</v>
      </c>
      <c r="L1474" s="7" t="s">
        <v>42</v>
      </c>
      <c r="M1474" s="75" t="s">
        <v>2182</v>
      </c>
      <c r="N1474" s="7">
        <v>200</v>
      </c>
      <c r="O1474" s="7" t="s">
        <v>31</v>
      </c>
      <c r="P1474" s="7">
        <v>200</v>
      </c>
      <c r="Q1474" s="7" t="s">
        <v>31</v>
      </c>
    </row>
    <row r="1475" spans="1:17" s="7" customFormat="1" x14ac:dyDescent="0.35">
      <c r="A1475" s="7">
        <v>89</v>
      </c>
      <c r="B1475" s="7" t="s">
        <v>2178</v>
      </c>
      <c r="E1475" s="8" t="s">
        <v>2185</v>
      </c>
      <c r="F1475" s="7" t="s">
        <v>2180</v>
      </c>
      <c r="G1475" s="7" t="s">
        <v>494</v>
      </c>
      <c r="H1475" s="71" t="s">
        <v>2181</v>
      </c>
      <c r="I1475" s="52">
        <v>43.479199999999999</v>
      </c>
      <c r="J1475" s="52">
        <v>-62.448300000000003</v>
      </c>
      <c r="K1475" s="7" t="s">
        <v>1910</v>
      </c>
      <c r="L1475" s="7" t="s">
        <v>42</v>
      </c>
      <c r="N1475" s="7">
        <v>200</v>
      </c>
      <c r="O1475" s="7" t="s">
        <v>31</v>
      </c>
      <c r="P1475" s="7">
        <v>200</v>
      </c>
      <c r="Q1475" s="7" t="s">
        <v>31</v>
      </c>
    </row>
    <row r="1476" spans="1:17" s="7" customFormat="1" x14ac:dyDescent="0.35">
      <c r="A1476" s="7">
        <v>89</v>
      </c>
      <c r="B1476" s="7" t="s">
        <v>2178</v>
      </c>
      <c r="E1476" s="8" t="s">
        <v>2186</v>
      </c>
      <c r="F1476" s="7" t="s">
        <v>2180</v>
      </c>
      <c r="G1476" s="7" t="s">
        <v>494</v>
      </c>
      <c r="H1476" s="71" t="s">
        <v>2181</v>
      </c>
      <c r="I1476" s="52">
        <v>42.734400000000001</v>
      </c>
      <c r="J1476" s="52">
        <v>-61.611800000000002</v>
      </c>
      <c r="K1476" s="7" t="s">
        <v>1910</v>
      </c>
      <c r="L1476" s="7" t="s">
        <v>42</v>
      </c>
      <c r="M1476" s="75" t="s">
        <v>2182</v>
      </c>
      <c r="N1476" s="7">
        <v>200</v>
      </c>
      <c r="O1476" s="7" t="s">
        <v>31</v>
      </c>
      <c r="P1476" s="7">
        <v>200</v>
      </c>
      <c r="Q1476" s="7" t="s">
        <v>31</v>
      </c>
    </row>
    <row r="1477" spans="1:17" s="7" customFormat="1" x14ac:dyDescent="0.35">
      <c r="A1477" s="7">
        <v>89</v>
      </c>
      <c r="B1477" s="7" t="s">
        <v>2178</v>
      </c>
      <c r="E1477" s="8" t="s">
        <v>2187</v>
      </c>
      <c r="F1477" s="7" t="s">
        <v>2180</v>
      </c>
      <c r="G1477" s="7" t="s">
        <v>494</v>
      </c>
      <c r="H1477" s="71" t="s">
        <v>2181</v>
      </c>
      <c r="I1477" s="52">
        <v>44.721899999999998</v>
      </c>
      <c r="J1477" s="52">
        <v>-57.645499999999998</v>
      </c>
      <c r="K1477" s="7" t="s">
        <v>1910</v>
      </c>
      <c r="L1477" s="7" t="s">
        <v>42</v>
      </c>
      <c r="N1477" s="7">
        <v>200</v>
      </c>
      <c r="O1477" s="7" t="s">
        <v>31</v>
      </c>
      <c r="P1477" s="7">
        <v>200</v>
      </c>
      <c r="Q1477" s="7" t="s">
        <v>31</v>
      </c>
    </row>
    <row r="1478" spans="1:17" s="7" customFormat="1" x14ac:dyDescent="0.35">
      <c r="A1478" s="7">
        <v>89</v>
      </c>
      <c r="B1478" s="7" t="s">
        <v>2178</v>
      </c>
      <c r="E1478" s="8" t="s">
        <v>2188</v>
      </c>
      <c r="F1478" s="7" t="s">
        <v>2180</v>
      </c>
      <c r="G1478" s="7" t="s">
        <v>494</v>
      </c>
      <c r="H1478" s="71" t="s">
        <v>2181</v>
      </c>
      <c r="I1478" s="52">
        <v>43.6905</v>
      </c>
      <c r="J1478" s="52">
        <v>-66.841999999999999</v>
      </c>
      <c r="K1478" s="7" t="s">
        <v>1910</v>
      </c>
      <c r="L1478" s="7" t="s">
        <v>42</v>
      </c>
      <c r="M1478" s="75" t="s">
        <v>2182</v>
      </c>
      <c r="N1478" s="7">
        <v>200</v>
      </c>
      <c r="O1478" s="7" t="s">
        <v>31</v>
      </c>
      <c r="P1478" s="7">
        <v>200</v>
      </c>
      <c r="Q1478" s="7" t="s">
        <v>31</v>
      </c>
    </row>
    <row r="1479" spans="1:17" s="7" customFormat="1" x14ac:dyDescent="0.35">
      <c r="A1479" s="7">
        <v>89</v>
      </c>
      <c r="B1479" s="7" t="s">
        <v>2178</v>
      </c>
      <c r="E1479" s="8" t="s">
        <v>2189</v>
      </c>
      <c r="F1479" s="7" t="s">
        <v>2180</v>
      </c>
      <c r="G1479" s="7" t="s">
        <v>494</v>
      </c>
      <c r="H1479" s="71" t="s">
        <v>2181</v>
      </c>
      <c r="I1479" s="52">
        <v>44.273200000000003</v>
      </c>
      <c r="J1479" s="52">
        <v>-63.326999999999998</v>
      </c>
      <c r="K1479" s="7" t="s">
        <v>1910</v>
      </c>
      <c r="L1479" s="7" t="s">
        <v>42</v>
      </c>
      <c r="N1479" s="7">
        <v>200</v>
      </c>
      <c r="O1479" s="7" t="s">
        <v>31</v>
      </c>
      <c r="P1479" s="7">
        <v>200</v>
      </c>
      <c r="Q1479" s="7" t="s">
        <v>31</v>
      </c>
    </row>
    <row r="1480" spans="1:17" s="7" customFormat="1" x14ac:dyDescent="0.35">
      <c r="A1480" s="7">
        <v>89</v>
      </c>
      <c r="B1480" s="7" t="s">
        <v>2178</v>
      </c>
      <c r="E1480" s="8" t="s">
        <v>2190</v>
      </c>
      <c r="F1480" s="7" t="s">
        <v>2180</v>
      </c>
      <c r="G1480" s="7" t="s">
        <v>804</v>
      </c>
      <c r="H1480" s="7" t="s">
        <v>2191</v>
      </c>
      <c r="I1480" s="52">
        <v>46.999000000000002</v>
      </c>
      <c r="J1480" s="52">
        <v>-52.832999999999998</v>
      </c>
      <c r="K1480" s="7" t="s">
        <v>1910</v>
      </c>
      <c r="L1480" s="7" t="s">
        <v>42</v>
      </c>
      <c r="M1480" s="75" t="s">
        <v>2182</v>
      </c>
      <c r="N1480" s="7">
        <v>200</v>
      </c>
      <c r="O1480" s="7" t="s">
        <v>31</v>
      </c>
      <c r="P1480" s="7">
        <v>200</v>
      </c>
      <c r="Q1480" s="7" t="s">
        <v>31</v>
      </c>
    </row>
    <row r="1481" spans="1:17" s="7" customFormat="1" x14ac:dyDescent="0.35">
      <c r="A1481" s="7">
        <v>89</v>
      </c>
      <c r="B1481" s="7" t="s">
        <v>2178</v>
      </c>
      <c r="E1481" s="8" t="s">
        <v>2192</v>
      </c>
      <c r="F1481" s="7" t="s">
        <v>2180</v>
      </c>
      <c r="G1481" s="7" t="s">
        <v>804</v>
      </c>
      <c r="H1481" s="7" t="s">
        <v>2191</v>
      </c>
      <c r="I1481" s="52">
        <v>46.994999999999997</v>
      </c>
      <c r="J1481" s="52">
        <v>-50.003999999999998</v>
      </c>
      <c r="K1481" s="7" t="s">
        <v>1910</v>
      </c>
      <c r="L1481" s="7" t="s">
        <v>42</v>
      </c>
      <c r="N1481" s="7">
        <v>200</v>
      </c>
      <c r="O1481" s="7" t="s">
        <v>31</v>
      </c>
      <c r="P1481" s="7">
        <v>200</v>
      </c>
      <c r="Q1481" s="7" t="s">
        <v>31</v>
      </c>
    </row>
    <row r="1482" spans="1:17" s="7" customFormat="1" x14ac:dyDescent="0.35">
      <c r="A1482" s="7">
        <v>89</v>
      </c>
      <c r="B1482" s="7" t="s">
        <v>2178</v>
      </c>
      <c r="E1482" s="8" t="s">
        <v>2193</v>
      </c>
      <c r="F1482" s="7" t="s">
        <v>2180</v>
      </c>
      <c r="G1482" s="7" t="s">
        <v>804</v>
      </c>
      <c r="H1482" s="7" t="s">
        <v>2191</v>
      </c>
      <c r="I1482" s="52">
        <v>46.999000000000002</v>
      </c>
      <c r="J1482" s="52">
        <v>-47.015999999999998</v>
      </c>
      <c r="K1482" s="7" t="s">
        <v>1910</v>
      </c>
      <c r="L1482" s="7" t="s">
        <v>42</v>
      </c>
      <c r="N1482" s="7">
        <v>200</v>
      </c>
      <c r="O1482" s="7" t="s">
        <v>31</v>
      </c>
      <c r="P1482" s="7">
        <v>200</v>
      </c>
      <c r="Q1482" s="7" t="s">
        <v>31</v>
      </c>
    </row>
    <row r="1483" spans="1:17" s="7" customFormat="1" x14ac:dyDescent="0.35"/>
  </sheetData>
  <autoFilter ref="A1:XEE1483" xr:uid="{60E697EF-0CA7-478F-AF2B-BD2CF36393B3}">
    <sortState xmlns:xlrd2="http://schemas.microsoft.com/office/spreadsheetml/2017/richdata2" ref="A2:AR1267">
      <sortCondition ref="A1:A1267"/>
    </sortState>
  </autoFilter>
  <phoneticPr fontId="8" type="noConversion"/>
  <dataValidations count="2">
    <dataValidation type="list" allowBlank="1" showInputMessage="1" showErrorMessage="1" sqref="G835:G867 AW228 BM228 DI228 DY228 EO228 FE228 FU228 GK228 HA228 HQ228 IG228 IW228 JM228 KC228 KS228 LI228 LY228 MO228 NE228 NU228 OK228 PA228 PQ228 QG228 QW228 RM228 SC228 SS228 TI228 TY228 UO228 VE228 VU228 WK228 XA228 XQ228 YG228 YW228 ZM228 AAC228 AAS228 ABI228 ABY228 ACO228 ADE228 ADU228 AEK228 AFA228 AFQ228 AGG228 AGW228 AHM228 AIC228 AIS228 AJI228 AJY228 AKO228 ALE228 ALU228 AMK228 ANA228 ANQ228 AOG228 AOW228 APM228 AQC228 AQS228 ARI228 ARY228 ASO228 ATE228 ATU228 AUK228 AVA228 AVQ228 AWG228 AWW228 AXM228 AYC228 AYS228 AZI228 AZY228 BAO228 BBE228 BBU228 BCK228 BDA228 BDQ228 BEG228 BEW228 BFM228 BGC228 BGS228 BHI228 BHY228 BIO228 BJE228 BJU228 BKK228 BLA228 BLQ228 BMG228 BMW228 BNM228 BOC228 BOS228 BPI228 BPY228 BQO228 BRE228 BRU228 BSK228 BTA228 BTQ228 BUG228 BUW228 BVM228 BWC228 BWS228 BXI228 BXY228 BYO228 BZE228 BZU228 CAK228 CBA228 CBQ228 CCG228 CCW228 CDM228 CEC228 CES228 CFI228 CFY228 CGO228 CHE228 CHU228 CIK228 CJA228 CJQ228 CKG228 CKW228 CLM228 CMC228 CMS228 CNI228 CNY228 COO228 CPE228 CPU228 CQK228 CRA228 CRQ228 CSG228 CSW228 CTM228 CUC228 CUS228 CVI228 CVY228 CWO228 CXE228 CXU228 CYK228 CZA228 CZQ228 DAG228 DAW228 DBM228 DCC228 DCS228 DDI228 DDY228 DEO228 DFE228 DFU228 DGK228 DHA228 DHQ228 DIG228 DIW228 DJM228 DKC228 DKS228 DLI228 DLY228 DMO228 DNE228 DNU228 DOK228 DPA228 DPQ228 DQG228 DQW228 DRM228 DSC228 DSS228 DTI228 DTY228 DUO228 DVE228 DVU228 DWK228 DXA228 DXQ228 DYG228 DYW228 DZM228 EAC228 EAS228 EBI228 EBY228 ECO228 EDE228 EDU228 EEK228 EFA228 EFQ228 EGG228 EGW228 EHM228 EIC228 EIS228 EJI228 EJY228 EKO228 ELE228 ELU228 EMK228 ENA228 ENQ228 EOG228 EOW228 EPM228 EQC228 EQS228 ERI228 ERY228 ESO228 ETE228 ETU228 EUK228 EVA228 EVQ228 EWG228 EWW228 EXM228 EYC228 EYS228 EZI228 EZY228 FAO228 FBE228 FBU228 FCK228 FDA228 FDQ228 FEG228 FEW228 FFM228 FGC228 FGS228 FHI228 FHY228 FIO228 FJE228 FJU228 FKK228 FLA228 FLQ228 FMG228 FMW228 FNM228 FOC228 FOS228 FPI228 FPY228 FQO228 FRE228 FRU228 FSK228 FTA228 FTQ228 FUG228 FUW228 FVM228 FWC228 FWS228 FXI228 FXY228 FYO228 FZE228 FZU228 GAK228 GBA228 GBQ228 GCG228 GCW228 GDM228 GEC228 GES228 GFI228 GFY228 GGO228 GHE228 GHU228 GIK228 GJA228 GJQ228 GKG228 GKW228 GLM228 GMC228 GMS228 GNI228 GNY228 GOO228 GPE228 GPU228 GQK228 GRA228 GRQ228 GSG228 GSW228 GTM228 GUC228 GUS228 GVI228 GVY228 GWO228 GXE228 GXU228 GYK228 GZA228 GZQ228 HAG228 HAW228 HBM228 HCC228 HCS228 HDI228 HDY228 HEO228 HFE228 HFU228 HGK228 HHA228 HHQ228 HIG228 HIW228 HJM228 HKC228 HKS228 HLI228 HLY228 HMO228 HNE228 HNU228 HOK228 HPA228 HPQ228 HQG228 HQW228 HRM228 HSC228 HSS228 HTI228 HTY228 HUO228 HVE228 HVU228 HWK228 HXA228 HXQ228 HYG228 HYW228 HZM228 IAC228 IAS228 IBI228 IBY228 ICO228 IDE228 IDU228 IEK228 IFA228 IFQ228 IGG228 IGW228 IHM228 IIC228 IIS228 IJI228 IJY228 IKO228 ILE228 ILU228 IMK228 INA228 INQ228 IOG228 IOW228 IPM228 IQC228 IQS228 IRI228 IRY228 ISO228 ITE228 ITU228 IUK228 IVA228 IVQ228 IWG228 IWW228 IXM228 IYC228 IYS228 IZI228 IZY228 JAO228 JBE228 JBU228 JCK228 JDA228 JDQ228 JEG228 JEW228 JFM228 JGC228 JGS228 JHI228 JHY228 JIO228 JJE228 JJU228 JKK228 JLA228 JLQ228 JMG228 JMW228 JNM228 JOC228 JOS228 JPI228 JPY228 JQO228 JRE228 JRU228 JSK228 JTA228 JTQ228 JUG228 JUW228 JVM228 JWC228 JWS228 JXI228 JXY228 JYO228 JZE228 JZU228 KAK228 KBA228 KBQ228 KCG228 KCW228 KDM228 KEC228 KES228 KFI228 KFY228 KGO228 KHE228 KHU228 KIK228 KJA228 KJQ228 KKG228 KKW228 KLM228 KMC228 KMS228 KNI228 KNY228 KOO228 KPE228 KPU228 KQK228 KRA228 KRQ228 KSG228 KSW228 KTM228 KUC228 KUS228 KVI228 KVY228 KWO228 KXE228 KXU228 KYK228 KZA228 KZQ228 LAG228 LAW228 LBM228 LCC228 LCS228 LDI228 LDY228 LEO228 LFE228 LFU228 LGK228 LHA228 LHQ228 LIG228 LIW228 LJM228 LKC228 LKS228 LLI228 LLY228 LMO228 LNE228 LNU228 LOK228 LPA228 LPQ228 LQG228 LQW228 LRM228 LSC228 LSS228 LTI228 LTY228 LUO228 LVE228 LVU228 LWK228 LXA228 LXQ228 LYG228 LYW228 LZM228 MAC228 MAS228 MBI228 MBY228 MCO228 MDE228 MDU228 MEK228 MFA228 MFQ228 MGG228 MGW228 MHM228 MIC228 MIS228 MJI228 MJY228 MKO228 MLE228 MLU228 MMK228 MNA228 MNQ228 MOG228 MOW228 MPM228 MQC228 MQS228 MRI228 MRY228 MSO228 MTE228 MTU228 MUK228 MVA228 MVQ228 MWG228 MWW228 MXM228 MYC228 MYS228 MZI228 MZY228 NAO228 NBE228 NBU228 NCK228 NDA228 NDQ228 NEG228 NEW228 NFM228 NGC228 NGS228 NHI228 NHY228 NIO228 NJE228 NJU228 NKK228 NLA228 NLQ228 NMG228 NMW228 NNM228 NOC228 NOS228 NPI228 NPY228 NQO228 NRE228 NRU228 NSK228 NTA228 NTQ228 NUG228 NUW228 NVM228 NWC228 NWS228 NXI228 NXY228 NYO228 NZE228 NZU228 OAK228 OBA228 OBQ228 OCG228 OCW228 ODM228 OEC228 OES228 OFI228 OFY228 OGO228 OHE228 OHU228 OIK228 OJA228 OJQ228 OKG228 OKW228 OLM228 OMC228 OMS228 ONI228 ONY228 OOO228 OPE228 OPU228 OQK228 ORA228 ORQ228 OSG228 OSW228 OTM228 OUC228 OUS228 OVI228 OVY228 OWO228 OXE228 OXU228 OYK228 OZA228 OZQ228 PAG228 PAW228 PBM228 PCC228 PCS228 PDI228 PDY228 PEO228 PFE228 PFU228 PGK228 PHA228 PHQ228 PIG228 PIW228 PJM228 PKC228 PKS228 PLI228 PLY228 PMO228 PNE228 PNU228 POK228 PPA228 PPQ228 PQG228 PQW228 PRM228 PSC228 PSS228 PTI228 PTY228 PUO228 PVE228 PVU228 PWK228 PXA228 PXQ228 PYG228 PYW228 PZM228 QAC228 QAS228 QBI228 QBY228 QCO228 QDE228 QDU228 QEK228 QFA228 QFQ228 QGG228 QGW228 QHM228 QIC228 QIS228 QJI228 QJY228 QKO228 QLE228 QLU228 QMK228 QNA228 QNQ228 QOG228 QOW228 QPM228 QQC228 QQS228 QRI228 QRY228 QSO228 QTE228 QTU228 QUK228 QVA228 QVQ228 QWG228 QWW228 QXM228 QYC228 QYS228 QZI228 QZY228 RAO228 RBE228 RBU228 RCK228 RDA228 RDQ228 REG228 REW228 RFM228 RGC228 RGS228 RHI228 RHY228 RIO228 RJE228 RJU228 RKK228 RLA228 RLQ228 RMG228 RMW228 RNM228 ROC228 ROS228 RPI228 RPY228 RQO228 RRE228 RRU228 RSK228 RTA228 RTQ228 RUG228 RUW228 RVM228 RWC228 RWS228 RXI228 RXY228 RYO228 RZE228 RZU228 SAK228 SBA228 SBQ228 SCG228 SCW228 SDM228 SEC228 SES228 SFI228 SFY228 SGO228 SHE228 SHU228 SIK228 SJA228 SJQ228 SKG228 SKW228 SLM228 SMC228 SMS228 SNI228 SNY228 SOO228 SPE228 SPU228 SQK228 SRA228 SRQ228 SSG228 SSW228 STM228 SUC228 SUS228 SVI228 SVY228 SWO228 SXE228 SXU228 SYK228 SZA228 SZQ228 TAG228 TAW228 TBM228 TCC228 TCS228 TDI228 TDY228 TEO228 TFE228 TFU228 TGK228 THA228 THQ228 TIG228 TIW228 TJM228 TKC228 TKS228 TLI228 TLY228 TMO228 TNE228 TNU228 TOK228 TPA228 TPQ228 TQG228 TQW228 TRM228 TSC228 TSS228 TTI228 TTY228 TUO228 TVE228 TVU228 TWK228 TXA228 TXQ228 TYG228 TYW228 TZM228 UAC228 UAS228 UBI228 UBY228 UCO228 UDE228 UDU228 UEK228 UFA228 UFQ228 UGG228 UGW228 UHM228 UIC228 UIS228 UJI228 UJY228 UKO228 ULE228 ULU228 UMK228 UNA228 UNQ228 UOG228 UOW228 UPM228 UQC228 UQS228 URI228 URY228 USO228 UTE228 UTU228 UUK228 UVA228 UVQ228 UWG228 UWW228 UXM228 UYC228 UYS228 UZI228 UZY228 VAO228 VBE228 VBU228 VCK228 VDA228 VDQ228 VEG228 VEW228 VFM228 VGC228 VGS228 VHI228 VHY228 VIO228 VJE228 VJU228 VKK228 VLA228 VLQ228 VMG228 VMW228 VNM228 VOC228 VOS228 VPI228 VPY228 VQO228 VRE228 VRU228 VSK228 VTA228 VTQ228 VUG228 VUW228 VVM228 VWC228 VWS228 VXI228 VXY228 VYO228 VZE228 VZU228 WAK228 WBA228 WBQ228 WCG228 WCW228 WDM228 WEC228 WES228 WFI228 WFY228 WGO228 WHE228 WHU228 WIK228 WJA228 WJQ228 WKG228 WKW228 WLM228 WMC228 WMS228 WNI228 WNY228 WOO228 WPE228 WPU228 WQK228 WRA228 WRQ228 WSG228 WSW228 WTM228 WUC228 WUS228 WVI228 WVY228 WWO228 WXE228 WXU228 WYK228 WZA228 WZQ228 XAG228 XAW228 XBM228 XCC228 XCS228 XDI228 XDY228 CC228 CS228 AG228 G1005:G1065 G1258:G1267 G1109:G1182 G1270 G1318:G1323 G1472:G1482 G1346:G1446 G2:G787" xr:uid="{61321EE3-A709-482E-9CBD-AF7A79F03E11}">
      <formula1>"Arctic, Alberta, British Columbia, Manitoba, New Brunswick, Newfoundland and Labrador, Nova Scotia, Ontario, Prince Edward Island, Quebec, Saskatchewan, Northwest Territories, Nunavut, Yukon"</formula1>
    </dataValidation>
    <dataValidation type="list" allowBlank="1" showInputMessage="1" showErrorMessage="1" sqref="K26:K28 BO228 CU228 DK228 EA228 EQ228 FG228 FW228 GM228 HC228 HS228 II228 IY228 JO228 KE228 KU228 LK228 MA228 MQ228 NG228 NW228 OM228 PC228 PS228 QI228 QY228 RO228 SE228 SU228 TK228 UA228 UQ228 VG228 VW228 WM228 XC228 XS228 YI228 YY228 ZO228 AAE228 AAU228 ABK228 ACA228 ACQ228 ADG228 ADW228 AEM228 AFC228 AFS228 AGI228 AGY228 AHO228 AIE228 AIU228 AJK228 AKA228 AKQ228 ALG228 ALW228 AMM228 ANC228 ANS228 AOI228 AOY228 APO228 AQE228 AQU228 ARK228 ASA228 ASQ228 ATG228 ATW228 AUM228 AVC228 AVS228 AWI228 AWY228 AXO228 AYE228 AYU228 AZK228 BAA228 BAQ228 BBG228 BBW228 BCM228 BDC228 BDS228 BEI228 BEY228 BFO228 BGE228 BGU228 BHK228 BIA228 BIQ228 BJG228 BJW228 BKM228 BLC228 BLS228 BMI228 BMY228 BNO228 BOE228 BOU228 BPK228 BQA228 BQQ228 BRG228 BRW228 BSM228 BTC228 BTS228 BUI228 BUY228 BVO228 BWE228 BWU228 BXK228 BYA228 BYQ228 BZG228 BZW228 CAM228 CBC228 CBS228 CCI228 CCY228 CDO228 CEE228 CEU228 CFK228 CGA228 CGQ228 CHG228 CHW228 CIM228 CJC228 CJS228 CKI228 CKY228 CLO228 CME228 CMU228 CNK228 COA228 COQ228 CPG228 CPW228 CQM228 CRC228 CRS228 CSI228 CSY228 CTO228 CUE228 CUU228 CVK228 CWA228 CWQ228 CXG228 CXW228 CYM228 CZC228 CZS228 DAI228 DAY228 DBO228 DCE228 DCU228 DDK228 DEA228 DEQ228 DFG228 DFW228 DGM228 DHC228 DHS228 DII228 DIY228 DJO228 DKE228 DKU228 DLK228 DMA228 DMQ228 DNG228 DNW228 DOM228 DPC228 DPS228 DQI228 DQY228 DRO228 DSE228 DSU228 DTK228 DUA228 DUQ228 DVG228 DVW228 DWM228 DXC228 DXS228 DYI228 DYY228 DZO228 EAE228 EAU228 EBK228 ECA228 ECQ228 EDG228 EDW228 EEM228 EFC228 EFS228 EGI228 EGY228 EHO228 EIE228 EIU228 EJK228 EKA228 EKQ228 ELG228 ELW228 EMM228 ENC228 ENS228 EOI228 EOY228 EPO228 EQE228 EQU228 ERK228 ESA228 ESQ228 ETG228 ETW228 EUM228 EVC228 EVS228 EWI228 EWY228 EXO228 EYE228 EYU228 EZK228 FAA228 FAQ228 FBG228 FBW228 FCM228 FDC228 FDS228 FEI228 FEY228 FFO228 FGE228 FGU228 FHK228 FIA228 FIQ228 FJG228 FJW228 FKM228 FLC228 FLS228 FMI228 FMY228 FNO228 FOE228 FOU228 FPK228 FQA228 FQQ228 FRG228 FRW228 FSM228 FTC228 FTS228 FUI228 FUY228 FVO228 FWE228 FWU228 FXK228 FYA228 FYQ228 FZG228 FZW228 GAM228 GBC228 GBS228 GCI228 GCY228 GDO228 GEE228 GEU228 GFK228 GGA228 GGQ228 GHG228 GHW228 GIM228 GJC228 GJS228 GKI228 GKY228 GLO228 GME228 GMU228 GNK228 GOA228 GOQ228 GPG228 GPW228 GQM228 GRC228 GRS228 GSI228 GSY228 GTO228 GUE228 GUU228 GVK228 GWA228 GWQ228 GXG228 GXW228 GYM228 GZC228 GZS228 HAI228 HAY228 HBO228 HCE228 HCU228 HDK228 HEA228 HEQ228 HFG228 HFW228 HGM228 HHC228 HHS228 HII228 HIY228 HJO228 HKE228 HKU228 HLK228 HMA228 HMQ228 HNG228 HNW228 HOM228 HPC228 HPS228 HQI228 HQY228 HRO228 HSE228 HSU228 HTK228 HUA228 HUQ228 HVG228 HVW228 HWM228 HXC228 HXS228 HYI228 HYY228 HZO228 IAE228 IAU228 IBK228 ICA228 ICQ228 IDG228 IDW228 IEM228 IFC228 IFS228 IGI228 IGY228 IHO228 IIE228 IIU228 IJK228 IKA228 IKQ228 ILG228 ILW228 IMM228 INC228 INS228 IOI228 IOY228 IPO228 IQE228 IQU228 IRK228 ISA228 ISQ228 ITG228 ITW228 IUM228 IVC228 IVS228 IWI228 IWY228 IXO228 IYE228 IYU228 IZK228 JAA228 JAQ228 JBG228 JBW228 JCM228 JDC228 JDS228 JEI228 JEY228 JFO228 JGE228 JGU228 JHK228 JIA228 JIQ228 JJG228 JJW228 JKM228 JLC228 JLS228 JMI228 JMY228 JNO228 JOE228 JOU228 JPK228 JQA228 JQQ228 JRG228 JRW228 JSM228 JTC228 JTS228 JUI228 JUY228 JVO228 JWE228 JWU228 JXK228 JYA228 JYQ228 JZG228 JZW228 KAM228 KBC228 KBS228 KCI228 KCY228 KDO228 KEE228 KEU228 KFK228 KGA228 KGQ228 KHG228 KHW228 KIM228 KJC228 KJS228 KKI228 KKY228 KLO228 KME228 KMU228 KNK228 KOA228 KOQ228 KPG228 KPW228 KQM228 KRC228 KRS228 KSI228 KSY228 KTO228 KUE228 KUU228 KVK228 KWA228 KWQ228 KXG228 KXW228 KYM228 KZC228 KZS228 LAI228 LAY228 LBO228 LCE228 LCU228 LDK228 LEA228 LEQ228 LFG228 LFW228 LGM228 LHC228 LHS228 LII228 LIY228 LJO228 LKE228 LKU228 LLK228 LMA228 LMQ228 LNG228 LNW228 LOM228 LPC228 LPS228 LQI228 LQY228 LRO228 LSE228 LSU228 LTK228 LUA228 LUQ228 LVG228 LVW228 LWM228 LXC228 LXS228 LYI228 LYY228 LZO228 MAE228 MAU228 MBK228 MCA228 MCQ228 MDG228 MDW228 MEM228 MFC228 MFS228 MGI228 MGY228 MHO228 MIE228 MIU228 MJK228 MKA228 MKQ228 MLG228 MLW228 MMM228 MNC228 MNS228 MOI228 MOY228 MPO228 MQE228 MQU228 MRK228 MSA228 MSQ228 MTG228 MTW228 MUM228 MVC228 MVS228 MWI228 MWY228 MXO228 MYE228 MYU228 MZK228 NAA228 NAQ228 NBG228 NBW228 NCM228 NDC228 NDS228 NEI228 NEY228 NFO228 NGE228 NGU228 NHK228 NIA228 NIQ228 NJG228 NJW228 NKM228 NLC228 NLS228 NMI228 NMY228 NNO228 NOE228 NOU228 NPK228 NQA228 NQQ228 NRG228 NRW228 NSM228 NTC228 NTS228 NUI228 NUY228 NVO228 NWE228 NWU228 NXK228 NYA228 NYQ228 NZG228 NZW228 OAM228 OBC228 OBS228 OCI228 OCY228 ODO228 OEE228 OEU228 OFK228 OGA228 OGQ228 OHG228 OHW228 OIM228 OJC228 OJS228 OKI228 OKY228 OLO228 OME228 OMU228 ONK228 OOA228 OOQ228 OPG228 OPW228 OQM228 ORC228 ORS228 OSI228 OSY228 OTO228 OUE228 OUU228 OVK228 OWA228 OWQ228 OXG228 OXW228 OYM228 OZC228 OZS228 PAI228 PAY228 PBO228 PCE228 PCU228 PDK228 PEA228 PEQ228 PFG228 PFW228 PGM228 PHC228 PHS228 PII228 PIY228 PJO228 PKE228 PKU228 PLK228 PMA228 PMQ228 PNG228 PNW228 POM228 PPC228 PPS228 PQI228 PQY228 PRO228 PSE228 PSU228 PTK228 PUA228 PUQ228 PVG228 PVW228 PWM228 PXC228 PXS228 PYI228 PYY228 PZO228 QAE228 QAU228 QBK228 QCA228 QCQ228 QDG228 QDW228 QEM228 QFC228 QFS228 QGI228 QGY228 QHO228 QIE228 QIU228 QJK228 QKA228 QKQ228 QLG228 QLW228 QMM228 QNC228 QNS228 QOI228 QOY228 QPO228 QQE228 QQU228 QRK228 QSA228 QSQ228 QTG228 QTW228 QUM228 QVC228 QVS228 QWI228 QWY228 QXO228 QYE228 QYU228 QZK228 RAA228 RAQ228 RBG228 RBW228 RCM228 RDC228 RDS228 REI228 REY228 RFO228 RGE228 RGU228 RHK228 RIA228 RIQ228 RJG228 RJW228 RKM228 RLC228 RLS228 RMI228 RMY228 RNO228 ROE228 ROU228 RPK228 RQA228 RQQ228 RRG228 RRW228 RSM228 RTC228 RTS228 RUI228 RUY228 RVO228 RWE228 RWU228 RXK228 RYA228 RYQ228 RZG228 RZW228 SAM228 SBC228 SBS228 SCI228 SCY228 SDO228 SEE228 SEU228 SFK228 SGA228 SGQ228 SHG228 SHW228 SIM228 SJC228 SJS228 SKI228 SKY228 SLO228 SME228 SMU228 SNK228 SOA228 SOQ228 SPG228 SPW228 SQM228 SRC228 SRS228 SSI228 SSY228 STO228 SUE228 SUU228 SVK228 SWA228 SWQ228 SXG228 SXW228 SYM228 SZC228 SZS228 TAI228 TAY228 TBO228 TCE228 TCU228 TDK228 TEA228 TEQ228 TFG228 TFW228 TGM228 THC228 THS228 TII228 TIY228 TJO228 TKE228 TKU228 TLK228 TMA228 TMQ228 TNG228 TNW228 TOM228 TPC228 TPS228 TQI228 TQY228 TRO228 TSE228 TSU228 TTK228 TUA228 TUQ228 TVG228 TVW228 TWM228 TXC228 TXS228 TYI228 TYY228 TZO228 UAE228 UAU228 UBK228 UCA228 UCQ228 UDG228 UDW228 UEM228 UFC228 UFS228 UGI228 UGY228 UHO228 UIE228 UIU228 UJK228 UKA228 UKQ228 ULG228 ULW228 UMM228 UNC228 UNS228 UOI228 UOY228 UPO228 UQE228 UQU228 URK228 USA228 USQ228 UTG228 UTW228 UUM228 UVC228 UVS228 UWI228 UWY228 UXO228 UYE228 UYU228 UZK228 VAA228 VAQ228 VBG228 VBW228 VCM228 VDC228 VDS228 VEI228 VEY228 VFO228 VGE228 VGU228 VHK228 VIA228 VIQ228 VJG228 VJW228 VKM228 VLC228 VLS228 VMI228 VMY228 VNO228 VOE228 VOU228 VPK228 VQA228 VQQ228 VRG228 VRW228 VSM228 VTC228 VTS228 VUI228 VUY228 VVO228 VWE228 VWU228 VXK228 VYA228 VYQ228 VZG228 VZW228 WAM228 WBC228 WBS228 WCI228 WCY228 WDO228 WEE228 WEU228 WFK228 WGA228 WGQ228 WHG228 WHW228 WIM228 WJC228 WJS228 WKI228 WKY228 WLO228 WME228 WMU228 WNK228 WOA228 WOQ228 WPG228 WPW228 WQM228 WRC228 WRS228 WSI228 WSY228 WTO228 WUE228 WUU228 WVK228 WWA228 WWQ228 WXG228 WXW228 WYM228 WZC228 WZS228 XAI228 XAY228 XBO228 XCE228 XCU228 XDK228 XEA228 S228 CE228 AI228 AY228" xr:uid="{AFEE3782-714A-4DE9-BE32-02879AB1466D}">
      <formula1>"Water, Sediment, Organism, Combination, Other"</formula1>
    </dataValidation>
  </dataValidations>
  <hyperlinks>
    <hyperlink ref="E894" r:id="rId1" xr:uid="{4BF2DAA6-2785-41B8-80DA-F003C6BA19EC}"/>
    <hyperlink ref="E2" r:id="rId2" xr:uid="{7DBC4C82-DD8E-4640-A5BF-355334A3119A}"/>
    <hyperlink ref="E861" r:id="rId3" xr:uid="{DAE97E76-A150-4221-BEFE-953B1478D752}"/>
    <hyperlink ref="E3" r:id="rId4" xr:uid="{ED74CF7B-FE03-40D6-8067-3E01071BCAAF}"/>
    <hyperlink ref="E4" r:id="rId5" xr:uid="{E58816B6-1C63-4F67-9F70-1470A165CBC7}"/>
    <hyperlink ref="E5" r:id="rId6" xr:uid="{F7CE28F1-46E9-41A3-8681-6BBEDE3DA743}"/>
    <hyperlink ref="E6" r:id="rId7" xr:uid="{B59A54AB-3C26-464F-8140-E38D08087E2C}"/>
    <hyperlink ref="E1183" r:id="rId8" display="https://doi.org/10.1139/FACETS-2019-0042" xr:uid="{15A476CA-AE92-4F87-A42C-CD9BA7A6AA11}"/>
    <hyperlink ref="E1184" r:id="rId9" display="https://doi.org/10.1139/FACETS-2019-0042" xr:uid="{A4224C0C-0D4F-4459-9BAC-9702899485C9}"/>
    <hyperlink ref="E1185" r:id="rId10" display="https://doi.org/10.1139/FACETS-2019-0042" xr:uid="{7D77FC37-2890-41AF-A509-23607FD89ED7}"/>
    <hyperlink ref="E1186" r:id="rId11" display="https://doi.org/10.1139/FACETS-2019-0042" xr:uid="{1A9DD12B-AEC8-44AB-9119-9E6AB8A652E0}"/>
    <hyperlink ref="E1187" r:id="rId12" display="https://doi.org/10.1139/FACETS-2019-0042" xr:uid="{CCE9D5B5-26C3-4D65-BC14-1BC56C0A1DE1}"/>
    <hyperlink ref="E1188" r:id="rId13" display="https://doi.org/10.1139/FACETS-2019-0042" xr:uid="{AA544ED3-77FF-40E8-85B5-B0D13434FFD3}"/>
    <hyperlink ref="E1189" r:id="rId14" display="https://doi.org/10.1139/FACETS-2019-0042" xr:uid="{1CA0C2A0-34C5-4812-81E3-AE61AF611B66}"/>
    <hyperlink ref="E1190" r:id="rId15" display="https://doi.org/10.1139/FACETS-2019-0042" xr:uid="{123D1364-CFA3-407B-A82C-8BAAC6221FF3}"/>
    <hyperlink ref="E1191" r:id="rId16" display="https://doi.org/10.1139/FACETS-2019-0042" xr:uid="{0FCF68F9-2AA6-4371-A204-976D54CAD92B}"/>
    <hyperlink ref="E1192" r:id="rId17" display="https://doi.org/10.1139/FACETS-2019-0042" xr:uid="{81674BEB-029E-4276-A294-8C9DE95C23C1}"/>
    <hyperlink ref="E1193" r:id="rId18" display="https://doi.org/10.1139/FACETS-2019-0042" xr:uid="{7A3AD1EB-5E27-4485-B306-6280161D850F}"/>
    <hyperlink ref="E1194" r:id="rId19" display="https://doi.org/10.1139/FACETS-2019-0042" xr:uid="{D7644B35-B431-4888-B55A-580E30C82652}"/>
    <hyperlink ref="E1195" r:id="rId20" display="https://doi.org/10.1139/FACETS-2019-0042" xr:uid="{15B02917-9418-4E1A-B76D-443436B212BC}"/>
    <hyperlink ref="E1196" r:id="rId21" display="https://doi.org/10.1139/FACETS-2019-0042" xr:uid="{52989AF5-D2AE-4BFB-AD3E-25DD9FE9F7F3}"/>
    <hyperlink ref="E1197" r:id="rId22" display="https://doi.org/10.1139/FACETS-2019-0042" xr:uid="{02EB7B84-3CF1-4B5A-BA16-5534266EABCE}"/>
    <hyperlink ref="E1198" r:id="rId23" display="https://doi.org/10.1139/FACETS-2019-0042" xr:uid="{2D7F5C23-E45D-42B8-AE60-F7B151EC07A6}"/>
    <hyperlink ref="E1199" r:id="rId24" display="https://doi.org/10.1139/FACETS-2019-0042" xr:uid="{13D7CE60-8818-4780-8D8E-B49E4D01AE8D}"/>
    <hyperlink ref="E1200" r:id="rId25" display="https://doi.org/10.1139/FACETS-2019-0042" xr:uid="{F71608B4-AEED-4AF7-A516-1918A7BAA74B}"/>
    <hyperlink ref="E1201" r:id="rId26" display="https://doi.org/10.1139/FACETS-2019-0042" xr:uid="{0E3062B1-60B0-494E-AD35-348A1939AE9E}"/>
    <hyperlink ref="E1202" r:id="rId27" display="https://doi.org/10.1139/FACETS-2019-0042" xr:uid="{BA539625-EF7F-4778-83E0-E175DD6BA57D}"/>
    <hyperlink ref="E1203" r:id="rId28" display="https://doi.org/10.1139/FACETS-2019-0042" xr:uid="{8963BDC6-B26D-41AE-829C-30A60AB57298}"/>
    <hyperlink ref="E1204" r:id="rId29" display="https://doi.org/10.1139/FACETS-2019-0042" xr:uid="{ACBB443B-43BA-4EAD-ACFF-3223F2299B3D}"/>
    <hyperlink ref="E1205" r:id="rId30" display="https://doi.org/10.1139/FACETS-2019-0042" xr:uid="{1AAA7C99-6406-46A2-9673-C00D87676119}"/>
    <hyperlink ref="E1206" r:id="rId31" display="https://doi.org/10.1139/FACETS-2019-0042" xr:uid="{B7920D91-8A1A-4A2C-BAB3-6A798D073EDC}"/>
    <hyperlink ref="E1207" r:id="rId32" display="https://doi.org/10.1139/FACETS-2019-0042" xr:uid="{20F240E8-9F7B-4CD2-A9CB-3A8C89F0FA4D}"/>
    <hyperlink ref="E1208" r:id="rId33" display="https://doi.org/10.1139/FACETS-2019-0042" xr:uid="{654F7B00-7F91-47CD-8318-63775F918BFC}"/>
    <hyperlink ref="E1209" r:id="rId34" display="https://doi.org/10.1139/FACETS-2019-0042" xr:uid="{02B40BCF-2B89-4C72-B4EB-2FBB8FE088AB}"/>
    <hyperlink ref="E1210" r:id="rId35" display="https://doi.org/10.1139/FACETS-2019-0042" xr:uid="{C3D51B0A-B6FD-4BD6-BB51-CFF59EC55BD1}"/>
    <hyperlink ref="E1211" r:id="rId36" display="https://doi.org/10.1139/FACETS-2019-0042" xr:uid="{95F5E65A-607E-4AE9-9536-94672D025EC6}"/>
    <hyperlink ref="E1212" r:id="rId37" display="https://doi.org/10.1139/FACETS-2019-0042" xr:uid="{937F34B9-892A-4FED-B47D-D73AE877910C}"/>
    <hyperlink ref="E1213" r:id="rId38" display="https://doi.org/10.1139/FACETS-2019-0042" xr:uid="{33C98E65-1DDC-4FB2-AC64-0851CFA5FF1D}"/>
    <hyperlink ref="E1214" r:id="rId39" display="https://doi.org/10.1139/FACETS-2019-0042" xr:uid="{5B15BCC4-BF73-4410-A244-3598A90E9128}"/>
    <hyperlink ref="E1215" r:id="rId40" display="https://doi.org/10.1139/FACETS-2019-0042" xr:uid="{CB0B629D-35E5-4666-9CF9-21B571E73270}"/>
    <hyperlink ref="E1216" r:id="rId41" display="https://doi.org/10.1139/FACETS-2019-0042" xr:uid="{FC80DCA3-22D6-4FCC-BF9D-88DEDA276ABE}"/>
    <hyperlink ref="E1217" r:id="rId42" display="https://doi.org/10.1139/FACETS-2019-0042" xr:uid="{BDB2D901-BA18-4E5E-A670-16CBC394A24F}"/>
    <hyperlink ref="E1218" r:id="rId43" display="https://doi.org/10.1139/FACETS-2019-0042" xr:uid="{981F6A45-5224-4175-A48A-431491FCD411}"/>
    <hyperlink ref="E1219" r:id="rId44" display="https://doi.org/10.1139/FACETS-2019-0042" xr:uid="{468F3FEF-A525-4688-91E2-F74864D800B0}"/>
    <hyperlink ref="E1220" r:id="rId45" display="https://doi.org/10.1139/FACETS-2019-0042" xr:uid="{0A9D5294-C51D-49B4-9748-918FE9567E91}"/>
    <hyperlink ref="E1221" r:id="rId46" display="https://doi.org/10.1139/FACETS-2019-0042" xr:uid="{FAA8623F-00C9-40CA-B191-FEF0A4B66ABC}"/>
    <hyperlink ref="E1222" r:id="rId47" display="https://doi.org/10.1139/FACETS-2019-0042" xr:uid="{C74E3DDA-12C7-4F18-A5FD-396ABA82F730}"/>
    <hyperlink ref="E1223" r:id="rId48" display="https://doi.org/10.1139/FACETS-2019-0042" xr:uid="{753F89E1-EC43-4AAF-B57C-8B7FAC2BA44F}"/>
    <hyperlink ref="E1224" r:id="rId49" display="https://doi.org/10.1139/FACETS-2019-0042" xr:uid="{DDF3D03B-DED0-4291-8E54-40D229A68704}"/>
    <hyperlink ref="E1225" r:id="rId50" xr:uid="{F309D1A1-9C62-4236-B643-735EE5C8BB6C}"/>
    <hyperlink ref="E1226" r:id="rId51" xr:uid="{1833953A-C6D8-4AC3-B19A-93B00C5204AA}"/>
    <hyperlink ref="E1227" r:id="rId52" xr:uid="{A8FBA9F9-87E6-4D7D-9BDE-C6B93E8E13FB}"/>
    <hyperlink ref="E1228" r:id="rId53" xr:uid="{BAECE111-8F44-4988-8F66-E006AE1B6B72}"/>
    <hyperlink ref="E1229" r:id="rId54" xr:uid="{80E89932-5F17-4B14-B3F9-6DE6491C3900}"/>
    <hyperlink ref="E1230" r:id="rId55" xr:uid="{83847956-15B4-4930-B568-0CEA9771E649}"/>
    <hyperlink ref="E1231" r:id="rId56" xr:uid="{F9684BD4-141A-4368-834E-0786C5DDA372}"/>
    <hyperlink ref="E1232" r:id="rId57" xr:uid="{FC3AAA05-837F-4A38-9DD3-530090B2D143}"/>
    <hyperlink ref="E1233" r:id="rId58" xr:uid="{C1574370-3730-4C2F-94F6-3EA2AF1880E4}"/>
    <hyperlink ref="E1234" r:id="rId59" xr:uid="{EEA245E7-188F-40C8-BFFD-2AF102EAB6C0}"/>
    <hyperlink ref="E1235" r:id="rId60" xr:uid="{D7BD8D8A-0309-47D5-B341-27B9E91813FC}"/>
    <hyperlink ref="E1236" r:id="rId61" xr:uid="{8005541D-51C0-44C7-91D6-9F605A3232F6}"/>
    <hyperlink ref="E1237" r:id="rId62" xr:uid="{75BCB7EA-368A-49DA-BDB5-51A1E8FDD062}"/>
    <hyperlink ref="E1238" r:id="rId63" xr:uid="{B7D8EF1C-B314-4973-9896-5950D370FD57}"/>
    <hyperlink ref="E1239" r:id="rId64" xr:uid="{A54249C4-DF4A-4D97-B32A-1B4F37AA79F5}"/>
    <hyperlink ref="E1240" r:id="rId65" xr:uid="{C792AE7E-94C9-40CA-BB4C-271153D7AC4F}"/>
    <hyperlink ref="E1241" r:id="rId66" xr:uid="{B1F09E53-3488-4A6A-BAB4-16A626E73CE5}"/>
    <hyperlink ref="E1242" r:id="rId67" xr:uid="{A756C77F-17F8-4B3D-8579-4378FC2E8EFF}"/>
    <hyperlink ref="E1243" r:id="rId68" xr:uid="{F7E9C797-BC7A-43EE-A87F-8A633A339B3D}"/>
    <hyperlink ref="E1244" r:id="rId69" xr:uid="{186A44C3-647E-43B2-B521-20B651CE5F00}"/>
    <hyperlink ref="E1245" r:id="rId70" xr:uid="{1BA1195B-DFBF-4EE4-8771-DCC4EEA9A944}"/>
    <hyperlink ref="E1256" r:id="rId71" xr:uid="{6D8987A9-44ED-4E42-AEA9-BB6CE28A44D3}"/>
    <hyperlink ref="E1257" r:id="rId72" xr:uid="{59D31625-3B5A-4985-9ED9-B75327659430}"/>
    <hyperlink ref="E1258" r:id="rId73" xr:uid="{4E454CC1-B607-4E1C-BADD-92BD6F201028}"/>
    <hyperlink ref="E1259" r:id="rId74" xr:uid="{70AC0D52-69F1-4379-869D-67548E117020}"/>
    <hyperlink ref="E1260" r:id="rId75" xr:uid="{50078B3D-CE9D-41A2-B2CD-1255B34A5BB9}"/>
    <hyperlink ref="E1261" r:id="rId76" xr:uid="{BD5CBC8B-A57B-4C39-8BB5-740B27DE29A7}"/>
    <hyperlink ref="E1262" r:id="rId77" xr:uid="{75C37700-82C5-4786-BEE3-C9613478320D}"/>
    <hyperlink ref="E1263" r:id="rId78" xr:uid="{A0B75FF0-8EAE-4F36-8B4B-3AE4A534073F}"/>
    <hyperlink ref="E1264" r:id="rId79" xr:uid="{52266BEF-AFF6-4074-B772-2782DDDD531D}"/>
    <hyperlink ref="E1265" r:id="rId80" xr:uid="{EA3C16CB-65F4-4CC5-8CDE-86F05E628058}"/>
    <hyperlink ref="E1266" r:id="rId81" xr:uid="{7EBF82CF-9FA7-43D8-B052-C7C1C24AA842}"/>
    <hyperlink ref="E1267" r:id="rId82" xr:uid="{BA154022-67E9-40B9-9C52-F5D8AA3F01CF}"/>
    <hyperlink ref="E51" r:id="rId83" xr:uid="{49486FE8-0EEC-4E15-8AB7-BB9799FBB493}"/>
    <hyperlink ref="E78" r:id="rId84" xr:uid="{41F796B0-8076-4FCE-82D7-67348378DDED}"/>
    <hyperlink ref="E123" r:id="rId85" xr:uid="{2B360A1D-80F8-4F05-9577-0ACA93DDE7C6}"/>
    <hyperlink ref="E399" r:id="rId86" xr:uid="{A5F943D5-06D6-4E10-92A1-0DBBB0D62538}"/>
    <hyperlink ref="E998" r:id="rId87" xr:uid="{E6BD18A7-5D20-475B-ACA6-EB90AE6C5719}"/>
    <hyperlink ref="E124" r:id="rId88" xr:uid="{002B01C2-1533-4E53-96AD-60A7EEA32A42}"/>
    <hyperlink ref="E125" r:id="rId89" xr:uid="{62862CEE-64D0-4871-9982-60FC8E36668B}"/>
    <hyperlink ref="E126" r:id="rId90" xr:uid="{77FEA49C-A3A8-4FCD-98FD-FEBC95E84D60}"/>
    <hyperlink ref="E127" r:id="rId91" xr:uid="{B180D52B-6234-47F1-B466-A9CF119CD164}"/>
    <hyperlink ref="E128" r:id="rId92" xr:uid="{AEE734BE-62BE-40F0-AC5D-4710C20855AD}"/>
    <hyperlink ref="E129" r:id="rId93" xr:uid="{59757E58-128D-4999-90B8-F0B1C65F1553}"/>
    <hyperlink ref="E130" r:id="rId94" xr:uid="{5663A633-6140-4EC4-A49B-956A0EF35598}"/>
    <hyperlink ref="E131" r:id="rId95" xr:uid="{3348AE23-6C1F-4B12-80E0-0C400216783B}"/>
    <hyperlink ref="E132" r:id="rId96" xr:uid="{632DA1A9-63DB-4D0E-B4BD-CDB6D80AEEE9}"/>
    <hyperlink ref="E133" r:id="rId97" xr:uid="{835E9C4C-24B4-491A-97B6-2B0DC5B45A0B}"/>
    <hyperlink ref="E134" r:id="rId98" xr:uid="{E7F5376B-A4D7-4E3C-ACFD-C6EA94C8036C}"/>
    <hyperlink ref="E135" r:id="rId99" xr:uid="{CA7169D9-10FD-4ED2-AE5B-E479D027B623}"/>
    <hyperlink ref="E136" r:id="rId100" xr:uid="{71C1A86A-4164-419F-BA5E-8381CE859F7D}"/>
    <hyperlink ref="E137" r:id="rId101" xr:uid="{FF02C039-9D89-4F63-AE29-12C2244B8E88}"/>
    <hyperlink ref="E138" r:id="rId102" xr:uid="{02132414-A697-4C97-88C6-DA50A8AFFCBD}"/>
    <hyperlink ref="E139" r:id="rId103" xr:uid="{38A0FBC7-1A91-42D0-B4F6-0DE588D29A30}"/>
    <hyperlink ref="E140" r:id="rId104" xr:uid="{AE29FE97-719A-4D13-9CCC-CAF2D401A011}"/>
    <hyperlink ref="E141" r:id="rId105" xr:uid="{5646AE38-8795-43DA-895B-7B573F85F2AB}"/>
    <hyperlink ref="E142" r:id="rId106" xr:uid="{EF772B8A-32B2-4373-972C-E7093BF7546C}"/>
    <hyperlink ref="E143" r:id="rId107" xr:uid="{0B0F55FE-1C4A-4937-B636-C72E48F0715D}"/>
    <hyperlink ref="E144" r:id="rId108" xr:uid="{DCECB255-7FBD-4678-A4AC-6506D91DBD03}"/>
    <hyperlink ref="E145" r:id="rId109" xr:uid="{C040CF26-10B1-4BCD-BC76-6FF3FE93B0B9}"/>
    <hyperlink ref="E146" r:id="rId110" xr:uid="{00F2E357-F638-4982-BCA8-69599D27D0F6}"/>
    <hyperlink ref="E147" r:id="rId111" xr:uid="{E956762B-B8C6-46FE-BD37-D2E4EC757E06}"/>
    <hyperlink ref="E148" r:id="rId112" xr:uid="{4C3AB139-B87E-46FC-B89E-E67673984C2D}"/>
    <hyperlink ref="E149" r:id="rId113" xr:uid="{A6E69D5D-7D32-4463-843D-0A52A99559D6}"/>
    <hyperlink ref="E150" r:id="rId114" xr:uid="{26016E10-4479-47E4-B106-BF4D6F94A24D}"/>
    <hyperlink ref="E151" r:id="rId115" xr:uid="{5593C3F6-9746-4596-8479-66BD7DB10258}"/>
    <hyperlink ref="E152" r:id="rId116" xr:uid="{AFAAB537-261A-4F6B-BE16-8EB47C3D2654}"/>
    <hyperlink ref="E153" r:id="rId117" xr:uid="{2A144095-3D17-44EE-87CB-433B24210C48}"/>
    <hyperlink ref="E154" r:id="rId118" xr:uid="{551314A2-9628-44D0-A7BC-92C730B3F377}"/>
    <hyperlink ref="E155" r:id="rId119" xr:uid="{455DE3A6-3DAB-4BD8-B09D-92ECCC8EBE98}"/>
    <hyperlink ref="E156" r:id="rId120" xr:uid="{E4C7E67D-E905-456F-861E-C6DA9FC2D8EA}"/>
    <hyperlink ref="E157" r:id="rId121" xr:uid="{FFDC0420-1AF7-40A6-8003-2F9AAA128C6D}"/>
    <hyperlink ref="E158" r:id="rId122" xr:uid="{74199D47-66B5-4C6D-8038-5E1950057E05}"/>
    <hyperlink ref="E159" r:id="rId123" xr:uid="{446AE02F-81C3-450C-81CD-95F5076A2415}"/>
    <hyperlink ref="E160" r:id="rId124" xr:uid="{E7AFC39F-6D9C-453D-94EC-6F8BA2E8486E}"/>
    <hyperlink ref="E161" r:id="rId125" xr:uid="{2A1D9245-3BF2-44A0-8B13-9C93D4DF0CED}"/>
    <hyperlink ref="E162" r:id="rId126" xr:uid="{FA117A2A-F0D4-4207-825B-617859680542}"/>
    <hyperlink ref="E163" r:id="rId127" xr:uid="{2933FF7C-2793-4D74-9511-FCE60C627E7F}"/>
    <hyperlink ref="E164" r:id="rId128" xr:uid="{F9A9E46E-0E25-4EF2-A317-8EFBBF65017D}"/>
    <hyperlink ref="E165" r:id="rId129" xr:uid="{8ADC69D0-9925-4616-8B41-879CA45D56C2}"/>
    <hyperlink ref="E166" r:id="rId130" xr:uid="{A8BEEF1D-FE60-437D-93C1-F1F4DCFA9B88}"/>
    <hyperlink ref="E167" r:id="rId131" xr:uid="{07504AC0-6CAC-4BE3-8BAE-5EEA6EA5126D}"/>
    <hyperlink ref="E168" r:id="rId132" xr:uid="{B7E3A7CA-E7A0-4E7F-BC33-DD27D783CFA6}"/>
    <hyperlink ref="E169" r:id="rId133" xr:uid="{1A077660-62E2-49B6-8B62-8768E76830FA}"/>
    <hyperlink ref="E170" r:id="rId134" xr:uid="{79C25784-8E52-4D43-8907-B19E74D1D1B3}"/>
    <hyperlink ref="E171" r:id="rId135" xr:uid="{F6962C55-4FFB-42F2-A150-029358762696}"/>
    <hyperlink ref="E172" r:id="rId136" xr:uid="{006CD819-F347-427C-9EC6-4E2B90EF3934}"/>
    <hyperlink ref="E173" r:id="rId137" xr:uid="{A48574FD-B25A-4064-BC8C-078022A3BC0F}"/>
    <hyperlink ref="E174" r:id="rId138" xr:uid="{AF579FDC-DEB1-4B25-8785-679C13C2D5B4}"/>
    <hyperlink ref="E175" r:id="rId139" xr:uid="{0B9B52E8-1CFF-4E2A-AB33-CA0561B4A3E4}"/>
    <hyperlink ref="E176" r:id="rId140" xr:uid="{0DAE7CB7-514D-44ED-AA4B-6A4467470078}"/>
    <hyperlink ref="E177" r:id="rId141" xr:uid="{1BB6A879-9FF7-4C3E-92E1-7B24168C72C4}"/>
    <hyperlink ref="E178" r:id="rId142" xr:uid="{2E6D0190-E2B1-4692-859F-99A846B1C45E}"/>
    <hyperlink ref="E179" r:id="rId143" xr:uid="{6A894072-13FD-45B3-B183-06D4FA9AA132}"/>
    <hyperlink ref="E180" r:id="rId144" xr:uid="{53F965AF-48A2-4AF7-8BA7-D32D43A0BB57}"/>
    <hyperlink ref="E181" r:id="rId145" xr:uid="{FA08AB94-1D01-40F7-9121-1C54A0912CE4}"/>
    <hyperlink ref="E182" r:id="rId146" xr:uid="{324E77F5-3804-44AC-B688-5D66F8DBA080}"/>
    <hyperlink ref="E183" r:id="rId147" xr:uid="{D3526ED8-A484-4DAE-B0CB-009667BF39DD}"/>
    <hyperlink ref="E184" r:id="rId148" xr:uid="{3964810F-2749-4DE3-BCEF-45D455BA3BFB}"/>
    <hyperlink ref="E185" r:id="rId149" xr:uid="{EBB3C4BF-8B4D-4A49-A291-B2EA3708C988}"/>
    <hyperlink ref="E186" r:id="rId150" xr:uid="{EA877B10-0CBC-46BF-A7B1-E037F74DC42B}"/>
    <hyperlink ref="E187" r:id="rId151" xr:uid="{C6265FA1-FC71-4820-87C1-937891492174}"/>
    <hyperlink ref="E188" r:id="rId152" xr:uid="{4E0FA9E4-0C20-43BA-8A88-3D7F4F31A7CA}"/>
    <hyperlink ref="E400" r:id="rId153" xr:uid="{EC7B3335-1244-48F1-B119-28E5409FCE3A}"/>
    <hyperlink ref="E401" r:id="rId154" xr:uid="{7502F6DA-8A24-46B8-938F-67015961ADA7}"/>
    <hyperlink ref="E402" r:id="rId155" xr:uid="{E540C142-CFAF-4C93-AC40-F79CE82643BD}"/>
    <hyperlink ref="E403" r:id="rId156" xr:uid="{53404901-33A4-412C-B5AE-B29805E3A654}"/>
    <hyperlink ref="E404" r:id="rId157" xr:uid="{BC851E8D-530C-4FD2-A659-849C56AE6CE0}"/>
    <hyperlink ref="E405" r:id="rId158" xr:uid="{DB16A267-F2F3-4F65-9662-4C4D0F2D6744}"/>
    <hyperlink ref="E406" r:id="rId159" xr:uid="{3F56A17E-6E43-4440-95C5-3502A56C6C33}"/>
    <hyperlink ref="E407" r:id="rId160" xr:uid="{9F4D6758-D24D-4DC8-B753-BA8194C4D077}"/>
    <hyperlink ref="E408" r:id="rId161" xr:uid="{8BE18947-89E6-4501-BCCC-832562E2911E}"/>
    <hyperlink ref="E409" r:id="rId162" xr:uid="{96CD79C9-B755-4601-8E14-B40E56352133}"/>
    <hyperlink ref="E410" r:id="rId163" xr:uid="{0C253E7B-F72D-432C-9642-B09927A91719}"/>
    <hyperlink ref="E411" r:id="rId164" xr:uid="{692A8140-C27D-495F-81BA-59A8D62BE6DA}"/>
    <hyperlink ref="E412" r:id="rId165" xr:uid="{E34370AB-4788-4185-810D-20104FE6F556}"/>
    <hyperlink ref="E413" r:id="rId166" xr:uid="{30B23664-A5C9-46F2-9B59-0D07F81458C4}"/>
    <hyperlink ref="E414" r:id="rId167" xr:uid="{880B9FC2-D118-4244-B0EB-F996EFF755B2}"/>
    <hyperlink ref="E423" r:id="rId168" xr:uid="{D6CD619E-73DB-4C5E-AE47-F3C1675E66E6}"/>
    <hyperlink ref="E424" r:id="rId169" xr:uid="{AF87AF0C-29E0-4F5A-A642-98860D140A14}"/>
    <hyperlink ref="E425" r:id="rId170" xr:uid="{4BE1406A-9BD9-4996-9753-D46D2BE41824}"/>
    <hyperlink ref="E426" r:id="rId171" xr:uid="{BB5D11F0-1F38-4F3D-89CD-89299E5F09B1}"/>
    <hyperlink ref="E427" r:id="rId172" xr:uid="{1E475CD4-2336-4BB3-AB56-D33E21D9A3E8}"/>
    <hyperlink ref="E428" r:id="rId173" xr:uid="{972DA2C0-56DF-4CB2-A175-3D4F28899EAC}"/>
    <hyperlink ref="E429" r:id="rId174" xr:uid="{73D88B95-FB47-428B-9BF1-2CB1E0D36C65}"/>
    <hyperlink ref="E430" r:id="rId175" xr:uid="{5D367846-414A-4457-9D36-FAA2C156296E}"/>
    <hyperlink ref="E431" r:id="rId176" xr:uid="{B5CE59B3-19E9-4F31-9086-7A8B6BD724CF}"/>
    <hyperlink ref="E432" r:id="rId177" xr:uid="{A5DB45AB-C492-4223-91DD-C48352ED035E}"/>
    <hyperlink ref="E433" r:id="rId178" xr:uid="{DB83AFE5-0862-4CD0-89AB-BE46F54BF0BD}"/>
    <hyperlink ref="E434" r:id="rId179" xr:uid="{21C77C43-CC5D-4632-BAD5-7BE099C241F7}"/>
    <hyperlink ref="E435" r:id="rId180" xr:uid="{F38F1EC3-6246-4ABF-84B9-32E13A26E5F4}"/>
    <hyperlink ref="E436" r:id="rId181" xr:uid="{AEA200DF-DD49-4C4D-BC1E-BED5BD8FFC43}"/>
    <hyperlink ref="E437" r:id="rId182" xr:uid="{559F5272-2104-40C5-B69D-6C0F881A5FB6}"/>
    <hyperlink ref="E438" r:id="rId183" xr:uid="{D9AA8C2E-94B5-41CA-AEBB-C7013FD6071C}"/>
    <hyperlink ref="E415" r:id="rId184" xr:uid="{2227C6F5-536A-4AAE-983C-722965BFFA9A}"/>
    <hyperlink ref="E416" r:id="rId185" xr:uid="{0111C316-C6F8-46A1-A139-0738AFCFAA9A}"/>
    <hyperlink ref="E417" r:id="rId186" xr:uid="{549E61D6-54D3-410C-B0C0-7578C046E1B3}"/>
    <hyperlink ref="E418" r:id="rId187" xr:uid="{8AE6C7E3-A95C-41FE-967A-ACDF27843E51}"/>
    <hyperlink ref="E419" r:id="rId188" xr:uid="{3B903EDD-4A8D-40F8-8C25-C6BD2ABD77CA}"/>
    <hyperlink ref="E420" r:id="rId189" xr:uid="{403BEAE1-92C0-48C0-8FCB-15D4CA6C69EA}"/>
    <hyperlink ref="E421" r:id="rId190" xr:uid="{1E599D3D-D033-443C-912C-2E3393BBD8A4}"/>
    <hyperlink ref="E422" r:id="rId191" xr:uid="{3CB45EBE-7FFE-4EE2-A343-BBC523F3B984}"/>
    <hyperlink ref="E439" r:id="rId192" xr:uid="{2C17D8E7-B0EE-4926-BC30-FA7B5AF4E740}"/>
    <hyperlink ref="E440" r:id="rId193" xr:uid="{0D447F0C-32AB-4CF8-8951-4955749B75C5}"/>
    <hyperlink ref="E441" r:id="rId194" xr:uid="{66D7EBC8-4C72-44F2-8206-FCD63B9E621D}"/>
    <hyperlink ref="E442" r:id="rId195" xr:uid="{67AB5F00-5D60-444B-8735-CEBF8F205B87}"/>
    <hyperlink ref="E443" r:id="rId196" xr:uid="{9116EEEA-1C2F-48C9-B537-0DB45C139430}"/>
    <hyperlink ref="E444" r:id="rId197" xr:uid="{1434ACA2-1A72-4171-BEEA-1D2B53BFDF1D}"/>
    <hyperlink ref="E445" r:id="rId198" xr:uid="{4C94EA33-6E4B-4C00-8D11-1947BAABDE7D}"/>
    <hyperlink ref="E446" r:id="rId199" xr:uid="{56999D40-CBCE-4836-A662-6D7CE9D0E64E}"/>
    <hyperlink ref="E79" r:id="rId200" xr:uid="{85002907-546E-4C7F-8179-D441C613B920}"/>
    <hyperlink ref="E80" r:id="rId201" xr:uid="{F5B19BF6-C902-4803-A3A4-DE1E820B64CC}"/>
    <hyperlink ref="E81" r:id="rId202" xr:uid="{8ED21ADA-2B73-4BBF-8798-72D1802A5190}"/>
    <hyperlink ref="E82" r:id="rId203" xr:uid="{0C531D9F-3BC5-44CE-978F-D4B17BB6DE21}"/>
    <hyperlink ref="E83" r:id="rId204" xr:uid="{CA78AE0C-6183-455F-AB56-5A308833B84B}"/>
    <hyperlink ref="E84" r:id="rId205" xr:uid="{3AC54496-D083-45C1-B2CC-D7EAD831FFA1}"/>
    <hyperlink ref="E85" r:id="rId206" xr:uid="{72E5C10F-E907-4886-AFB2-2BB0C54D6F29}"/>
    <hyperlink ref="E86" r:id="rId207" xr:uid="{C30804F8-2C94-4707-A422-D71DBC65A57E}"/>
    <hyperlink ref="E999" r:id="rId208" xr:uid="{85DF21C5-77AE-4B09-B78F-FC843D8D315B}"/>
    <hyperlink ref="E855" r:id="rId209" xr:uid="{D53C2DFC-4DB2-46E2-8004-120F644E1E28}"/>
    <hyperlink ref="E52" r:id="rId210" xr:uid="{944DABAF-7140-4DF5-9977-A7B2BE72DB1A}"/>
    <hyperlink ref="E53" r:id="rId211" xr:uid="{30EAD8AD-2567-4EEF-81CC-FBE4A52F0BBF}"/>
    <hyperlink ref="E54" r:id="rId212" xr:uid="{5D813FA2-B1FE-4BA1-9245-C2D47D1D2965}"/>
    <hyperlink ref="E55" r:id="rId213" xr:uid="{0DAA33CA-B9A7-4626-8F14-803BBB47E36E}"/>
    <hyperlink ref="E56" r:id="rId214" xr:uid="{B3889C97-611F-4EE1-A2C2-4464808A8292}"/>
    <hyperlink ref="E57" r:id="rId215" xr:uid="{88B67659-B5C5-4A7C-BD57-41FB9A25AC0B}"/>
    <hyperlink ref="E324" r:id="rId216" xr:uid="{4459DBDE-6B54-47F4-9512-AF23828550D5}"/>
    <hyperlink ref="E543" r:id="rId217" xr:uid="{6B4176A9-E521-43C3-94ED-8F37A361D1D9}"/>
    <hyperlink ref="E652" r:id="rId218" xr:uid="{DC19773A-D6A5-4A97-B361-C46C047A8E2F}"/>
    <hyperlink ref="E325" r:id="rId219" xr:uid="{848E85ED-2180-4C0D-9822-7CA3ECC05275}"/>
    <hyperlink ref="E326" r:id="rId220" xr:uid="{B6249B92-EBAD-4251-9C6C-B4BAFABE9DE6}"/>
    <hyperlink ref="E327" r:id="rId221" xr:uid="{48E1FEFF-103F-49EA-ABA0-9C6C31DFAC3A}"/>
    <hyperlink ref="E328" r:id="rId222" xr:uid="{ADA86F26-9E2B-47E4-BA13-B216E07B4641}"/>
    <hyperlink ref="E329" r:id="rId223" xr:uid="{7B992F3E-02FB-4426-927C-51F19CCE9D81}"/>
    <hyperlink ref="E330" r:id="rId224" xr:uid="{499117CF-28A2-4210-AE4A-7A70BC74A722}"/>
    <hyperlink ref="E331" r:id="rId225" xr:uid="{9B3CF8A1-1F9E-4B03-95FB-BBE63B71D34A}"/>
    <hyperlink ref="E333" r:id="rId226" xr:uid="{9F3323DB-26DF-42D2-8E8F-05A3E1C82068}"/>
    <hyperlink ref="E332" r:id="rId227" xr:uid="{D913ED4A-DF5E-4E75-BA8C-9D109DA92FF7}"/>
    <hyperlink ref="E334" r:id="rId228" xr:uid="{F28A8812-76D2-4CEC-B1F7-3DDC97808207}"/>
    <hyperlink ref="E335" r:id="rId229" xr:uid="{C412D8EA-EBEA-4E62-91D5-624AA66C1043}"/>
    <hyperlink ref="E336" r:id="rId230" xr:uid="{DAF2D379-EA96-439B-9353-FD20646DEC02}"/>
    <hyperlink ref="E337" r:id="rId231" xr:uid="{2E630E56-64B4-4320-B4E6-4EC29AF5A5C4}"/>
    <hyperlink ref="E338" r:id="rId232" xr:uid="{0FA643D4-E5D6-4E70-BF49-969828E66C15}"/>
    <hyperlink ref="E339" r:id="rId233" xr:uid="{797B4887-DD51-4F9C-B3A3-7A3B0097A346}"/>
    <hyperlink ref="E340" r:id="rId234" xr:uid="{43A8C353-9F21-469F-BE99-B91CA2758F7F}"/>
    <hyperlink ref="E341" r:id="rId235" xr:uid="{A1F80433-49A0-408A-8166-B4DEB7D7A689}"/>
    <hyperlink ref="E342" r:id="rId236" xr:uid="{A27A0BA2-76FB-4F18-8D43-C681636585B6}"/>
    <hyperlink ref="E343" r:id="rId237" xr:uid="{BAF7754C-1F74-40AF-9AEA-BECBFB8381DE}"/>
    <hyperlink ref="E344" r:id="rId238" xr:uid="{79B83CED-4AC5-4961-88B3-1DF91B474FFD}"/>
    <hyperlink ref="E345" r:id="rId239" xr:uid="{57B856BE-E8E8-41D2-9947-DC329875B7C2}"/>
    <hyperlink ref="E346" r:id="rId240" xr:uid="{73AD7318-7F0C-48A9-82B6-E7CB82A9059D}"/>
    <hyperlink ref="E347" r:id="rId241" xr:uid="{2704F20B-7DB6-49B1-A643-745684960377}"/>
    <hyperlink ref="E348" r:id="rId242" xr:uid="{E29CB14C-AB03-4641-9A36-B5C9ECFEFE6D}"/>
    <hyperlink ref="E349" r:id="rId243" xr:uid="{E01259D0-1B27-423D-AABA-93C9255F8947}"/>
    <hyperlink ref="E350" r:id="rId244" xr:uid="{1F7ADF5D-EF0A-4959-A9D9-941BDE5D7EAE}"/>
    <hyperlink ref="E351" r:id="rId245" xr:uid="{A8B0D8F2-E988-4D88-8696-B0124FB60DC0}"/>
    <hyperlink ref="E352" r:id="rId246" xr:uid="{AEEE8594-49D7-4C09-A5E2-C959CA2A4A44}"/>
    <hyperlink ref="E353" r:id="rId247" xr:uid="{A36E682C-2E9C-4F9F-82A7-63ECECC8F223}"/>
    <hyperlink ref="E354" r:id="rId248" xr:uid="{4AE1143F-A3AA-46B5-946E-20E977DAAE3F}"/>
    <hyperlink ref="E355" r:id="rId249" xr:uid="{30802870-4EE4-47BA-A74E-79FA7DDD938B}"/>
    <hyperlink ref="E356" r:id="rId250" xr:uid="{A0C4E778-9334-4813-AFF2-33C16AE54BF7}"/>
    <hyperlink ref="E357" r:id="rId251" xr:uid="{BD970D3B-DF2D-481E-85BF-892CCC36456A}"/>
    <hyperlink ref="E358" r:id="rId252" xr:uid="{931920FD-288D-4FBC-89DE-ADD6DC1D6F9D}"/>
    <hyperlink ref="E359" r:id="rId253" xr:uid="{80CDD37D-AC27-4274-A485-D6E2356BF09A}"/>
    <hyperlink ref="E360" r:id="rId254" xr:uid="{5949021D-2986-4C51-AE4F-D1670353EB0B}"/>
    <hyperlink ref="E361" r:id="rId255" xr:uid="{3FA4F959-82FA-47D2-B6BE-C7DEC015FAE8}"/>
    <hyperlink ref="E362" r:id="rId256" xr:uid="{0950708E-2BE2-4B95-8BA3-59475D11E0D1}"/>
    <hyperlink ref="E363" r:id="rId257" xr:uid="{99C3DEFE-D8FD-49E5-B4FF-B7B7FC35AC0D}"/>
    <hyperlink ref="E364" r:id="rId258" xr:uid="{7E5B6A1D-ADDC-4FA6-ACC7-012E8432E57E}"/>
    <hyperlink ref="E365" r:id="rId259" xr:uid="{8013EACE-E3E1-46EA-AA76-2E0DEA61A730}"/>
    <hyperlink ref="E366" r:id="rId260" xr:uid="{62704BCC-46E6-4986-B180-F49B1C5C2280}"/>
    <hyperlink ref="E367" r:id="rId261" xr:uid="{5867D1B7-DF3D-417B-956E-860949899A01}"/>
    <hyperlink ref="E368" r:id="rId262" xr:uid="{8E765FC1-8C0F-4ECB-B037-5300A58D280E}"/>
    <hyperlink ref="E369" r:id="rId263" xr:uid="{D43D200F-7110-4B79-8D88-F4F9D5769036}"/>
    <hyperlink ref="E370" r:id="rId264" xr:uid="{4DBE405C-63BC-4EBB-BBA0-4B8B733D09DE}"/>
    <hyperlink ref="E371" r:id="rId265" xr:uid="{D29784EF-2FFE-4B45-882D-F95CE91B0F8C}"/>
    <hyperlink ref="E372" r:id="rId266" xr:uid="{08D8F509-A41C-419D-BEA8-850F165AB3F4}"/>
    <hyperlink ref="E373" r:id="rId267" xr:uid="{6C42D6A5-1DF2-4B28-B96F-37D46CEBC80C}"/>
    <hyperlink ref="E374" r:id="rId268" xr:uid="{38BE58E4-96A8-4B60-BAEA-9DE83CBD2476}"/>
    <hyperlink ref="E375" r:id="rId269" xr:uid="{F94B48F0-2D7D-4529-AA71-30F76032B445}"/>
    <hyperlink ref="E376" r:id="rId270" xr:uid="{DF31C91E-83A4-4793-B7E4-1C11EEB0FD4C}"/>
    <hyperlink ref="E377" r:id="rId271" xr:uid="{B133B9D9-8500-452E-9C02-A91D3742F9CD}"/>
    <hyperlink ref="E378" r:id="rId272" xr:uid="{75D54CB7-FE1E-40FF-8484-247A59DB7CAE}"/>
    <hyperlink ref="E379" r:id="rId273" xr:uid="{62689CA7-5820-4AA4-93F1-5C44B466E0DC}"/>
    <hyperlink ref="E380" r:id="rId274" xr:uid="{3A70674A-92C6-4959-A4C8-ACA286F3179B}"/>
    <hyperlink ref="E381" r:id="rId275" xr:uid="{233F90DA-63A3-4AFB-9FBB-8DC231022632}"/>
    <hyperlink ref="E382" r:id="rId276" xr:uid="{FE84FFF3-9B28-4D05-AED7-509F183E7840}"/>
    <hyperlink ref="E383" r:id="rId277" xr:uid="{3EB1CF6E-D4EA-4CA6-B3EF-274E359FB7A8}"/>
    <hyperlink ref="E384" r:id="rId278" xr:uid="{2AF42E13-77DB-4C91-92E3-72509584127C}"/>
    <hyperlink ref="E544" r:id="rId279" xr:uid="{2B897EE2-67D3-42A5-BD13-3EE9562027BC}"/>
    <hyperlink ref="E545" r:id="rId280" xr:uid="{23B0FF2A-B6D7-421E-8835-499F6EF14469}"/>
    <hyperlink ref="E547" r:id="rId281" xr:uid="{82C26EDD-88A5-482D-9FEE-25BC7D307073}"/>
    <hyperlink ref="E549" r:id="rId282" xr:uid="{603E4024-3090-404F-8686-E6FD930B76CA}"/>
    <hyperlink ref="E551" r:id="rId283" xr:uid="{18B5B46A-931E-4D65-8B27-59BE7624220F}"/>
    <hyperlink ref="E553" r:id="rId284" xr:uid="{EB6B64D8-4C85-4D04-B924-4EC4C56056C6}"/>
    <hyperlink ref="E555" r:id="rId285" xr:uid="{E1313E68-5404-4AE7-9B2A-24ECCCCF6DE8}"/>
    <hyperlink ref="E546" r:id="rId286" xr:uid="{E55112FB-D34F-43A2-8C17-C02B8D6C6289}"/>
    <hyperlink ref="E548" r:id="rId287" xr:uid="{99334FDD-CD9E-4977-B7B7-EEC571CEB5B4}"/>
    <hyperlink ref="E550" r:id="rId288" xr:uid="{21D6A912-D025-485C-B20D-5230E5B1E514}"/>
    <hyperlink ref="E552" r:id="rId289" xr:uid="{8A9AA8D0-D5E8-432B-9180-FBA24F51DA49}"/>
    <hyperlink ref="E554" r:id="rId290" xr:uid="{C1A820D5-1F45-44B7-80AC-80B057B4AFFC}"/>
    <hyperlink ref="E556" r:id="rId291" xr:uid="{21328E6F-1F4D-4344-B296-0F13E94CC573}"/>
    <hyperlink ref="E557" r:id="rId292" xr:uid="{DDC94DC6-7DA3-4DA2-ADED-6D579E88758F}"/>
    <hyperlink ref="E558" r:id="rId293" xr:uid="{E7FC0B1A-3063-4C96-B085-E0421F2709B3}"/>
    <hyperlink ref="E559" r:id="rId294" xr:uid="{4B61BADC-3138-492E-9CF2-40D59EB619CE}"/>
    <hyperlink ref="E560" r:id="rId295" xr:uid="{A296887C-9B0B-493A-A5A6-A065B9830683}"/>
    <hyperlink ref="E561" r:id="rId296" xr:uid="{0718B604-15E9-4D6B-9E8F-C507A5A78FC6}"/>
    <hyperlink ref="E562" r:id="rId297" xr:uid="{DECC0B53-142B-4CC6-998F-91E6E8F37CA4}"/>
    <hyperlink ref="E563" r:id="rId298" xr:uid="{7A866D74-2699-47BB-9F94-E938A5BCBFB7}"/>
    <hyperlink ref="E564" r:id="rId299" xr:uid="{9DFFAD02-DD09-49CB-B78C-772206251D3D}"/>
    <hyperlink ref="E565" r:id="rId300" xr:uid="{794DCE51-1586-442B-B7D5-0C6881F3284C}"/>
    <hyperlink ref="E665" r:id="rId301" xr:uid="{C1E7D496-D6E9-4EB7-A5CF-409834510A73}"/>
    <hyperlink ref="E666" r:id="rId302" xr:uid="{2C3611B6-9192-44EB-9050-DBB3E746539E}"/>
    <hyperlink ref="E87" r:id="rId303" xr:uid="{48A5EDE8-DC2F-4A10-861F-3D448B0ABD9C}"/>
    <hyperlink ref="E88" r:id="rId304" xr:uid="{57182907-6280-4B30-8FB0-C4F75CE03C5F}"/>
    <hyperlink ref="E89" r:id="rId305" xr:uid="{2EEDA33D-5C57-4EA2-9D10-410C724097FB}"/>
    <hyperlink ref="E90" r:id="rId306" xr:uid="{83BD6021-19ED-4230-A6D2-6B87EC6D8BC3}"/>
    <hyperlink ref="E91" r:id="rId307" xr:uid="{C110393A-F681-47D1-BE6A-F74D7F42844F}"/>
    <hyperlink ref="E604" r:id="rId308" xr:uid="{3669D99D-AD0B-40DA-9EEB-ED00526062A9}"/>
    <hyperlink ref="E605" r:id="rId309" xr:uid="{B9A427DD-8F3D-4EE5-96C7-9AFFBBBE2433}"/>
    <hyperlink ref="E606" r:id="rId310" xr:uid="{C7332D6B-14AB-4423-A750-06CEF5E4D61C}"/>
    <hyperlink ref="E607" r:id="rId311" xr:uid="{93AF3863-14E9-46AD-A90F-77D10A102E5F}"/>
    <hyperlink ref="E608" r:id="rId312" xr:uid="{2D53B95F-2CEC-48DE-B1D4-3A4D0F8819D4}"/>
    <hyperlink ref="E609" r:id="rId313" xr:uid="{5326F289-5379-4C9E-AB47-9D673CFF85CC}"/>
    <hyperlink ref="E610" r:id="rId314" xr:uid="{0F6F89AB-63D2-4AA5-8448-3B61E6C5ADE7}"/>
    <hyperlink ref="E611" r:id="rId315" xr:uid="{941C5BFF-54DA-4015-935D-158C73CABE89}"/>
    <hyperlink ref="E612" r:id="rId316" xr:uid="{06263102-01F9-4DEA-BB9E-9EC7F6133F27}"/>
    <hyperlink ref="E613" r:id="rId317" xr:uid="{56EF1145-DC06-4D23-9774-C43B0C5503EC}"/>
    <hyperlink ref="E614" r:id="rId318" xr:uid="{E218ED88-B72E-4E7F-969D-F05EC793CE4E}"/>
    <hyperlink ref="E615" r:id="rId319" xr:uid="{B4D98A89-7AF0-4EEB-B6F2-EBC2F0DF86C7}"/>
    <hyperlink ref="E616" r:id="rId320" xr:uid="{7D202670-6187-4E7C-8C02-14F1F25591AA}"/>
    <hyperlink ref="E617" r:id="rId321" xr:uid="{DB817CD0-89D5-4059-90CF-B5FCAEA19C41}"/>
    <hyperlink ref="E618" r:id="rId322" xr:uid="{79772A4D-F378-4108-BA8B-5D2E47DC87C9}"/>
    <hyperlink ref="E619" r:id="rId323" xr:uid="{CACF8137-23C4-4032-A2FF-3E04568B5A37}"/>
    <hyperlink ref="E620" r:id="rId324" xr:uid="{02BDBE83-A21A-4AAB-826D-8D8EA82BA80D}"/>
    <hyperlink ref="E621" r:id="rId325" xr:uid="{2B731A6E-9915-4C7B-9AA7-774D658A697E}"/>
    <hyperlink ref="E622" r:id="rId326" xr:uid="{1E3790A1-EBCF-4DAD-8A99-2DBC70DA3E9A}"/>
    <hyperlink ref="E623" r:id="rId327" xr:uid="{9F90664A-DDBF-4B1E-B585-3EB2A8E220B9}"/>
    <hyperlink ref="E624" r:id="rId328" xr:uid="{B78F7C31-E877-4580-99E1-7747DF9E0008}"/>
    <hyperlink ref="E625" r:id="rId329" xr:uid="{FD4C6718-475F-4ABD-B599-95F07D829106}"/>
    <hyperlink ref="E626" r:id="rId330" xr:uid="{09A9819A-1C84-4E95-9545-082A8A0267F3}"/>
    <hyperlink ref="E627" r:id="rId331" xr:uid="{6197BA77-C1E4-4FA7-9BEA-20E8B13E4258}"/>
    <hyperlink ref="E1070" r:id="rId332" xr:uid="{B6355073-AA0C-4A78-912D-108CB23132CF}"/>
    <hyperlink ref="E1071" r:id="rId333" xr:uid="{7D0BE143-107E-4AC5-80BE-208DB4994F37}"/>
    <hyperlink ref="E1072" r:id="rId334" xr:uid="{0CD51E77-8FF7-425A-AEF9-6EA21DF12BD7}"/>
    <hyperlink ref="E1073" r:id="rId335" xr:uid="{3540AC9B-F0A6-40E2-A798-81DCC8BAEAA3}"/>
    <hyperlink ref="E1074" r:id="rId336" xr:uid="{4A8748F6-1D08-44A4-9611-CFA170493334}"/>
    <hyperlink ref="E1075" r:id="rId337" xr:uid="{2041CA9C-90C4-4F28-8D9F-1B447CA2B33F}"/>
    <hyperlink ref="E1076" r:id="rId338" xr:uid="{417CC61F-19A5-4715-8A77-256A8E4C7683}"/>
    <hyperlink ref="E1077" r:id="rId339" xr:uid="{CAB37994-2DAF-4F1F-B896-40680C0A00E3}"/>
    <hyperlink ref="E1078" r:id="rId340" xr:uid="{EFA0EEF4-7D15-4F25-AC0A-331365026A58}"/>
    <hyperlink ref="E653" r:id="rId341" xr:uid="{B39A01C1-BC12-4CBC-92C3-0293C7FBF3FD}"/>
    <hyperlink ref="E654" r:id="rId342" xr:uid="{FDD12C64-C4D1-4521-AB60-D253D6EF1935}"/>
    <hyperlink ref="E655" r:id="rId343" xr:uid="{B2D984FB-FABD-4216-82AB-884D4BBA8333}"/>
    <hyperlink ref="E656" r:id="rId344" xr:uid="{CFD66219-255D-45CA-8414-32461C7B07F9}"/>
    <hyperlink ref="E657" r:id="rId345" xr:uid="{3D11DACC-4B1E-4033-B60B-87B5E6A6AD58}"/>
    <hyperlink ref="E658" r:id="rId346" xr:uid="{71BD90F5-85C2-4C00-A081-A4FFD29A8799}"/>
    <hyperlink ref="E659" r:id="rId347" xr:uid="{7112A344-B1C8-4133-8F81-1BD2393EA8E1}"/>
    <hyperlink ref="E660" r:id="rId348" xr:uid="{1CCB26D2-0195-4CD7-92B5-14C1BCE4AA7B}"/>
    <hyperlink ref="E661" r:id="rId349" xr:uid="{FCC16145-9694-487E-B4A6-0CF869521F06}"/>
    <hyperlink ref="E662" r:id="rId350" xr:uid="{32241041-A9DE-48E8-B71C-3F1D1C4C1A61}"/>
    <hyperlink ref="E663" r:id="rId351" xr:uid="{537FE9E0-0F49-41D5-BD16-4E3DB5A2FA87}"/>
    <hyperlink ref="E664" r:id="rId352" xr:uid="{E5FABC04-9F0A-46AC-9C3B-8CA0B24159C6}"/>
    <hyperlink ref="E908" r:id="rId353" xr:uid="{5C59047E-D434-479E-9C58-27AC0D58CA29}"/>
    <hyperlink ref="E909" r:id="rId354" xr:uid="{3FF68837-2A6C-4886-8CD7-AD8423850269}"/>
    <hyperlink ref="E910" r:id="rId355" xr:uid="{B767B294-FC0F-448A-B8EA-67032100DDEC}"/>
    <hyperlink ref="E911" r:id="rId356" xr:uid="{7DB0F01F-9BCF-4926-9780-FFABF1F1E3FF}"/>
    <hyperlink ref="E912" r:id="rId357" xr:uid="{3BEBE157-077E-4721-81D9-9FDD6A409737}"/>
    <hyperlink ref="E913" r:id="rId358" xr:uid="{B8D547C6-01DB-448F-911F-689C5B5EF330}"/>
    <hyperlink ref="E914" r:id="rId359" xr:uid="{DD278B60-7E30-46F3-A61E-34296D8C157A}"/>
    <hyperlink ref="E915" r:id="rId360" xr:uid="{24C9CC88-34A5-4342-808A-AAB1087E50E5}"/>
    <hyperlink ref="E916" r:id="rId361" xr:uid="{1B05AB75-A15F-4BF5-B297-5EF7A2282483}"/>
    <hyperlink ref="E917" r:id="rId362" xr:uid="{27473E19-8072-4424-9BB8-AF0DA747FDE7}"/>
    <hyperlink ref="E918" r:id="rId363" xr:uid="{F9A03C99-218A-4724-A6C6-122D95F590D3}"/>
    <hyperlink ref="E919" r:id="rId364" xr:uid="{718FFBD1-90AC-42F7-8438-19674A73BF0B}"/>
    <hyperlink ref="E920" r:id="rId365" xr:uid="{4DF3A55F-9EFE-434F-8D6E-7948E0118C03}"/>
    <hyperlink ref="E921" r:id="rId366" xr:uid="{7CF79356-A768-4899-A046-5F786A3D524C}"/>
    <hyperlink ref="E922" r:id="rId367" xr:uid="{E74C7D4A-489C-4D62-9930-131417EA5EFF}"/>
    <hyperlink ref="E923" r:id="rId368" xr:uid="{6FC35673-F52A-4E2D-84B4-D2215EBA41D5}"/>
    <hyperlink ref="E924" r:id="rId369" xr:uid="{DC5AA9CA-761F-4706-A82B-7EAE74BB8085}"/>
    <hyperlink ref="E925" r:id="rId370" xr:uid="{B66EB969-4891-4DDC-AE0B-7ACB674989E5}"/>
    <hyperlink ref="E926" r:id="rId371" xr:uid="{02D39809-321B-4924-967E-4FA02998DF6E}"/>
    <hyperlink ref="E927" r:id="rId372" xr:uid="{7FC7FC65-5961-4051-B76C-B90D94EE77DB}"/>
    <hyperlink ref="E928" r:id="rId373" xr:uid="{9E1A400A-5707-4DE1-957A-51227ECE5B0D}"/>
    <hyperlink ref="E929" r:id="rId374" xr:uid="{092B5F1F-4AE6-4F3C-BF43-2C83C17E88B9}"/>
    <hyperlink ref="E930" r:id="rId375" xr:uid="{52F45E16-F087-44FE-9ADA-1AB45D39A28F}"/>
    <hyperlink ref="E931" r:id="rId376" xr:uid="{E5BEE306-3B97-47A4-A4DC-D743A6A42C96}"/>
    <hyperlink ref="E932" r:id="rId377" xr:uid="{34F63C85-366F-4015-B924-DB10CC4368D3}"/>
    <hyperlink ref="E933" r:id="rId378" xr:uid="{D1C11AA8-5E7A-4BCE-B319-D2DF1499A949}"/>
    <hyperlink ref="E934" r:id="rId379" xr:uid="{4CF0E075-A09A-4FF6-A87E-02D4AAA74816}"/>
    <hyperlink ref="E935" r:id="rId380" xr:uid="{F2D519DC-3301-4747-9995-071F7EBBCBB9}"/>
    <hyperlink ref="E936" r:id="rId381" xr:uid="{E0AF63FC-D6BF-40AB-B212-98729E529D86}"/>
    <hyperlink ref="E937" r:id="rId382" xr:uid="{3006A09E-8329-4595-AC0D-2B1FEBCF3D68}"/>
    <hyperlink ref="E938" r:id="rId383" xr:uid="{A15C24D4-D301-433D-A4C4-BBD97A79741A}"/>
    <hyperlink ref="E939" r:id="rId384" xr:uid="{88F258EC-58D1-4125-BDF8-66AD4E23E25D}"/>
    <hyperlink ref="E940" r:id="rId385" xr:uid="{DD7A2F3D-EE8F-4A2A-ADBD-2FD367501072}"/>
    <hyperlink ref="E941" r:id="rId386" xr:uid="{1C236D26-1CB8-483D-8015-4DE64BE21764}"/>
    <hyperlink ref="E942" r:id="rId387" xr:uid="{EAB47984-CE3B-4B73-93E7-EFCB8908EA9F}"/>
    <hyperlink ref="E943" r:id="rId388" xr:uid="{136EF593-4204-4244-B5C5-E65317C43B33}"/>
    <hyperlink ref="E1246" r:id="rId389" display="https://doi.org/10.1139/cjfas-2014-0281 " xr:uid="{09EDF744-6C03-478E-B94E-14B50B8D40B4}"/>
    <hyperlink ref="E1247" r:id="rId390" display="https://doi.org/10.1139/cjfas-2014-0281 " xr:uid="{D43CB495-D735-4912-A064-1D584BFDBC80}"/>
    <hyperlink ref="E1248" r:id="rId391" display="https://doi.org/10.1139/cjfas-2014-0281 " xr:uid="{86BCB569-783B-467A-8486-7A92B9EB6EE7}"/>
    <hyperlink ref="E1249" r:id="rId392" display="https://doi.org/10.1139/cjfas-2014-0281 " xr:uid="{698D5345-4605-40BC-AD66-5B96EA7CE465}"/>
    <hyperlink ref="E1250" r:id="rId393" display="https://doi.org/10.1139/cjfas-2014-0281 " xr:uid="{DAA8F4F5-B235-429D-A90F-1AF698EB88B9}"/>
    <hyperlink ref="E1251" r:id="rId394" display="https://doi.org/10.1139/cjfas-2014-0281 " xr:uid="{C3798791-50D8-4D99-8F17-3F51C29BC792}"/>
    <hyperlink ref="E1252" r:id="rId395" display="https://doi.org/10.1139/cjfas-2014-0281 " xr:uid="{A70D6DC1-7F72-485A-936C-B20EB13016B6}"/>
    <hyperlink ref="E1253" r:id="rId396" display="https://doi.org/10.1139/cjfas-2014-0281 " xr:uid="{26A7292F-1F39-4185-8606-B48EB67A56D0}"/>
    <hyperlink ref="E1255" r:id="rId397" display="https://doi.org/10.1139/cjfas-2014-0281 " xr:uid="{17D005EA-26FA-4ACB-98B7-A9A35A94F971}"/>
    <hyperlink ref="E1254" r:id="rId398" display="https://doi.org/10.1139/cjfas-2014-0281 " xr:uid="{CD91ED49-3656-4BC4-888B-CB511DDA9724}"/>
    <hyperlink ref="E1083" r:id="rId399" xr:uid="{0AD9125D-F1A6-47E5-978F-093AB7F6F290}"/>
    <hyperlink ref="E1084" r:id="rId400" xr:uid="{34C59462-7333-4954-A5E4-3F3C00AE749A}"/>
    <hyperlink ref="E1085" r:id="rId401" xr:uid="{F0068BFC-E35F-49F8-B3F8-97C82D6099E9}"/>
    <hyperlink ref="E1086" r:id="rId402" xr:uid="{C2DD4162-4201-4D1F-91EF-451E376E30D6}"/>
    <hyperlink ref="E1087" r:id="rId403" xr:uid="{0A802CA6-C968-43A6-AA8C-BEE450099DEA}"/>
    <hyperlink ref="E1088" r:id="rId404" xr:uid="{6D156264-5625-4B8E-90B4-66885FA330B6}"/>
    <hyperlink ref="E1089" r:id="rId405" xr:uid="{95CA437A-510D-4B2B-88C3-C074076B8E49}"/>
    <hyperlink ref="E1090" r:id="rId406" xr:uid="{3BAF41B6-0665-4023-9BC6-A55965A09864}"/>
    <hyperlink ref="E1092" r:id="rId407" xr:uid="{8FCE76CB-BC9E-4623-93CB-79D59B778EB1}"/>
    <hyperlink ref="E1091" r:id="rId408" xr:uid="{223CCF8C-67F4-47C7-8F5A-F6058AD34B3D}"/>
    <hyperlink ref="E1109" r:id="rId409" display="https://doi.org/10.1139/facets-2022-0104" xr:uid="{EFB622D2-8DAD-4FE6-AC87-92471484A676}"/>
    <hyperlink ref="E1110" r:id="rId410" display="https://doi.org/10.1139/facets-2022-0104" xr:uid="{F5849CA7-57F2-43E7-AD76-6F00E23F939D}"/>
    <hyperlink ref="E1111" r:id="rId411" display="https://doi.org/10.1139/facets-2022-0104" xr:uid="{D862954C-2A1B-4F25-B134-37C337E5E9C1}"/>
    <hyperlink ref="E1112" r:id="rId412" display="https://doi.org/10.1139/facets-2022-0104" xr:uid="{B9826532-A049-4EE6-B94E-0259699A046F}"/>
    <hyperlink ref="E1113" r:id="rId413" display="https://doi.org/10.1139/facets-2022-0104" xr:uid="{DE10F05B-CA98-4549-B26B-6F4D3DEAFBED}"/>
    <hyperlink ref="E1114" r:id="rId414" display="https://doi.org/10.1139/facets-2022-0104" xr:uid="{63399B1B-412E-4328-B8C9-0A3EC402263C}"/>
    <hyperlink ref="E1115" r:id="rId415" display="https://doi.org/10.1139/facets-2022-0104" xr:uid="{F5EF1193-5DB7-42DC-9967-4ED95938B860}"/>
    <hyperlink ref="E1116" r:id="rId416" display="https://doi.org/10.1139/facets-2022-0104" xr:uid="{95B14607-7535-4828-959A-23619A689A86}"/>
    <hyperlink ref="E1117" r:id="rId417" display="https://doi.org/10.1139/facets-2022-0104" xr:uid="{F6C0621E-FB84-4CA0-9648-A0B969657ECA}"/>
    <hyperlink ref="E1118" r:id="rId418" display="https://doi.org/10.1139/facets-2022-0104" xr:uid="{22909D86-B133-4DF2-920D-62BB36B714AB}"/>
    <hyperlink ref="E1119" r:id="rId419" display="https://doi.org/10.1139/facets-2022-0104" xr:uid="{7E8FBC4D-B60A-4207-99F1-56AA2B4A7532}"/>
    <hyperlink ref="E1120" r:id="rId420" display="https://doi.org/10.1139/facets-2022-0104" xr:uid="{17B3849A-51F7-42DB-B89C-5C2F902E5694}"/>
    <hyperlink ref="E1121" r:id="rId421" display="https://doi.org/10.1139/facets-2022-0104" xr:uid="{C190F51C-E260-4AB8-846A-DE0D857B2C2F}"/>
    <hyperlink ref="E1122" r:id="rId422" display="https://doi.org/10.1139/facets-2022-0104" xr:uid="{54845246-C667-4E37-A9F6-888D20620D23}"/>
    <hyperlink ref="E1123" r:id="rId423" display="https://doi.org/10.1139/facets-2022-0104" xr:uid="{E99BB7E1-F3DB-46A3-9D6A-97617C1C5633}"/>
    <hyperlink ref="E1124" r:id="rId424" display="https://doi.org/10.1139/facets-2022-0104" xr:uid="{0BE7BCB4-0AB9-44CE-9210-16A20DD00D5E}"/>
    <hyperlink ref="E1125" r:id="rId425" display="https://doi.org/10.1139/facets-2022-0104" xr:uid="{01B04E6C-6AF1-4913-9373-C77A3054B630}"/>
    <hyperlink ref="E1126" r:id="rId426" display="https://doi.org/10.1139/facets-2022-0104" xr:uid="{43C4361C-DB46-4CA4-8FF9-285DC1FE0779}"/>
    <hyperlink ref="E1127" r:id="rId427" display="https://doi.org/10.1139/facets-2022-0104" xr:uid="{7CEE9974-A9AE-4BEB-8D9E-AE004F52572F}"/>
    <hyperlink ref="E1128" r:id="rId428" display="https://doi.org/10.1139/facets-2022-0104" xr:uid="{F288DD4C-1076-46A3-BD3F-201DB44EDA7C}"/>
    <hyperlink ref="E1129" r:id="rId429" display="https://doi.org/10.1139/facets-2022-0104" xr:uid="{3C234C29-804F-443D-92C9-E563FD45B714}"/>
    <hyperlink ref="E1130" r:id="rId430" display="https://doi.org/10.1139/facets-2022-0104" xr:uid="{1FBA6C16-B6EF-423F-933D-2BA8889D1687}"/>
    <hyperlink ref="E1131" r:id="rId431" display="https://doi.org/10.1139/facets-2022-0104" xr:uid="{CF23F9DD-52EC-41C4-B8CA-22EB105CBF5B}"/>
    <hyperlink ref="E1132" r:id="rId432" display="https://doi.org/10.1139/facets-2022-0104" xr:uid="{241F5938-CF78-48EB-A23F-744CE2DD5B11}"/>
    <hyperlink ref="E1133" r:id="rId433" display="https://doi.org/10.1139/facets-2022-0104" xr:uid="{CD486A3F-158D-4351-88EF-BAC6DFB48C05}"/>
    <hyperlink ref="E1134" r:id="rId434" display="https://doi.org/10.1139/facets-2022-0104" xr:uid="{7E6E2843-8831-4E1E-B161-93C039DD3DCA}"/>
    <hyperlink ref="E1135" r:id="rId435" display="https://doi.org/10.1139/facets-2022-0104" xr:uid="{8E2DAF37-9AA5-4070-8EC5-7C032EF555CA}"/>
    <hyperlink ref="E1136" r:id="rId436" display="https://doi.org/10.1139/facets-2022-0104" xr:uid="{8B2C16A0-4205-41D7-8A61-0E9FFA55B6AB}"/>
    <hyperlink ref="E1137" r:id="rId437" display="https://doi.org/10.1139/facets-2022-0104" xr:uid="{DAA8BF04-43FD-47C3-A289-AC7C9C57C223}"/>
    <hyperlink ref="E1138" r:id="rId438" display="https://doi.org/10.1139/facets-2022-0104" xr:uid="{29B9488D-86B1-41F5-B9E2-3737296268C4}"/>
    <hyperlink ref="E1139" r:id="rId439" display="https://doi.org/10.1139/facets-2022-0104" xr:uid="{5827ECC6-2DCA-4151-8D00-AFD940968587}"/>
    <hyperlink ref="E1140" r:id="rId440" display="https://doi.org/10.1139/facets-2022-0104" xr:uid="{A10F0999-6BB9-4DD4-ACF1-FCD630BC472A}"/>
    <hyperlink ref="E1141" r:id="rId441" display="https://doi.org/10.1139/facets-2022-0104" xr:uid="{B41CEC31-7D72-4DFE-906F-ACB4B94A2BA0}"/>
    <hyperlink ref="E1142" r:id="rId442" display="https://doi.org/10.1139/facets-2022-0104" xr:uid="{688C0254-8327-4BFA-8BB2-D49EFA2CC8F4}"/>
    <hyperlink ref="E1143" r:id="rId443" display="https://doi.org/10.1139/facets-2022-0104" xr:uid="{AC730BD2-CD5C-485E-9D0C-F0FBC21C2ADF}"/>
    <hyperlink ref="E1144" r:id="rId444" display="https://doi.org/10.1139/facets-2022-0104" xr:uid="{917C6559-B42A-413C-B715-ECB6E4755F36}"/>
    <hyperlink ref="E1145" r:id="rId445" display="https://doi.org/10.1139/facets-2022-0104" xr:uid="{430A29CE-CB41-4C50-807A-2E3424D5069B}"/>
    <hyperlink ref="E1146" r:id="rId446" display="https://doi.org/10.1139/facets-2022-0104" xr:uid="{F13FAC02-1569-41C2-8B99-76289A663EAC}"/>
    <hyperlink ref="E1147" r:id="rId447" display="https://doi.org/10.1139/facets-2022-0104" xr:uid="{2D8E147E-08ED-4DD3-99E4-0C3CCFDDD827}"/>
    <hyperlink ref="E1148" r:id="rId448" display="https://doi.org/10.1139/facets-2022-0104" xr:uid="{DA04A137-3FA4-4772-ADCE-FAA80FA6C410}"/>
    <hyperlink ref="E1149" r:id="rId449" display="https://doi.org/10.1139/facets-2022-0104" xr:uid="{9F62AFBC-C703-4E46-AAA3-0F7867782134}"/>
    <hyperlink ref="E1150" r:id="rId450" display="https://doi.org/10.1139/facets-2022-0104" xr:uid="{C6E4B097-6ACB-42B3-949D-B7EEE756ACB0}"/>
    <hyperlink ref="E1151" r:id="rId451" display="https://doi.org/10.1139/facets-2022-0104" xr:uid="{678B98C8-DF7D-4469-87C2-09F5D16C1EAF}"/>
    <hyperlink ref="E1152" r:id="rId452" display="https://doi.org/10.1139/facets-2022-0104" xr:uid="{ED3D583B-8366-40F4-BC5D-6D238D0D7A3D}"/>
    <hyperlink ref="E1153" r:id="rId453" display="https://doi.org/10.1139/facets-2022-0104" xr:uid="{D83751C0-4020-4822-B8C9-33F0148EADB1}"/>
    <hyperlink ref="E1154" r:id="rId454" display="https://doi.org/10.1139/facets-2022-0104" xr:uid="{5ED20972-CD5B-47CD-9DFD-7501B728F986}"/>
    <hyperlink ref="E1155" r:id="rId455" display="https://doi.org/10.1139/facets-2022-0104" xr:uid="{A028AC55-3500-4D02-AE9F-28F969760426}"/>
    <hyperlink ref="E1156" r:id="rId456" display="https://doi.org/10.1139/facets-2022-0104" xr:uid="{862B5586-9509-433C-A1BA-59339B972F1C}"/>
    <hyperlink ref="E1157" r:id="rId457" display="https://doi.org/10.1139/facets-2022-0104" xr:uid="{BB8375C7-D8AF-4E7D-A576-C630F925AB64}"/>
    <hyperlink ref="E1158" r:id="rId458" display="https://doi.org/10.1139/facets-2022-0104" xr:uid="{752E0984-20C9-40ED-8BF4-CAE8F74DE1FF}"/>
    <hyperlink ref="E1159" r:id="rId459" display="https://doi.org/10.1139/facets-2022-0104" xr:uid="{5C34C06E-3552-4B3C-8C8F-BF60A81EA115}"/>
    <hyperlink ref="E1160" r:id="rId460" display="https://doi.org/10.1139/facets-2022-0104" xr:uid="{950D0812-197F-480A-928B-57B22CE4447A}"/>
    <hyperlink ref="E1161" r:id="rId461" display="https://doi.org/10.1139/facets-2022-0104" xr:uid="{635118A5-72CE-4A6D-9259-EEE68C563D1B}"/>
    <hyperlink ref="E1162" r:id="rId462" display="https://doi.org/10.1139/facets-2022-0104" xr:uid="{3C591B30-022B-4FE5-9525-94F78B626420}"/>
    <hyperlink ref="E1163" r:id="rId463" display="https://doi.org/10.1139/facets-2022-0104" xr:uid="{FF486231-2700-4E56-842E-D4F9B8A592D5}"/>
    <hyperlink ref="E1164" r:id="rId464" display="https://doi.org/10.1139/facets-2022-0104" xr:uid="{8A6B0800-7C40-4794-9DAB-371FEBD09CFB}"/>
    <hyperlink ref="E1165" r:id="rId465" display="https://doi.org/10.1139/facets-2022-0104" xr:uid="{45A416D0-2C22-4B42-9D30-BF37708D6E4C}"/>
    <hyperlink ref="E1166" r:id="rId466" display="https://doi.org/10.1139/facets-2022-0104" xr:uid="{F897F603-35F8-4BE9-B84D-3F29EE248618}"/>
    <hyperlink ref="E1167" r:id="rId467" display="https://doi.org/10.1139/facets-2022-0104" xr:uid="{F7456C26-1D86-4AE6-BC9B-E7932358E9FA}"/>
    <hyperlink ref="E1168" r:id="rId468" display="https://doi.org/10.1139/facets-2022-0104" xr:uid="{482244D0-78F2-4829-9400-3034104DEA11}"/>
    <hyperlink ref="E1169" r:id="rId469" display="https://doi.org/10.1139/facets-2022-0104" xr:uid="{2E6EA8DB-6DD7-4F9B-915F-D69CC17CEB19}"/>
    <hyperlink ref="E1170" r:id="rId470" display="https://doi.org/10.1139/facets-2022-0104" xr:uid="{A491E2D1-E971-4243-B549-49DBD0AC0ABB}"/>
    <hyperlink ref="E1171" r:id="rId471" display="https://doi.org/10.1139/facets-2022-0104" xr:uid="{7269CFE0-74E7-4C19-A503-5DE389927150}"/>
    <hyperlink ref="E1172" r:id="rId472" display="https://doi.org/10.1139/facets-2022-0104" xr:uid="{DE6955BD-88C3-431B-88B5-4A25D3DA1BE3}"/>
    <hyperlink ref="E1173" r:id="rId473" display="https://doi.org/10.1139/facets-2022-0104" xr:uid="{F6738E77-27F6-4819-9B04-7CA5EDC6595E}"/>
    <hyperlink ref="E1174" r:id="rId474" display="https://doi.org/10.1139/facets-2022-0104" xr:uid="{81B780FD-D219-4497-9A3E-5FFE57FBF959}"/>
    <hyperlink ref="E318" r:id="rId475" xr:uid="{676F6F07-7CF9-4A51-926A-01844BDAB292}"/>
    <hyperlink ref="E223" r:id="rId476" xr:uid="{FE6520C2-D79D-43F9-9403-7B040E79B176}"/>
    <hyperlink ref="E1292" r:id="rId477" xr:uid="{BB074B98-71B9-49E7-85BC-88895A12C7B8}"/>
    <hyperlink ref="E1293" r:id="rId478" xr:uid="{9CF67438-1068-45EC-A6E1-7F24A895F598}"/>
    <hyperlink ref="E1294" r:id="rId479" xr:uid="{DF5BDF97-8B74-4F88-9CB0-DBC7DAB08604}"/>
    <hyperlink ref="E1295" r:id="rId480" xr:uid="{B03EE70F-6DD7-49EC-86EB-EBCE1CD8B8FD}"/>
    <hyperlink ref="E1296" r:id="rId481" xr:uid="{42B348EF-C2F9-4D96-A5BA-63DDE991C56C}"/>
    <hyperlink ref="E1297" r:id="rId482" xr:uid="{96994366-B913-4ED7-84D2-F96E1B0A397E}"/>
    <hyperlink ref="E1298" r:id="rId483" xr:uid="{04BE9B02-EF90-410E-A835-0363E03306EF}"/>
    <hyperlink ref="E1299" r:id="rId484" xr:uid="{E6EBDB20-72DE-4969-8136-A49F73B57797}"/>
    <hyperlink ref="E1300" r:id="rId485" xr:uid="{9D32AD88-3D10-4D74-92D0-DDBA4C1AC2C7}"/>
    <hyperlink ref="E1301" r:id="rId486" xr:uid="{B672BAE4-DBBB-47C0-BCC3-F0705A8349D5}"/>
    <hyperlink ref="E1302" r:id="rId487" xr:uid="{5AC94307-A60E-406D-AE39-6954FD08BF68}"/>
    <hyperlink ref="E1303" r:id="rId488" xr:uid="{83BDE558-2E7A-4EF9-9B5C-01ED0E25255E}"/>
    <hyperlink ref="E1304" r:id="rId489" xr:uid="{1E62F90C-B47E-4535-8C41-D6BE017454A6}"/>
    <hyperlink ref="E1305" r:id="rId490" xr:uid="{D5FA5756-E71C-44AD-8918-0B844BE671FA}"/>
    <hyperlink ref="E1306" r:id="rId491" xr:uid="{61633BBF-DD46-4A6B-A1EA-50C5C8EA5E38}"/>
    <hyperlink ref="E1307" r:id="rId492" xr:uid="{3BD5EB6B-A1F0-42BD-9BF4-7D1B33F607EC}"/>
    <hyperlink ref="E1308" r:id="rId493" xr:uid="{09FDB742-0AFD-4757-B69E-DAF91AC32C5F}"/>
    <hyperlink ref="E1309" r:id="rId494" xr:uid="{03E3A50B-0CEA-4850-9618-4150DD957679}"/>
    <hyperlink ref="E1310" r:id="rId495" xr:uid="{BF1DB3F0-D606-4F6C-91A7-7BE071A5CDF8}"/>
    <hyperlink ref="E1311" r:id="rId496" xr:uid="{FC846BA3-84D2-4EC0-A9BE-6CB249B96262}"/>
    <hyperlink ref="E1312" r:id="rId497" xr:uid="{92FE6FD1-F8A1-48AF-8C9E-4719CF2E0B17}"/>
    <hyperlink ref="E1313" r:id="rId498" xr:uid="{92B331B5-957C-42D0-B3BD-EECD276AF77A}"/>
    <hyperlink ref="E1314" r:id="rId499" xr:uid="{5FDC47FE-92E7-444E-840D-9A2CEB6F35F7}"/>
    <hyperlink ref="E1315" r:id="rId500" xr:uid="{F97E7536-F0B2-4DBA-83F0-FB0B1D039E2B}"/>
    <hyperlink ref="E1316" r:id="rId501" xr:uid="{E6895BCD-6479-456F-AB0B-5728C4619A39}"/>
    <hyperlink ref="E1317" r:id="rId502" xr:uid="{730D1513-3A73-4C38-B5BA-28D809B6DBBC}"/>
    <hyperlink ref="E1436" r:id="rId503" xr:uid="{3D582F84-7E35-437B-8FAC-74A57643EE7E}"/>
    <hyperlink ref="E1335" r:id="rId504" xr:uid="{46214D36-FCDB-4CB7-9459-F43A2C31A828}"/>
    <hyperlink ref="E1346" r:id="rId505" xr:uid="{AF89539C-ED50-45BD-8B37-D5E4BF162167}"/>
    <hyperlink ref="E1350" r:id="rId506" xr:uid="{C16ADF7D-72F8-40CA-8ABF-4642AF548078}"/>
    <hyperlink ref="E1361" r:id="rId507" xr:uid="{B8590610-EEB5-48CD-8C44-A6B06CAD5D32}"/>
    <hyperlink ref="E1368" r:id="rId508" xr:uid="{F2EC67A7-B30E-4569-A1C2-70BF18A3BA3D}"/>
    <hyperlink ref="E1404" r:id="rId509" xr:uid="{70C16E97-8AFC-4427-A66B-B69F6BBAA2C7}"/>
    <hyperlink ref="S1453" r:id="rId510" xr:uid="{1A25E01D-5B23-417B-B7E7-2B2BD0B7C8BF}"/>
    <hyperlink ref="S1461" r:id="rId511" xr:uid="{336A970D-CB43-4EB3-A342-A5AEDB2A160B}"/>
    <hyperlink ref="E1461" r:id="rId512" xr:uid="{75696188-A4E7-4431-9BB6-31BC227B03DC}"/>
    <hyperlink ref="E1462:E1471" r:id="rId513" display="https://doi.org/10.3354/meps13966 " xr:uid="{E054C1F2-A790-4432-8638-0B8D2E365EC9}"/>
    <hyperlink ref="E1453" r:id="rId514" xr:uid="{23226D67-73B2-40D1-998E-BAB5B9B3A65A}"/>
    <hyperlink ref="E1454" r:id="rId515" xr:uid="{6C1FE144-F23A-45F6-A410-442E38515B01}"/>
    <hyperlink ref="E1455" r:id="rId516" xr:uid="{E1789CAD-28F7-40A3-A21D-B1FD7CE7B5F0}"/>
    <hyperlink ref="E1456" r:id="rId517" xr:uid="{573D80E8-9D0B-4B16-9466-36C878DC80C6}"/>
    <hyperlink ref="E1457" r:id="rId518" xr:uid="{ACE92954-CAE8-4749-BF4C-C205F3E991A9}"/>
    <hyperlink ref="E1458" r:id="rId519" xr:uid="{C0F7A495-DDD4-4E67-9DBD-842F4ADFDB25}"/>
    <hyperlink ref="E1459" r:id="rId520" xr:uid="{27CDD6C2-C5FD-4E87-AD10-1BB79B0196D6}"/>
    <hyperlink ref="E1460" r:id="rId521" xr:uid="{8DFB78A9-E46F-4651-A7BF-69D1F232DE0A}"/>
    <hyperlink ref="E1403" r:id="rId522" xr:uid="{DAA72FF3-CE08-4903-ACBC-517FE95E0411}"/>
    <hyperlink ref="E1402" r:id="rId523" xr:uid="{2F1F22CF-40AC-43E7-83DA-893120B9A294}"/>
    <hyperlink ref="E1401" r:id="rId524" xr:uid="{BA119475-C5CF-4859-B385-5AA1DE62617C}"/>
    <hyperlink ref="E1319" r:id="rId525" xr:uid="{37FB2905-17B4-4B02-AE81-6DDC59462B19}"/>
    <hyperlink ref="E1320" r:id="rId526" xr:uid="{913BEB10-BEA6-46E9-AD80-B75B1FE37229}"/>
    <hyperlink ref="E1321" r:id="rId527" xr:uid="{AE56143D-253D-41CE-A2A3-59FE79DF2560}"/>
    <hyperlink ref="E1322" r:id="rId528" xr:uid="{B67BF80D-9FBD-40BD-8127-5578D644D061}"/>
    <hyperlink ref="E1323" r:id="rId529" xr:uid="{88BA4085-B857-42CB-8088-29333BC06023}"/>
    <hyperlink ref="E1400" r:id="rId530" display="https://cjur.ca/wp-content/uploads/2025/10/Volume-10-Issue-1-Tiet-et-al.pdf" xr:uid="{8DAF1F73-A633-4DE2-9F01-7FE3E411B043}"/>
    <hyperlink ref="E1437" r:id="rId531" xr:uid="{F8AF4517-4121-44DE-B5CE-05008891683A}"/>
    <hyperlink ref="E1438" r:id="rId532" xr:uid="{B0FD09ED-101A-48A9-ADF2-178C283EF841}"/>
    <hyperlink ref="E1439" r:id="rId533" xr:uid="{D4A49C41-5AD2-456F-9819-328DAEBAC9BA}"/>
    <hyperlink ref="E1440" r:id="rId534" xr:uid="{169C7418-0DDC-4C1C-83E5-1C2EEB4DB002}"/>
    <hyperlink ref="E1441" r:id="rId535" xr:uid="{A2AC878C-E990-4A27-9CCE-FBDB1DBF9FC6}"/>
    <hyperlink ref="E1442" r:id="rId536" xr:uid="{DBCEC5AC-EF78-42F0-83C1-B42A01865127}"/>
    <hyperlink ref="E1443" r:id="rId537" xr:uid="{464BF28A-D5B4-47E5-862D-237E646B6803}"/>
    <hyperlink ref="E1444" r:id="rId538" xr:uid="{5B4865D7-C4CC-4A1C-9175-D61072FA7C6A}"/>
    <hyperlink ref="E1445" r:id="rId539" xr:uid="{6B45DE9D-7D0F-47EF-AFBA-24351280B0FF}"/>
    <hyperlink ref="E1446" r:id="rId540" xr:uid="{C6ED2ED8-5079-45E4-8364-5259D606FE35}"/>
    <hyperlink ref="E1318" r:id="rId541" xr:uid="{3D587DBD-5C29-4902-8303-63068DBAE1CF}"/>
    <hyperlink ref="E1324" r:id="rId542" xr:uid="{C5AC70EE-7823-4818-8F85-9B6545325F47}"/>
    <hyperlink ref="E1325" r:id="rId543" xr:uid="{7ED5DCDC-D3D1-4B88-951A-945E5F85F2E2}"/>
    <hyperlink ref="E1326" r:id="rId544" xr:uid="{BF547FA5-9CF0-4E10-85CE-0FF2C1DA225A}"/>
    <hyperlink ref="E1327" r:id="rId545" xr:uid="{F6BA76A2-314B-4C57-9C23-B0E241A2672B}"/>
    <hyperlink ref="E1328" r:id="rId546" xr:uid="{D1613334-6A35-4A0F-935F-CC2D00495282}"/>
    <hyperlink ref="E1329" r:id="rId547" xr:uid="{E7E23084-11F9-46AC-9D78-8D9EBF1D4A05}"/>
    <hyperlink ref="E1330" r:id="rId548" xr:uid="{A8D8BDFF-BF9A-45E9-ABC3-EF356810DA35}"/>
    <hyperlink ref="E1331" r:id="rId549" xr:uid="{5F82463E-89C9-46AC-B40A-29443B747DF0}"/>
    <hyperlink ref="E1332" r:id="rId550" xr:uid="{0A2C1C32-CCB1-4DE4-911E-CFB833BDDE1F}"/>
    <hyperlink ref="E1333" r:id="rId551" xr:uid="{1555F6E3-54B7-45FC-B067-67F00EA9B59E}"/>
    <hyperlink ref="E1334" r:id="rId552" xr:uid="{5C8763C3-ECE0-4AE3-B492-7092FB7AE302}"/>
    <hyperlink ref="E1347" r:id="rId553" xr:uid="{8A518024-462F-493C-830F-13D99662C825}"/>
    <hyperlink ref="E1348" r:id="rId554" xr:uid="{E1B96F84-0852-4B7F-A36A-24B98DA28CD0}"/>
    <hyperlink ref="E1349" r:id="rId555" xr:uid="{D84F3819-DB5F-4EAD-B321-8DE5F7C25EAE}"/>
    <hyperlink ref="E1472:E1482" r:id="rId556" display="https://doi.org/10.13140/RG.2.2.27753.98401" xr:uid="{88F12A61-4A62-4269-A079-8D092566C619}"/>
    <hyperlink ref="E1351" r:id="rId557" xr:uid="{678EBBC3-2069-4B93-B22D-C48C1D2E6303}"/>
    <hyperlink ref="E1352" r:id="rId558" xr:uid="{F28D306C-00BC-4483-9670-0FB0396BD3DB}"/>
    <hyperlink ref="E1353" r:id="rId559" xr:uid="{14C3D31D-1B12-4F39-A3F9-B084F2E63A40}"/>
    <hyperlink ref="E1354" r:id="rId560" xr:uid="{74759FBB-73A2-4D70-88D1-20266164B9A2}"/>
    <hyperlink ref="E1355" r:id="rId561" xr:uid="{036062D8-CA22-4BCA-B725-437503E24B50}"/>
    <hyperlink ref="E1356" r:id="rId562" xr:uid="{6828A3A7-0856-4908-9831-5B66430F1822}"/>
    <hyperlink ref="E1357" r:id="rId563" xr:uid="{C8711D35-8721-436B-BD07-590D4066749D}"/>
    <hyperlink ref="E1358" r:id="rId564" xr:uid="{7A1F960D-8EB0-4DA7-A584-284BD9A09C87}"/>
    <hyperlink ref="E1359" r:id="rId565" xr:uid="{DA021E42-0DB1-4272-B8BA-38EAC09E8EF8}"/>
    <hyperlink ref="E1360" r:id="rId566" xr:uid="{CE946C42-7DB6-463F-A12E-1D192534254B}"/>
    <hyperlink ref="E1362" r:id="rId567" xr:uid="{A523EAF3-11CA-44C3-8DA6-2ABEE74895B1}"/>
    <hyperlink ref="E1363" r:id="rId568" xr:uid="{4EA44A27-DED7-4642-B899-AF7EC06C4CC8}"/>
    <hyperlink ref="E1364" r:id="rId569" xr:uid="{89BDA28A-0B9C-49A3-8020-0E177C00A645}"/>
    <hyperlink ref="E1365" r:id="rId570" xr:uid="{54E38F5E-DA42-426C-BFD8-22E1AA6692FA}"/>
    <hyperlink ref="E1366" r:id="rId571" xr:uid="{75C672AF-6556-406B-ABD3-2E5EC79E5EEE}"/>
    <hyperlink ref="E1367" r:id="rId572" xr:uid="{B403C56C-1CDB-440A-B902-41832C3DDB03}"/>
    <hyperlink ref="E1336" r:id="rId573" xr:uid="{08BA5A38-5ECD-42F5-BE1B-E68DBA4F0489}"/>
    <hyperlink ref="E1337" r:id="rId574" xr:uid="{8C2E2C95-B438-4338-B7C6-C217397E5F5F}"/>
    <hyperlink ref="E1338" r:id="rId575" xr:uid="{9EC09422-77F5-433E-B3DA-F2026BDB5C6B}"/>
    <hyperlink ref="E1339" r:id="rId576" xr:uid="{8738F66E-9EE2-472D-97C9-30F597004D3B}"/>
    <hyperlink ref="E1340" r:id="rId577" xr:uid="{5175842A-F75B-4D77-8E08-218B529EBB1C}"/>
    <hyperlink ref="E1341" r:id="rId578" xr:uid="{673AB777-B716-48E4-BBA9-43AEE221E07C}"/>
    <hyperlink ref="E1342" r:id="rId579" xr:uid="{D72D2DFE-892B-485D-9DF3-5AB2164B4BE0}"/>
    <hyperlink ref="E1343" r:id="rId580" xr:uid="{A17F7420-D388-46CA-B3BD-D74A4408D19F}"/>
    <hyperlink ref="E1344" r:id="rId581" xr:uid="{DC475171-B998-49D0-8592-81BF6FED688B}"/>
    <hyperlink ref="E1345" r:id="rId582" xr:uid="{C352F921-B2EF-426A-BB72-207E6B5AC554}"/>
    <hyperlink ref="E1405" r:id="rId583" xr:uid="{D79EB533-45E4-4E4B-A68B-B045DFF8AF63}"/>
    <hyperlink ref="E1406" r:id="rId584" xr:uid="{F1D1421C-BC54-4D18-965C-15B4DF0A3E9B}"/>
    <hyperlink ref="E1407" r:id="rId585" xr:uid="{EB579BCC-F341-4AF6-924D-C01DDA6D0AA8}"/>
    <hyperlink ref="E1408" r:id="rId586" xr:uid="{3B195996-5D0A-4A73-B207-318449517DF0}"/>
    <hyperlink ref="E1409" r:id="rId587" xr:uid="{88D12DAA-AC28-4287-9C22-46D3119AA736}"/>
    <hyperlink ref="E1410" r:id="rId588" xr:uid="{34BBC790-BEE1-4BA4-8BA1-C42CE1DCD5F0}"/>
    <hyperlink ref="E1411" r:id="rId589" xr:uid="{6DE7A4D6-3A65-488B-94C0-4A897927F0FE}"/>
    <hyperlink ref="E1412" r:id="rId590" xr:uid="{11CD1FDB-5ACF-40F2-B6CC-97354F4F1F49}"/>
    <hyperlink ref="E1413" r:id="rId591" xr:uid="{22D9C5F8-54D5-405E-B436-D410D3214756}"/>
    <hyperlink ref="E1414" r:id="rId592" xr:uid="{BEF99F9A-745B-4F77-9035-88BBE4D213D8}"/>
    <hyperlink ref="E1415" r:id="rId593" xr:uid="{27C25EF1-4615-4910-908F-3CC65072196B}"/>
    <hyperlink ref="E1416" r:id="rId594" xr:uid="{16A934E9-4EAF-4E2B-9CE1-D02EF603F80D}"/>
    <hyperlink ref="E1417" r:id="rId595" xr:uid="{20861AFB-2ABB-4E4E-A73A-59AD06D9D29D}"/>
    <hyperlink ref="E1418" r:id="rId596" xr:uid="{8F0EC423-76CF-4929-8E09-988DF1BDFF40}"/>
    <hyperlink ref="E1419" r:id="rId597" xr:uid="{DB39D483-BE81-49F4-8364-75C35E66DCA1}"/>
    <hyperlink ref="E1420" r:id="rId598" xr:uid="{FFE1E63F-646F-4EDA-8CE2-89A1B17A8085}"/>
    <hyperlink ref="E1421" r:id="rId599" xr:uid="{0F5F1E5B-5360-499F-9A12-2F695EA4836A}"/>
    <hyperlink ref="E1422" r:id="rId600" xr:uid="{EFFE368A-BEC6-4F4E-B0B0-AC11794C0D2A}"/>
    <hyperlink ref="E1423" r:id="rId601" xr:uid="{1A8C5EEE-595D-4B1E-A940-C55B6617048A}"/>
    <hyperlink ref="E1424" r:id="rId602" xr:uid="{7D7B4066-381C-4E1E-A620-36CD9AB5A0B7}"/>
    <hyperlink ref="E1425" r:id="rId603" xr:uid="{BC74083E-38C1-48F5-8A8F-0C507CF6628C}"/>
    <hyperlink ref="E1426" r:id="rId604" xr:uid="{578BEF81-5E3A-4945-BADC-0CD269DFB6DD}"/>
    <hyperlink ref="E1427" r:id="rId605" xr:uid="{33A782BC-2F3B-4C7E-81CB-4D54D6F630DE}"/>
    <hyperlink ref="E1428" r:id="rId606" xr:uid="{AABB4BB7-4B44-4DD7-9A46-0E839E045793}"/>
    <hyperlink ref="E1429" r:id="rId607" xr:uid="{6AC44CFA-FED6-4AF2-9092-DA3132D93658}"/>
    <hyperlink ref="E1430" r:id="rId608" xr:uid="{21401C3C-BF34-471A-8C8A-14AE8678469E}"/>
    <hyperlink ref="E1431" r:id="rId609" xr:uid="{0E439CFF-E8CB-49A1-B85C-AD7DC8E05A6D}"/>
    <hyperlink ref="E1432" r:id="rId610" xr:uid="{ACF80B08-71FA-44BF-88C8-22A3BAC664DD}"/>
    <hyperlink ref="E1433" r:id="rId611" xr:uid="{DDB973BE-9C64-4343-9121-C54F428BC9B3}"/>
    <hyperlink ref="E1434" r:id="rId612" xr:uid="{98BB81F1-FDC5-4976-8900-C8806D1EE872}"/>
    <hyperlink ref="E1435" r:id="rId613" xr:uid="{B96022D2-E3B3-4222-8113-34C5505F155A}"/>
    <hyperlink ref="E1369" r:id="rId614" xr:uid="{827C5263-C4F8-4E51-B9D6-E2D3EA9FF60C}"/>
    <hyperlink ref="E1370" r:id="rId615" xr:uid="{C26D27AE-E98C-4CB9-B4AE-48C57F16551C}"/>
    <hyperlink ref="E1371" r:id="rId616" display="https://doi.org/10.1021/acs.est.0c06087" xr:uid="{0D05EC1B-04E1-458E-8FE1-2AD3BB145703}"/>
    <hyperlink ref="E1372" r:id="rId617" display="https://doi.org/10.1021/acs.est.0c06087" xr:uid="{1A9274C4-0849-4844-9EB8-583171FB0A51}"/>
    <hyperlink ref="E1373" r:id="rId618" display="https://doi.org/10.1021/acs.est.0c06087" xr:uid="{58C98144-ED5E-4B84-8EFB-EEA37F6127F3}"/>
    <hyperlink ref="E1374" r:id="rId619" display="https://doi.org/10.1021/acs.est.0c06087" xr:uid="{44CAB674-FE56-410B-B152-66267BDD1E62}"/>
    <hyperlink ref="E1375" r:id="rId620" display="https://doi.org/10.1021/acs.est.0c06087" xr:uid="{D70D622F-4EE2-4558-A160-1DD5193D56C3}"/>
    <hyperlink ref="E1376" r:id="rId621" display="https://doi.org/10.1021/acs.est.0c06087" xr:uid="{403FDC40-00FD-4D8B-A6F1-531C8217F17E}"/>
    <hyperlink ref="E1377" r:id="rId622" display="https://doi.org/10.1021/acs.est.0c06087" xr:uid="{D67F4F5F-B386-4C84-A883-247868B8B08C}"/>
    <hyperlink ref="E1378" r:id="rId623" display="https://doi.org/10.1021/acs.est.0c06087" xr:uid="{2DC0F7D4-7DFC-4B15-AD1A-D7D64AA76B89}"/>
    <hyperlink ref="E1379" r:id="rId624" display="https://doi.org/10.1021/acs.est.0c06087" xr:uid="{F0033C1B-B78B-4238-9E2A-FC9D7A74F967}"/>
    <hyperlink ref="E1388" r:id="rId625" display="https://doi.org/10.1021/acs.est.0c06087" xr:uid="{4B2FFC12-3036-4771-AB5F-36164E4D0BD4}"/>
    <hyperlink ref="E1389" r:id="rId626" display="https://doi.org/10.1021/acs.est.0c06087" xr:uid="{3F7DC625-04F7-4EA5-BDF4-6C5AB1C6DB99}"/>
    <hyperlink ref="E1390" r:id="rId627" display="https://doi.org/10.1021/acs.est.0c06087" xr:uid="{DDC82048-72EB-49A6-BD66-41FCC41E5463}"/>
    <hyperlink ref="E1391" r:id="rId628" display="https://doi.org/10.1021/acs.est.0c06087" xr:uid="{A70F0F07-75BA-447D-920B-660A6E86EC5F}"/>
    <hyperlink ref="E1392" r:id="rId629" display="https://doi.org/10.1021/acs.est.0c06087" xr:uid="{B18F96D1-FD8B-47C7-97FE-5F3C2BCEED45}"/>
    <hyperlink ref="E1387" r:id="rId630" display="https://doi.org/10.1021/acs.est.0c06087" xr:uid="{8C981FE6-E58E-4548-9265-427C532BA954}"/>
    <hyperlink ref="E1393" r:id="rId631" display="https://doi.org/10.1021/acs.est.0c06087" xr:uid="{63CC974F-B43C-4169-A9E1-E21719ACEFDE}"/>
    <hyperlink ref="E1394" r:id="rId632" display="https://doi.org/10.1021/acs.est.0c06087" xr:uid="{B94C4B8B-19A8-4125-A6CA-E3F7B7E9A081}"/>
    <hyperlink ref="E1395" r:id="rId633" display="https://doi.org/10.1021/acs.est.0c06087" xr:uid="{E059F500-0CC6-48DB-8981-9BE0B02A5D2D}"/>
    <hyperlink ref="E1396" r:id="rId634" display="https://doi.org/10.1021/acs.est.0c06087" xr:uid="{3A6FB901-BE88-4C32-BF27-304A45512188}"/>
    <hyperlink ref="E1397" r:id="rId635" display="https://doi.org/10.1021/acs.est.0c06087" xr:uid="{F1AF442D-B08C-40CE-89D6-124E2397C76B}"/>
    <hyperlink ref="E1398" r:id="rId636" display="https://doi.org/10.1021/acs.est.0c06087" xr:uid="{77805640-2C00-4927-A7B8-EE9FF4C64DEF}"/>
    <hyperlink ref="E1399" r:id="rId637" display="https://doi.org/10.1021/acs.est.0c06087" xr:uid="{42FCA3B1-4FDD-4854-85D6-BC456AC920A1}"/>
  </hyperlinks>
  <pageMargins left="0.7" right="0.7" top="0.75" bottom="0.75" header="0.3" footer="0.3"/>
  <pageSetup orientation="portrait" r:id="rId638"/>
  <extLst>
    <ext xmlns:x14="http://schemas.microsoft.com/office/spreadsheetml/2009/9/main" uri="{CCE6A557-97BC-4b89-ADB6-D9C93CAAB3DF}">
      <x14:dataValidations xmlns:xm="http://schemas.microsoft.com/office/excel/2006/main" count="2">
        <x14:dataValidation type="list" allowBlank="1" showInputMessage="1" showErrorMessage="1" xr:uid="{A88D4637-67E4-4C4C-8E5F-D4B0CDBC8DA4}">
          <x14:formula1>
            <xm:f>#REF!</xm:f>
          </x14:formula1>
          <xm:sqref>K2:K25 K29:K206 K433 K416:K431 K461:K496 K642 K1109:K1174 K613:K616 K999:K1002 K1078:K1082 K1180:K1191 K365:K412 K589:K606 K1324:K1435 K280:K358</xm:sqref>
        </x14:dataValidation>
        <x14:dataValidation type="list" allowBlank="1" showInputMessage="1" showErrorMessage="1" xr:uid="{42D23554-45BA-4876-BBBD-73C673667D72}">
          <x14:formula1>
            <xm:f>#REF!</xm:f>
          </x14:formula1>
          <xm:sqref>L365:L410 L416:L431 L433 L461:L606 L613:L642 L671:L676 L719:L787 L20:L63 L79:L200 L1324:L1435 L280:L358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1152E-1631-4BDA-8273-134825806B75}">
  <dimension ref="A1:AB1239"/>
  <sheetViews>
    <sheetView topLeftCell="M1" zoomScaleNormal="100" workbookViewId="0">
      <pane ySplit="1" topLeftCell="A2" activePane="bottomLeft" state="frozen"/>
      <selection pane="bottomLeft" activeCell="Q7" sqref="Q7"/>
    </sheetView>
  </sheetViews>
  <sheetFormatPr defaultColWidth="8.81640625" defaultRowHeight="14.5" x14ac:dyDescent="0.35"/>
  <cols>
    <col min="1" max="1" width="6.453125" style="12" customWidth="1"/>
    <col min="2" max="2" width="47.54296875" style="12" customWidth="1"/>
    <col min="3" max="3" width="7.81640625" style="12" customWidth="1"/>
    <col min="4" max="4" width="7.7265625" style="12" customWidth="1"/>
    <col min="5" max="5" width="7.81640625" style="12" customWidth="1"/>
    <col min="6" max="6" width="8.81640625" style="12"/>
    <col min="7" max="7" width="12.453125" style="12" customWidth="1"/>
    <col min="8" max="8" width="20" style="12" customWidth="1"/>
    <col min="9" max="9" width="12.26953125" style="12" customWidth="1"/>
    <col min="10" max="10" width="10.81640625" style="12" customWidth="1"/>
    <col min="11" max="12" width="8.81640625" style="12"/>
    <col min="13" max="13" width="9" style="12" bestFit="1" customWidth="1"/>
    <col min="14" max="14" width="9.81640625" style="12" bestFit="1" customWidth="1"/>
    <col min="15" max="15" width="8.453125" style="12" customWidth="1"/>
    <col min="16" max="16" width="11.26953125" style="12" customWidth="1"/>
    <col min="17" max="17" width="19.1796875" style="12" customWidth="1"/>
    <col min="18" max="18" width="25.1796875" style="12" customWidth="1"/>
    <col min="19" max="16384" width="8.81640625" style="12"/>
  </cols>
  <sheetData>
    <row r="1" spans="1:18" s="25" customFormat="1" x14ac:dyDescent="0.35">
      <c r="A1" s="25" t="s">
        <v>2230</v>
      </c>
      <c r="B1" s="25" t="s">
        <v>0</v>
      </c>
      <c r="C1" s="25" t="s">
        <v>1</v>
      </c>
      <c r="D1" s="25" t="s">
        <v>2</v>
      </c>
      <c r="E1" s="25" t="s">
        <v>3</v>
      </c>
      <c r="F1" s="25" t="s">
        <v>4</v>
      </c>
      <c r="G1" s="25" t="s">
        <v>5</v>
      </c>
      <c r="H1" s="25" t="s">
        <v>6</v>
      </c>
      <c r="I1" s="25" t="s">
        <v>7</v>
      </c>
      <c r="J1" s="25" t="s">
        <v>8</v>
      </c>
      <c r="K1" s="25" t="s">
        <v>9</v>
      </c>
      <c r="L1" s="25" t="s">
        <v>10</v>
      </c>
      <c r="M1" s="25" t="s">
        <v>15</v>
      </c>
      <c r="N1" s="25" t="s">
        <v>16</v>
      </c>
      <c r="O1" s="25" t="s">
        <v>17</v>
      </c>
      <c r="P1" s="25" t="s">
        <v>18</v>
      </c>
      <c r="Q1" s="25" t="s">
        <v>19</v>
      </c>
      <c r="R1" s="25" t="s">
        <v>20</v>
      </c>
    </row>
    <row r="2" spans="1:18" x14ac:dyDescent="0.35">
      <c r="A2" s="12">
        <v>1</v>
      </c>
      <c r="B2" s="12" t="s">
        <v>21</v>
      </c>
      <c r="C2" s="12">
        <v>2024</v>
      </c>
      <c r="D2" s="12" t="s">
        <v>22</v>
      </c>
      <c r="E2" s="13" t="s">
        <v>23</v>
      </c>
      <c r="F2" s="12" t="s">
        <v>24</v>
      </c>
      <c r="G2" s="14" t="s">
        <v>25</v>
      </c>
      <c r="H2" s="14" t="s">
        <v>26</v>
      </c>
      <c r="I2" s="12">
        <v>69.166030000000006</v>
      </c>
      <c r="J2" s="12">
        <v>-104.9323</v>
      </c>
      <c r="K2" s="12" t="s">
        <v>27</v>
      </c>
      <c r="L2" s="12" t="s">
        <v>28</v>
      </c>
      <c r="N2" s="12">
        <v>0.54</v>
      </c>
      <c r="O2" s="15" t="s">
        <v>32</v>
      </c>
      <c r="P2" s="12">
        <v>0.54</v>
      </c>
      <c r="Q2" s="15" t="s">
        <v>32</v>
      </c>
      <c r="R2" s="12" t="s">
        <v>33</v>
      </c>
    </row>
    <row r="3" spans="1:18" x14ac:dyDescent="0.35">
      <c r="A3" s="12">
        <v>1</v>
      </c>
      <c r="B3" s="12" t="s">
        <v>21</v>
      </c>
      <c r="C3" s="12">
        <v>2024</v>
      </c>
      <c r="D3" s="12" t="s">
        <v>22</v>
      </c>
      <c r="E3" s="13" t="s">
        <v>23</v>
      </c>
      <c r="F3" s="12" t="s">
        <v>24</v>
      </c>
      <c r="G3" s="14" t="s">
        <v>25</v>
      </c>
      <c r="H3" s="14" t="s">
        <v>26</v>
      </c>
      <c r="I3" s="12">
        <v>69.186400000000006</v>
      </c>
      <c r="J3" s="12">
        <v>-104.843</v>
      </c>
      <c r="K3" s="12" t="s">
        <v>27</v>
      </c>
      <c r="L3" s="12" t="s">
        <v>28</v>
      </c>
      <c r="N3" s="12">
        <v>51.07</v>
      </c>
      <c r="O3" s="15" t="s">
        <v>32</v>
      </c>
      <c r="P3" s="12">
        <v>51.07</v>
      </c>
      <c r="Q3" s="15" t="s">
        <v>32</v>
      </c>
      <c r="R3" s="12" t="s">
        <v>33</v>
      </c>
    </row>
    <row r="4" spans="1:18" x14ac:dyDescent="0.35">
      <c r="A4" s="12">
        <v>1</v>
      </c>
      <c r="B4" s="12" t="s">
        <v>21</v>
      </c>
      <c r="C4" s="12">
        <v>2024</v>
      </c>
      <c r="D4" s="12" t="s">
        <v>22</v>
      </c>
      <c r="E4" s="13" t="s">
        <v>23</v>
      </c>
      <c r="F4" s="12" t="s">
        <v>24</v>
      </c>
      <c r="G4" s="14" t="s">
        <v>25</v>
      </c>
      <c r="H4" s="14" t="s">
        <v>26</v>
      </c>
      <c r="I4" s="12">
        <v>69.200500000000005</v>
      </c>
      <c r="J4" s="12">
        <v>-104.7517</v>
      </c>
      <c r="K4" s="12" t="s">
        <v>27</v>
      </c>
      <c r="L4" s="12" t="s">
        <v>28</v>
      </c>
      <c r="N4" s="12">
        <v>15.34</v>
      </c>
      <c r="O4" s="15" t="s">
        <v>32</v>
      </c>
      <c r="P4" s="12">
        <v>15.34</v>
      </c>
      <c r="Q4" s="15" t="s">
        <v>32</v>
      </c>
      <c r="R4" s="12" t="s">
        <v>33</v>
      </c>
    </row>
    <row r="5" spans="1:18" x14ac:dyDescent="0.35">
      <c r="A5" s="12">
        <v>1</v>
      </c>
      <c r="B5" s="12" t="s">
        <v>21</v>
      </c>
      <c r="C5" s="12">
        <v>2024</v>
      </c>
      <c r="D5" s="12" t="s">
        <v>22</v>
      </c>
      <c r="E5" s="13" t="s">
        <v>23</v>
      </c>
      <c r="F5" s="12" t="s">
        <v>24</v>
      </c>
      <c r="G5" s="14" t="s">
        <v>25</v>
      </c>
      <c r="H5" s="14" t="s">
        <v>26</v>
      </c>
      <c r="I5" s="12">
        <v>69.278999999999996</v>
      </c>
      <c r="J5" s="12">
        <v>-104.71384999999999</v>
      </c>
      <c r="K5" s="12" t="s">
        <v>27</v>
      </c>
      <c r="L5" s="12" t="s">
        <v>28</v>
      </c>
      <c r="N5" s="12">
        <v>3.3906999999999998</v>
      </c>
      <c r="O5" s="15" t="s">
        <v>32</v>
      </c>
      <c r="P5" s="12">
        <v>3.3906999999999998</v>
      </c>
      <c r="Q5" s="15" t="s">
        <v>32</v>
      </c>
      <c r="R5" s="12" t="s">
        <v>2206</v>
      </c>
    </row>
    <row r="6" spans="1:18" x14ac:dyDescent="0.35">
      <c r="A6" s="12">
        <v>1</v>
      </c>
      <c r="B6" s="12" t="s">
        <v>21</v>
      </c>
      <c r="C6" s="12">
        <v>2024</v>
      </c>
      <c r="D6" s="12" t="s">
        <v>22</v>
      </c>
      <c r="E6" s="13" t="s">
        <v>23</v>
      </c>
      <c r="F6" s="12" t="s">
        <v>24</v>
      </c>
      <c r="G6" s="14" t="s">
        <v>25</v>
      </c>
      <c r="H6" s="14" t="s">
        <v>34</v>
      </c>
      <c r="I6" s="12">
        <v>69.356899999999996</v>
      </c>
      <c r="J6" s="12">
        <v>-104.8158</v>
      </c>
      <c r="K6" s="12" t="s">
        <v>27</v>
      </c>
      <c r="L6" s="12" t="s">
        <v>28</v>
      </c>
      <c r="N6" s="12">
        <v>3.7974999999999999</v>
      </c>
      <c r="O6" s="15" t="s">
        <v>32</v>
      </c>
      <c r="P6" s="12">
        <v>3.7974999999999999</v>
      </c>
      <c r="Q6" s="15" t="s">
        <v>32</v>
      </c>
      <c r="R6" s="12" t="s">
        <v>2206</v>
      </c>
    </row>
    <row r="7" spans="1:18" x14ac:dyDescent="0.35">
      <c r="A7" s="12">
        <v>2</v>
      </c>
      <c r="B7" s="12" t="s">
        <v>35</v>
      </c>
      <c r="C7" s="12">
        <v>2023</v>
      </c>
      <c r="D7" s="12" t="s">
        <v>36</v>
      </c>
      <c r="E7" s="12" t="s">
        <v>37</v>
      </c>
      <c r="F7" s="12" t="s">
        <v>38</v>
      </c>
      <c r="G7" s="12" t="s">
        <v>39</v>
      </c>
      <c r="H7" s="12" t="s">
        <v>40</v>
      </c>
      <c r="I7" s="12">
        <v>69.974000000000004</v>
      </c>
      <c r="J7" s="16">
        <v>-137.24</v>
      </c>
      <c r="K7" s="12" t="s">
        <v>41</v>
      </c>
      <c r="L7" s="12" t="s">
        <v>42</v>
      </c>
      <c r="N7" s="26">
        <v>7.3</v>
      </c>
      <c r="O7" s="12" t="s">
        <v>45</v>
      </c>
      <c r="P7" s="26">
        <v>7.3</v>
      </c>
      <c r="Q7" s="12" t="s">
        <v>46</v>
      </c>
      <c r="R7" s="12" t="s">
        <v>47</v>
      </c>
    </row>
    <row r="8" spans="1:18" x14ac:dyDescent="0.35">
      <c r="A8" s="12">
        <v>2</v>
      </c>
      <c r="B8" s="12" t="s">
        <v>35</v>
      </c>
      <c r="C8" s="12">
        <v>2023</v>
      </c>
      <c r="D8" s="12" t="s">
        <v>36</v>
      </c>
      <c r="E8" s="12" t="s">
        <v>37</v>
      </c>
      <c r="F8" s="12" t="s">
        <v>38</v>
      </c>
      <c r="G8" s="12" t="s">
        <v>39</v>
      </c>
      <c r="H8" s="12" t="s">
        <v>48</v>
      </c>
      <c r="I8" s="12">
        <v>71.334999999999994</v>
      </c>
      <c r="J8" s="16">
        <v>-135.583</v>
      </c>
      <c r="K8" s="12" t="s">
        <v>41</v>
      </c>
      <c r="L8" s="12" t="s">
        <v>42</v>
      </c>
      <c r="N8" s="27">
        <v>13</v>
      </c>
      <c r="O8" s="12" t="s">
        <v>45</v>
      </c>
      <c r="P8" s="27">
        <v>13</v>
      </c>
      <c r="Q8" s="12" t="s">
        <v>46</v>
      </c>
      <c r="R8" s="12" t="s">
        <v>49</v>
      </c>
    </row>
    <row r="9" spans="1:18" x14ac:dyDescent="0.35">
      <c r="A9" s="12">
        <v>3</v>
      </c>
      <c r="B9" s="12" t="s">
        <v>50</v>
      </c>
      <c r="C9" s="12">
        <v>2023</v>
      </c>
      <c r="D9" s="12" t="s">
        <v>51</v>
      </c>
      <c r="E9" s="12" t="s">
        <v>52</v>
      </c>
      <c r="F9" s="12" t="s">
        <v>53</v>
      </c>
      <c r="G9" s="12" t="s">
        <v>54</v>
      </c>
      <c r="H9" s="12" t="s">
        <v>55</v>
      </c>
      <c r="I9" s="16">
        <v>50.113605</v>
      </c>
      <c r="J9" s="16">
        <v>-122.98065699999999</v>
      </c>
      <c r="K9" s="12" t="s">
        <v>41</v>
      </c>
      <c r="L9" s="12" t="s">
        <v>28</v>
      </c>
      <c r="M9" s="12" t="s">
        <v>57</v>
      </c>
      <c r="N9" s="12">
        <v>0.438</v>
      </c>
      <c r="O9" s="12" t="s">
        <v>58</v>
      </c>
      <c r="P9" s="12">
        <v>0.438</v>
      </c>
      <c r="Q9" s="12" t="s">
        <v>59</v>
      </c>
      <c r="R9" s="12" t="s">
        <v>60</v>
      </c>
    </row>
    <row r="10" spans="1:18" x14ac:dyDescent="0.35">
      <c r="A10" s="12">
        <v>3</v>
      </c>
      <c r="B10" s="12" t="s">
        <v>50</v>
      </c>
      <c r="C10" s="12">
        <v>2023</v>
      </c>
      <c r="D10" s="12" t="s">
        <v>51</v>
      </c>
      <c r="E10" s="12" t="s">
        <v>52</v>
      </c>
      <c r="F10" s="12" t="s">
        <v>53</v>
      </c>
      <c r="G10" s="12" t="s">
        <v>54</v>
      </c>
      <c r="H10" s="12" t="s">
        <v>61</v>
      </c>
      <c r="I10" s="16">
        <v>49.824370000000002</v>
      </c>
      <c r="J10" s="16">
        <v>-123.136726</v>
      </c>
      <c r="K10" s="12" t="s">
        <v>41</v>
      </c>
      <c r="L10" s="12" t="s">
        <v>28</v>
      </c>
      <c r="M10" s="12" t="s">
        <v>63</v>
      </c>
      <c r="N10" s="12">
        <v>0.83299999999999996</v>
      </c>
      <c r="O10" s="12" t="s">
        <v>58</v>
      </c>
      <c r="P10" s="12">
        <v>0.83299999999999996</v>
      </c>
      <c r="Q10" s="12" t="s">
        <v>59</v>
      </c>
      <c r="R10" s="12" t="s">
        <v>60</v>
      </c>
    </row>
    <row r="11" spans="1:18" x14ac:dyDescent="0.35">
      <c r="A11" s="12">
        <v>3</v>
      </c>
      <c r="B11" s="12" t="s">
        <v>50</v>
      </c>
      <c r="C11" s="12">
        <v>2023</v>
      </c>
      <c r="D11" s="12" t="s">
        <v>51</v>
      </c>
      <c r="E11" s="12" t="s">
        <v>52</v>
      </c>
      <c r="F11" s="12" t="s">
        <v>53</v>
      </c>
      <c r="G11" s="12" t="s">
        <v>54</v>
      </c>
      <c r="H11" s="12" t="s">
        <v>64</v>
      </c>
      <c r="I11" s="16">
        <v>49.056828000000003</v>
      </c>
      <c r="J11" s="16">
        <v>-121.41245499999999</v>
      </c>
      <c r="K11" s="12" t="s">
        <v>41</v>
      </c>
      <c r="L11" s="12" t="s">
        <v>28</v>
      </c>
      <c r="M11" s="12" t="s">
        <v>66</v>
      </c>
      <c r="N11" s="12">
        <v>0.64500000000000002</v>
      </c>
      <c r="O11" s="12" t="s">
        <v>58</v>
      </c>
      <c r="P11" s="12">
        <v>0.64500000000000002</v>
      </c>
      <c r="Q11" s="12" t="s">
        <v>59</v>
      </c>
      <c r="R11" s="12" t="s">
        <v>60</v>
      </c>
    </row>
    <row r="12" spans="1:18" x14ac:dyDescent="0.35">
      <c r="A12" s="12">
        <v>3</v>
      </c>
      <c r="B12" s="12" t="s">
        <v>50</v>
      </c>
      <c r="C12" s="12">
        <v>2023</v>
      </c>
      <c r="D12" s="12" t="s">
        <v>51</v>
      </c>
      <c r="E12" s="12" t="s">
        <v>52</v>
      </c>
      <c r="F12" s="12" t="s">
        <v>53</v>
      </c>
      <c r="G12" s="12" t="s">
        <v>54</v>
      </c>
      <c r="H12" s="12" t="s">
        <v>67</v>
      </c>
      <c r="I12" s="16">
        <v>48.882342999999999</v>
      </c>
      <c r="J12" s="16">
        <v>-124.31923999999999</v>
      </c>
      <c r="K12" s="12" t="s">
        <v>41</v>
      </c>
      <c r="L12" s="12" t="s">
        <v>28</v>
      </c>
      <c r="M12" s="12" t="s">
        <v>69</v>
      </c>
      <c r="N12" s="12">
        <v>0.83199999999999996</v>
      </c>
      <c r="O12" s="12" t="s">
        <v>58</v>
      </c>
      <c r="P12" s="12">
        <v>0.83199999999999996</v>
      </c>
      <c r="Q12" s="12" t="s">
        <v>59</v>
      </c>
      <c r="R12" s="12" t="s">
        <v>60</v>
      </c>
    </row>
    <row r="13" spans="1:18" x14ac:dyDescent="0.35">
      <c r="A13" s="12">
        <v>3</v>
      </c>
      <c r="B13" s="12" t="s">
        <v>50</v>
      </c>
      <c r="C13" s="12">
        <v>2023</v>
      </c>
      <c r="D13" s="12" t="s">
        <v>51</v>
      </c>
      <c r="E13" s="12" t="s">
        <v>52</v>
      </c>
      <c r="F13" s="12" t="s">
        <v>53</v>
      </c>
      <c r="G13" s="12" t="s">
        <v>54</v>
      </c>
      <c r="H13" s="12" t="s">
        <v>70</v>
      </c>
      <c r="I13" s="16">
        <v>49.045738999999998</v>
      </c>
      <c r="J13" s="16">
        <v>-121.992175</v>
      </c>
      <c r="K13" s="12" t="s">
        <v>41</v>
      </c>
      <c r="L13" s="12" t="s">
        <v>28</v>
      </c>
      <c r="M13" s="12" t="s">
        <v>72</v>
      </c>
      <c r="N13" s="12">
        <v>0.54200000000000004</v>
      </c>
      <c r="O13" s="12" t="s">
        <v>58</v>
      </c>
      <c r="P13" s="12">
        <v>0.54200000000000004</v>
      </c>
      <c r="Q13" s="12" t="s">
        <v>59</v>
      </c>
      <c r="R13" s="12" t="s">
        <v>60</v>
      </c>
    </row>
    <row r="14" spans="1:18" x14ac:dyDescent="0.35">
      <c r="A14" s="12">
        <v>3</v>
      </c>
      <c r="B14" s="12" t="s">
        <v>50</v>
      </c>
      <c r="C14" s="12">
        <v>2023</v>
      </c>
      <c r="D14" s="12" t="s">
        <v>51</v>
      </c>
      <c r="E14" s="12" t="s">
        <v>52</v>
      </c>
      <c r="F14" s="12" t="s">
        <v>53</v>
      </c>
      <c r="G14" s="12" t="s">
        <v>54</v>
      </c>
      <c r="H14" s="12" t="s">
        <v>73</v>
      </c>
      <c r="I14" s="16">
        <v>49.236262000000004</v>
      </c>
      <c r="J14" s="16">
        <v>-122.97542900000001</v>
      </c>
      <c r="K14" s="12" t="s">
        <v>41</v>
      </c>
      <c r="L14" s="12" t="s">
        <v>28</v>
      </c>
      <c r="M14" s="12" t="s">
        <v>75</v>
      </c>
      <c r="N14" s="12">
        <v>0.58399999999999996</v>
      </c>
      <c r="O14" s="12" t="s">
        <v>58</v>
      </c>
      <c r="P14" s="12">
        <v>0.58399999999999996</v>
      </c>
      <c r="Q14" s="12" t="s">
        <v>59</v>
      </c>
      <c r="R14" s="12" t="s">
        <v>60</v>
      </c>
    </row>
    <row r="15" spans="1:18" x14ac:dyDescent="0.35">
      <c r="A15" s="12">
        <v>3</v>
      </c>
      <c r="B15" s="12" t="s">
        <v>50</v>
      </c>
      <c r="C15" s="12">
        <v>2023</v>
      </c>
      <c r="D15" s="12" t="s">
        <v>51</v>
      </c>
      <c r="E15" s="12" t="s">
        <v>52</v>
      </c>
      <c r="F15" s="12" t="s">
        <v>53</v>
      </c>
      <c r="G15" s="12" t="s">
        <v>54</v>
      </c>
      <c r="H15" s="12" t="s">
        <v>76</v>
      </c>
      <c r="I15" s="12">
        <v>49.139716</v>
      </c>
      <c r="J15" s="16">
        <v>-124.67370699999999</v>
      </c>
      <c r="K15" s="12" t="s">
        <v>41</v>
      </c>
      <c r="L15" s="12" t="s">
        <v>28</v>
      </c>
      <c r="M15" s="12" t="s">
        <v>78</v>
      </c>
      <c r="N15" s="12">
        <v>0.5</v>
      </c>
      <c r="O15" s="12" t="s">
        <v>58</v>
      </c>
      <c r="P15" s="12">
        <v>0.5</v>
      </c>
      <c r="Q15" s="12" t="s">
        <v>59</v>
      </c>
      <c r="R15" s="12" t="s">
        <v>60</v>
      </c>
    </row>
    <row r="16" spans="1:18" x14ac:dyDescent="0.35">
      <c r="A16" s="12">
        <v>3</v>
      </c>
      <c r="B16" s="12" t="s">
        <v>50</v>
      </c>
      <c r="C16" s="12">
        <v>2023</v>
      </c>
      <c r="D16" s="12" t="s">
        <v>51</v>
      </c>
      <c r="E16" s="12" t="s">
        <v>52</v>
      </c>
      <c r="F16" s="12" t="s">
        <v>53</v>
      </c>
      <c r="G16" s="12" t="s">
        <v>54</v>
      </c>
      <c r="H16" s="12" t="s">
        <v>79</v>
      </c>
      <c r="I16" s="12">
        <v>48.595066000000003</v>
      </c>
      <c r="J16" s="16">
        <v>-124.19726300000001</v>
      </c>
      <c r="K16" s="12" t="s">
        <v>41</v>
      </c>
      <c r="L16" s="12" t="s">
        <v>28</v>
      </c>
      <c r="M16" s="12" t="s">
        <v>81</v>
      </c>
      <c r="N16" s="12">
        <v>0.47899999999999998</v>
      </c>
      <c r="O16" s="12" t="s">
        <v>58</v>
      </c>
      <c r="P16" s="12">
        <v>0.47899999999999998</v>
      </c>
      <c r="Q16" s="12" t="s">
        <v>59</v>
      </c>
      <c r="R16" s="12" t="s">
        <v>60</v>
      </c>
    </row>
    <row r="17" spans="1:17" x14ac:dyDescent="0.35">
      <c r="A17" s="12">
        <v>4</v>
      </c>
      <c r="B17" s="12" t="s">
        <v>82</v>
      </c>
      <c r="C17" s="12">
        <v>2022</v>
      </c>
      <c r="D17" s="12" t="s">
        <v>83</v>
      </c>
      <c r="E17" s="12" t="s">
        <v>84</v>
      </c>
      <c r="F17" s="12" t="s">
        <v>85</v>
      </c>
      <c r="G17" s="12" t="s">
        <v>86</v>
      </c>
      <c r="H17" s="12" t="s">
        <v>87</v>
      </c>
      <c r="I17" s="12">
        <v>45.198501</v>
      </c>
      <c r="J17" s="12">
        <v>-78.938886999999994</v>
      </c>
      <c r="K17" s="12" t="s">
        <v>41</v>
      </c>
      <c r="L17" s="12" t="s">
        <v>28</v>
      </c>
      <c r="M17" s="12" t="s">
        <v>91</v>
      </c>
      <c r="N17" s="12">
        <v>1.72</v>
      </c>
      <c r="O17" s="12" t="s">
        <v>92</v>
      </c>
      <c r="P17" s="12">
        <v>1.72</v>
      </c>
      <c r="Q17" s="12" t="s">
        <v>59</v>
      </c>
    </row>
    <row r="18" spans="1:17" x14ac:dyDescent="0.35">
      <c r="A18" s="12">
        <v>4</v>
      </c>
      <c r="B18" s="12" t="s">
        <v>82</v>
      </c>
      <c r="C18" s="12">
        <v>2022</v>
      </c>
      <c r="D18" s="12" t="s">
        <v>83</v>
      </c>
      <c r="E18" s="12" t="s">
        <v>84</v>
      </c>
      <c r="F18" s="12" t="s">
        <v>85</v>
      </c>
      <c r="G18" s="12" t="s">
        <v>86</v>
      </c>
      <c r="H18" s="12" t="s">
        <v>93</v>
      </c>
      <c r="I18" s="12">
        <v>45.213003</v>
      </c>
      <c r="J18" s="12">
        <v>-78.984887999999998</v>
      </c>
      <c r="K18" s="12" t="s">
        <v>41</v>
      </c>
      <c r="L18" s="12" t="s">
        <v>28</v>
      </c>
      <c r="M18" s="12" t="s">
        <v>91</v>
      </c>
      <c r="N18" s="12">
        <v>2.39</v>
      </c>
      <c r="O18" s="12" t="s">
        <v>92</v>
      </c>
      <c r="P18" s="12">
        <v>2.39</v>
      </c>
      <c r="Q18" s="12" t="s">
        <v>59</v>
      </c>
    </row>
    <row r="19" spans="1:17" x14ac:dyDescent="0.35">
      <c r="A19" s="12">
        <v>4</v>
      </c>
      <c r="B19" s="12" t="s">
        <v>82</v>
      </c>
      <c r="C19" s="12">
        <v>2022</v>
      </c>
      <c r="D19" s="12" t="s">
        <v>83</v>
      </c>
      <c r="E19" s="12" t="s">
        <v>84</v>
      </c>
      <c r="F19" s="12" t="s">
        <v>85</v>
      </c>
      <c r="G19" s="12" t="s">
        <v>86</v>
      </c>
      <c r="H19" s="12" t="s">
        <v>94</v>
      </c>
      <c r="I19" s="12">
        <v>45.150941000000003</v>
      </c>
      <c r="J19" s="12">
        <v>-79.089158999999995</v>
      </c>
      <c r="K19" s="12" t="s">
        <v>41</v>
      </c>
      <c r="L19" s="12" t="s">
        <v>28</v>
      </c>
      <c r="M19" s="12" t="s">
        <v>91</v>
      </c>
      <c r="N19" s="12">
        <v>2.21</v>
      </c>
      <c r="O19" s="12" t="s">
        <v>92</v>
      </c>
      <c r="Q19" s="12" t="s">
        <v>59</v>
      </c>
    </row>
    <row r="20" spans="1:17" x14ac:dyDescent="0.35">
      <c r="A20" s="12">
        <v>4</v>
      </c>
      <c r="B20" s="12" t="s">
        <v>82</v>
      </c>
      <c r="C20" s="12">
        <v>2022</v>
      </c>
      <c r="D20" s="12" t="s">
        <v>83</v>
      </c>
      <c r="E20" s="12" t="s">
        <v>84</v>
      </c>
      <c r="F20" s="12" t="s">
        <v>85</v>
      </c>
      <c r="G20" s="12" t="s">
        <v>86</v>
      </c>
      <c r="H20" s="12" t="s">
        <v>95</v>
      </c>
      <c r="I20" s="12">
        <v>45.170819000000002</v>
      </c>
      <c r="J20" s="12">
        <v>-79.247050000000002</v>
      </c>
      <c r="K20" s="12" t="s">
        <v>41</v>
      </c>
      <c r="L20" s="12" t="s">
        <v>28</v>
      </c>
      <c r="M20" s="12" t="s">
        <v>91</v>
      </c>
      <c r="N20" s="12">
        <v>1.84</v>
      </c>
      <c r="O20" s="12" t="s">
        <v>92</v>
      </c>
      <c r="P20" s="12">
        <v>2.21</v>
      </c>
      <c r="Q20" s="12" t="s">
        <v>59</v>
      </c>
    </row>
    <row r="21" spans="1:17" x14ac:dyDescent="0.35">
      <c r="A21" s="12">
        <v>4</v>
      </c>
      <c r="B21" s="12" t="s">
        <v>82</v>
      </c>
      <c r="C21" s="12">
        <v>2022</v>
      </c>
      <c r="D21" s="12" t="s">
        <v>83</v>
      </c>
      <c r="E21" s="12" t="s">
        <v>84</v>
      </c>
      <c r="F21" s="12" t="s">
        <v>85</v>
      </c>
      <c r="G21" s="12" t="s">
        <v>86</v>
      </c>
      <c r="H21" s="12" t="s">
        <v>96</v>
      </c>
      <c r="I21" s="12">
        <v>45.380405000000003</v>
      </c>
      <c r="J21" s="12">
        <v>-79.135715000000005</v>
      </c>
      <c r="K21" s="12" t="s">
        <v>41</v>
      </c>
      <c r="L21" s="12" t="s">
        <v>28</v>
      </c>
      <c r="M21" s="12" t="s">
        <v>91</v>
      </c>
      <c r="N21" s="12">
        <v>1.37</v>
      </c>
      <c r="O21" s="12" t="s">
        <v>92</v>
      </c>
      <c r="P21" s="12">
        <v>1.84</v>
      </c>
      <c r="Q21" s="12" t="s">
        <v>59</v>
      </c>
    </row>
    <row r="22" spans="1:17" x14ac:dyDescent="0.35">
      <c r="A22" s="12">
        <v>4</v>
      </c>
      <c r="B22" s="12" t="s">
        <v>82</v>
      </c>
      <c r="C22" s="12">
        <v>2022</v>
      </c>
      <c r="D22" s="12" t="s">
        <v>83</v>
      </c>
      <c r="E22" s="12" t="s">
        <v>84</v>
      </c>
      <c r="F22" s="12" t="s">
        <v>85</v>
      </c>
      <c r="G22" s="12" t="s">
        <v>86</v>
      </c>
      <c r="H22" s="12" t="s">
        <v>97</v>
      </c>
      <c r="I22" s="12">
        <v>45.127358999999998</v>
      </c>
      <c r="J22" s="12">
        <v>-79.104374000000007</v>
      </c>
      <c r="K22" s="12" t="s">
        <v>41</v>
      </c>
      <c r="L22" s="12" t="s">
        <v>28</v>
      </c>
      <c r="M22" s="12" t="s">
        <v>91</v>
      </c>
      <c r="N22" s="12">
        <v>1.52</v>
      </c>
      <c r="O22" s="12" t="s">
        <v>92</v>
      </c>
      <c r="P22" s="12">
        <v>1.37</v>
      </c>
      <c r="Q22" s="12" t="s">
        <v>59</v>
      </c>
    </row>
    <row r="23" spans="1:17" x14ac:dyDescent="0.35">
      <c r="A23" s="12">
        <v>4</v>
      </c>
      <c r="B23" s="12" t="s">
        <v>82</v>
      </c>
      <c r="C23" s="12">
        <v>2022</v>
      </c>
      <c r="D23" s="12" t="s">
        <v>83</v>
      </c>
      <c r="E23" s="12" t="s">
        <v>84</v>
      </c>
      <c r="F23" s="12" t="s">
        <v>85</v>
      </c>
      <c r="G23" s="12" t="s">
        <v>86</v>
      </c>
      <c r="H23" s="12" t="s">
        <v>98</v>
      </c>
      <c r="I23" s="12">
        <v>45.185063</v>
      </c>
      <c r="J23" s="12">
        <v>-78.843849000000006</v>
      </c>
      <c r="K23" s="12" t="s">
        <v>41</v>
      </c>
      <c r="L23" s="12" t="s">
        <v>28</v>
      </c>
      <c r="M23" s="12" t="s">
        <v>91</v>
      </c>
      <c r="N23" s="12">
        <v>1.02</v>
      </c>
      <c r="O23" s="12" t="s">
        <v>92</v>
      </c>
      <c r="P23" s="12">
        <v>1.52</v>
      </c>
      <c r="Q23" s="12" t="s">
        <v>59</v>
      </c>
    </row>
    <row r="24" spans="1:17" x14ac:dyDescent="0.35">
      <c r="A24" s="12">
        <v>4</v>
      </c>
      <c r="B24" s="12" t="s">
        <v>82</v>
      </c>
      <c r="C24" s="12">
        <v>2022</v>
      </c>
      <c r="D24" s="12" t="s">
        <v>83</v>
      </c>
      <c r="E24" s="12" t="s">
        <v>84</v>
      </c>
      <c r="F24" s="12" t="s">
        <v>85</v>
      </c>
      <c r="G24" s="12" t="s">
        <v>86</v>
      </c>
      <c r="H24" s="12" t="s">
        <v>99</v>
      </c>
      <c r="I24" s="12">
        <v>45.179085999999998</v>
      </c>
      <c r="J24" s="12">
        <v>-78.822264000000004</v>
      </c>
      <c r="K24" s="12" t="s">
        <v>41</v>
      </c>
      <c r="L24" s="12" t="s">
        <v>28</v>
      </c>
      <c r="M24" s="12" t="s">
        <v>91</v>
      </c>
      <c r="N24" s="12">
        <v>1.61</v>
      </c>
      <c r="O24" s="12" t="s">
        <v>92</v>
      </c>
      <c r="P24" s="12">
        <v>1.02</v>
      </c>
      <c r="Q24" s="12" t="s">
        <v>59</v>
      </c>
    </row>
    <row r="25" spans="1:17" x14ac:dyDescent="0.35">
      <c r="A25" s="12">
        <v>4</v>
      </c>
      <c r="B25" s="12" t="s">
        <v>82</v>
      </c>
      <c r="C25" s="12">
        <v>2022</v>
      </c>
      <c r="D25" s="12" t="s">
        <v>83</v>
      </c>
      <c r="E25" s="12" t="s">
        <v>84</v>
      </c>
      <c r="F25" s="12" t="s">
        <v>85</v>
      </c>
      <c r="G25" s="12" t="s">
        <v>86</v>
      </c>
      <c r="H25" s="12" t="s">
        <v>108</v>
      </c>
      <c r="I25" s="12">
        <v>45.151308999999998</v>
      </c>
      <c r="J25" s="12">
        <v>-78.849829</v>
      </c>
      <c r="K25" s="12" t="s">
        <v>41</v>
      </c>
      <c r="L25" s="12" t="s">
        <v>28</v>
      </c>
      <c r="M25" s="12" t="s">
        <v>91</v>
      </c>
      <c r="N25" s="12">
        <v>1.93</v>
      </c>
      <c r="O25" s="12" t="s">
        <v>92</v>
      </c>
      <c r="P25" s="12">
        <v>1.61</v>
      </c>
      <c r="Q25" s="12" t="s">
        <v>59</v>
      </c>
    </row>
    <row r="26" spans="1:17" x14ac:dyDescent="0.35">
      <c r="A26" s="12">
        <v>4</v>
      </c>
      <c r="B26" s="12" t="s">
        <v>82</v>
      </c>
      <c r="C26" s="12">
        <v>2022</v>
      </c>
      <c r="D26" s="12" t="s">
        <v>83</v>
      </c>
      <c r="E26" s="12" t="s">
        <v>84</v>
      </c>
      <c r="F26" s="12" t="s">
        <v>85</v>
      </c>
      <c r="G26" s="12" t="s">
        <v>86</v>
      </c>
      <c r="H26" s="12" t="s">
        <v>101</v>
      </c>
      <c r="I26" s="12">
        <v>45.189684</v>
      </c>
      <c r="J26" s="12">
        <v>-78.948820999999995</v>
      </c>
      <c r="K26" s="12" t="s">
        <v>41</v>
      </c>
      <c r="L26" s="12" t="s">
        <v>28</v>
      </c>
      <c r="M26" s="12" t="s">
        <v>91</v>
      </c>
      <c r="N26" s="12">
        <f>(1.91+1.57)/2</f>
        <v>1.74</v>
      </c>
      <c r="O26" s="12" t="s">
        <v>92</v>
      </c>
      <c r="P26" s="12">
        <v>1.93</v>
      </c>
      <c r="Q26" s="12" t="s">
        <v>59</v>
      </c>
    </row>
    <row r="27" spans="1:17" x14ac:dyDescent="0.35">
      <c r="A27" s="12">
        <v>4</v>
      </c>
      <c r="B27" s="12" t="s">
        <v>82</v>
      </c>
      <c r="C27" s="12">
        <v>2022</v>
      </c>
      <c r="D27" s="12" t="s">
        <v>83</v>
      </c>
      <c r="E27" s="12" t="s">
        <v>84</v>
      </c>
      <c r="F27" s="12" t="s">
        <v>85</v>
      </c>
      <c r="G27" s="12" t="s">
        <v>86</v>
      </c>
      <c r="H27" s="12" t="s">
        <v>102</v>
      </c>
      <c r="I27" s="12">
        <v>45.175443999999999</v>
      </c>
      <c r="J27" s="12">
        <v>-79.458128000000002</v>
      </c>
      <c r="K27" s="12" t="s">
        <v>41</v>
      </c>
      <c r="L27" s="12" t="s">
        <v>28</v>
      </c>
      <c r="M27" s="12" t="s">
        <v>91</v>
      </c>
      <c r="N27" s="12">
        <v>2.23</v>
      </c>
      <c r="O27" s="12" t="s">
        <v>92</v>
      </c>
      <c r="P27" s="12">
        <v>2.23</v>
      </c>
      <c r="Q27" s="12" t="s">
        <v>59</v>
      </c>
    </row>
    <row r="28" spans="1:17" x14ac:dyDescent="0.35">
      <c r="A28" s="12">
        <v>4</v>
      </c>
      <c r="B28" s="12" t="s">
        <v>82</v>
      </c>
      <c r="C28" s="12">
        <v>2022</v>
      </c>
      <c r="D28" s="12" t="s">
        <v>83</v>
      </c>
      <c r="E28" s="12" t="s">
        <v>84</v>
      </c>
      <c r="F28" s="12" t="s">
        <v>85</v>
      </c>
      <c r="G28" s="12" t="s">
        <v>86</v>
      </c>
      <c r="H28" s="12" t="s">
        <v>94</v>
      </c>
      <c r="I28" s="12">
        <v>45.150941000000003</v>
      </c>
      <c r="J28" s="12">
        <v>-79.089158999999995</v>
      </c>
      <c r="K28" s="12" t="s">
        <v>103</v>
      </c>
      <c r="L28" s="12" t="s">
        <v>28</v>
      </c>
      <c r="M28" s="12" t="s">
        <v>91</v>
      </c>
      <c r="N28" s="12">
        <v>2.25</v>
      </c>
      <c r="O28" s="12" t="s">
        <v>106</v>
      </c>
      <c r="P28" s="12">
        <f t="shared" ref="P28:P34" si="0">N28*1000</f>
        <v>2250</v>
      </c>
      <c r="Q28" s="12" t="s">
        <v>107</v>
      </c>
    </row>
    <row r="29" spans="1:17" x14ac:dyDescent="0.35">
      <c r="A29" s="12">
        <v>4</v>
      </c>
      <c r="B29" s="12" t="s">
        <v>82</v>
      </c>
      <c r="C29" s="12">
        <v>2022</v>
      </c>
      <c r="D29" s="12" t="s">
        <v>83</v>
      </c>
      <c r="E29" s="12" t="s">
        <v>84</v>
      </c>
      <c r="F29" s="12" t="s">
        <v>85</v>
      </c>
      <c r="G29" s="12" t="s">
        <v>86</v>
      </c>
      <c r="H29" s="12" t="s">
        <v>95</v>
      </c>
      <c r="I29" s="12">
        <v>45.170819000000002</v>
      </c>
      <c r="J29" s="12">
        <v>-79.247050000000002</v>
      </c>
      <c r="K29" s="12" t="s">
        <v>103</v>
      </c>
      <c r="L29" s="12" t="s">
        <v>28</v>
      </c>
      <c r="M29" s="12" t="s">
        <v>91</v>
      </c>
      <c r="N29" s="12">
        <v>1.84</v>
      </c>
      <c r="O29" s="12" t="s">
        <v>106</v>
      </c>
      <c r="P29" s="12">
        <f t="shared" si="0"/>
        <v>1840</v>
      </c>
      <c r="Q29" s="12" t="s">
        <v>107</v>
      </c>
    </row>
    <row r="30" spans="1:17" x14ac:dyDescent="0.35">
      <c r="A30" s="12">
        <v>4</v>
      </c>
      <c r="B30" s="12" t="s">
        <v>82</v>
      </c>
      <c r="C30" s="12">
        <v>2022</v>
      </c>
      <c r="D30" s="12" t="s">
        <v>83</v>
      </c>
      <c r="E30" s="12" t="s">
        <v>84</v>
      </c>
      <c r="F30" s="12" t="s">
        <v>85</v>
      </c>
      <c r="G30" s="12" t="s">
        <v>86</v>
      </c>
      <c r="H30" s="12" t="s">
        <v>96</v>
      </c>
      <c r="I30" s="12">
        <v>45.380405000000003</v>
      </c>
      <c r="J30" s="12">
        <v>-79.135715000000005</v>
      </c>
      <c r="K30" s="12" t="s">
        <v>103</v>
      </c>
      <c r="L30" s="12" t="s">
        <v>28</v>
      </c>
      <c r="M30" s="12" t="s">
        <v>91</v>
      </c>
      <c r="N30" s="12">
        <v>3.22</v>
      </c>
      <c r="O30" s="12" t="s">
        <v>106</v>
      </c>
      <c r="P30" s="12">
        <f t="shared" si="0"/>
        <v>3220</v>
      </c>
      <c r="Q30" s="12" t="s">
        <v>107</v>
      </c>
    </row>
    <row r="31" spans="1:17" x14ac:dyDescent="0.35">
      <c r="A31" s="12">
        <v>4</v>
      </c>
      <c r="B31" s="12" t="s">
        <v>82</v>
      </c>
      <c r="C31" s="12">
        <v>2022</v>
      </c>
      <c r="D31" s="12" t="s">
        <v>83</v>
      </c>
      <c r="E31" s="12" t="s">
        <v>84</v>
      </c>
      <c r="F31" s="12" t="s">
        <v>85</v>
      </c>
      <c r="G31" s="12" t="s">
        <v>86</v>
      </c>
      <c r="H31" s="12" t="s">
        <v>98</v>
      </c>
      <c r="I31" s="12">
        <v>45.185063</v>
      </c>
      <c r="J31" s="12">
        <v>-78.843849000000006</v>
      </c>
      <c r="K31" s="12" t="s">
        <v>103</v>
      </c>
      <c r="L31" s="12" t="s">
        <v>28</v>
      </c>
      <c r="M31" s="12" t="s">
        <v>91</v>
      </c>
      <c r="N31" s="12">
        <v>2</v>
      </c>
      <c r="O31" s="12" t="s">
        <v>106</v>
      </c>
      <c r="P31" s="12">
        <f t="shared" si="0"/>
        <v>2000</v>
      </c>
      <c r="Q31" s="12" t="s">
        <v>107</v>
      </c>
    </row>
    <row r="32" spans="1:17" x14ac:dyDescent="0.35">
      <c r="A32" s="12">
        <v>4</v>
      </c>
      <c r="B32" s="12" t="s">
        <v>82</v>
      </c>
      <c r="C32" s="12">
        <v>2022</v>
      </c>
      <c r="D32" s="12" t="s">
        <v>83</v>
      </c>
      <c r="E32" s="12" t="s">
        <v>84</v>
      </c>
      <c r="F32" s="12" t="s">
        <v>85</v>
      </c>
      <c r="G32" s="12" t="s">
        <v>86</v>
      </c>
      <c r="H32" s="12" t="s">
        <v>99</v>
      </c>
      <c r="I32" s="12">
        <v>45.179085999999998</v>
      </c>
      <c r="J32" s="12">
        <v>-78.822264000000004</v>
      </c>
      <c r="K32" s="12" t="s">
        <v>103</v>
      </c>
      <c r="L32" s="12" t="s">
        <v>28</v>
      </c>
      <c r="M32" s="12" t="s">
        <v>91</v>
      </c>
      <c r="N32" s="12">
        <v>1.73</v>
      </c>
      <c r="O32" s="12" t="s">
        <v>106</v>
      </c>
      <c r="P32" s="12">
        <f t="shared" si="0"/>
        <v>1730</v>
      </c>
      <c r="Q32" s="12" t="s">
        <v>107</v>
      </c>
    </row>
    <row r="33" spans="1:18" x14ac:dyDescent="0.35">
      <c r="A33" s="12">
        <v>4</v>
      </c>
      <c r="B33" s="12" t="s">
        <v>82</v>
      </c>
      <c r="C33" s="12">
        <v>2022</v>
      </c>
      <c r="D33" s="12" t="s">
        <v>83</v>
      </c>
      <c r="E33" s="12" t="s">
        <v>84</v>
      </c>
      <c r="F33" s="12" t="s">
        <v>85</v>
      </c>
      <c r="G33" s="12" t="s">
        <v>86</v>
      </c>
      <c r="H33" s="12" t="s">
        <v>108</v>
      </c>
      <c r="I33" s="12">
        <v>45.151308999999998</v>
      </c>
      <c r="J33" s="12">
        <v>-78.849829</v>
      </c>
      <c r="K33" s="12" t="s">
        <v>103</v>
      </c>
      <c r="L33" s="12" t="s">
        <v>28</v>
      </c>
      <c r="M33" s="12" t="s">
        <v>91</v>
      </c>
      <c r="N33" s="12">
        <v>2.73</v>
      </c>
      <c r="O33" s="12" t="s">
        <v>106</v>
      </c>
      <c r="P33" s="12">
        <f t="shared" si="0"/>
        <v>2730</v>
      </c>
      <c r="Q33" s="12" t="s">
        <v>107</v>
      </c>
    </row>
    <row r="34" spans="1:18" x14ac:dyDescent="0.35">
      <c r="A34" s="12">
        <v>4</v>
      </c>
      <c r="B34" s="12" t="s">
        <v>82</v>
      </c>
      <c r="C34" s="12">
        <v>2022</v>
      </c>
      <c r="D34" s="12" t="s">
        <v>83</v>
      </c>
      <c r="E34" s="12" t="s">
        <v>84</v>
      </c>
      <c r="F34" s="12" t="s">
        <v>85</v>
      </c>
      <c r="G34" s="12" t="s">
        <v>86</v>
      </c>
      <c r="H34" s="12" t="s">
        <v>109</v>
      </c>
      <c r="I34" s="12">
        <v>45.204383999999997</v>
      </c>
      <c r="J34" s="12">
        <v>-79.549036999999998</v>
      </c>
      <c r="K34" s="12" t="s">
        <v>103</v>
      </c>
      <c r="L34" s="12" t="s">
        <v>28</v>
      </c>
      <c r="M34" s="12" t="s">
        <v>91</v>
      </c>
      <c r="N34" s="12">
        <v>1.55</v>
      </c>
      <c r="O34" s="12" t="s">
        <v>106</v>
      </c>
      <c r="P34" s="12">
        <f t="shared" si="0"/>
        <v>1550</v>
      </c>
      <c r="Q34" s="12" t="s">
        <v>107</v>
      </c>
    </row>
    <row r="35" spans="1:18" x14ac:dyDescent="0.35">
      <c r="A35" s="12">
        <v>5</v>
      </c>
      <c r="B35" s="12" t="s">
        <v>110</v>
      </c>
      <c r="C35" s="12">
        <v>2021</v>
      </c>
      <c r="D35" s="12" t="s">
        <v>36</v>
      </c>
      <c r="E35" s="12" t="s">
        <v>111</v>
      </c>
      <c r="F35" s="12" t="s">
        <v>112</v>
      </c>
      <c r="G35" s="12" t="s">
        <v>39</v>
      </c>
      <c r="H35" s="12" t="s">
        <v>113</v>
      </c>
      <c r="I35" s="12">
        <v>74.500399999999999</v>
      </c>
      <c r="J35" s="16">
        <v>-80.548000000000002</v>
      </c>
      <c r="K35" s="12" t="s">
        <v>41</v>
      </c>
      <c r="L35" s="12" t="s">
        <v>42</v>
      </c>
      <c r="N35" s="28">
        <v>7.0000000000000001E-3</v>
      </c>
      <c r="O35" s="12" t="s">
        <v>116</v>
      </c>
      <c r="P35" s="28">
        <v>7.0000000000000001E-3</v>
      </c>
      <c r="Q35" s="12" t="s">
        <v>59</v>
      </c>
      <c r="R35" s="12" t="s">
        <v>117</v>
      </c>
    </row>
    <row r="36" spans="1:18" x14ac:dyDescent="0.35">
      <c r="A36" s="12">
        <v>5</v>
      </c>
      <c r="B36" s="12" t="s">
        <v>110</v>
      </c>
      <c r="C36" s="12">
        <v>2021</v>
      </c>
      <c r="D36" s="12" t="s">
        <v>36</v>
      </c>
      <c r="E36" s="12" t="s">
        <v>111</v>
      </c>
      <c r="F36" s="12" t="s">
        <v>112</v>
      </c>
      <c r="G36" s="12" t="s">
        <v>39</v>
      </c>
      <c r="H36" s="12" t="s">
        <v>118</v>
      </c>
      <c r="I36" s="12">
        <v>76.455359999999999</v>
      </c>
      <c r="J36" s="16">
        <v>-78.729200000000006</v>
      </c>
      <c r="K36" s="12" t="s">
        <v>41</v>
      </c>
      <c r="L36" s="12" t="s">
        <v>42</v>
      </c>
      <c r="N36" s="28">
        <v>7.0000000000000001E-3</v>
      </c>
      <c r="O36" s="12" t="s">
        <v>116</v>
      </c>
      <c r="P36" s="28">
        <v>7.0000000000000001E-3</v>
      </c>
      <c r="Q36" s="12" t="s">
        <v>59</v>
      </c>
      <c r="R36" s="12" t="s">
        <v>117</v>
      </c>
    </row>
    <row r="37" spans="1:18" x14ac:dyDescent="0.35">
      <c r="A37" s="12">
        <v>5</v>
      </c>
      <c r="B37" s="12" t="s">
        <v>110</v>
      </c>
      <c r="C37" s="12">
        <v>2021</v>
      </c>
      <c r="D37" s="12" t="s">
        <v>36</v>
      </c>
      <c r="E37" s="12" t="s">
        <v>111</v>
      </c>
      <c r="F37" s="12" t="s">
        <v>112</v>
      </c>
      <c r="G37" s="12" t="s">
        <v>39</v>
      </c>
      <c r="H37" s="12" t="s">
        <v>119</v>
      </c>
      <c r="I37" s="12">
        <v>77.165080000000003</v>
      </c>
      <c r="J37" s="16">
        <v>-76.043899999999994</v>
      </c>
      <c r="K37" s="12" t="s">
        <v>41</v>
      </c>
      <c r="L37" s="12" t="s">
        <v>42</v>
      </c>
      <c r="N37" s="28">
        <v>0</v>
      </c>
      <c r="O37" s="12" t="s">
        <v>116</v>
      </c>
      <c r="P37" s="28">
        <v>0</v>
      </c>
      <c r="Q37" s="12" t="s">
        <v>59</v>
      </c>
      <c r="R37" s="12" t="s">
        <v>117</v>
      </c>
    </row>
    <row r="38" spans="1:18" x14ac:dyDescent="0.35">
      <c r="A38" s="12">
        <v>5</v>
      </c>
      <c r="B38" s="12" t="s">
        <v>110</v>
      </c>
      <c r="C38" s="12">
        <v>2021</v>
      </c>
      <c r="D38" s="12" t="s">
        <v>36</v>
      </c>
      <c r="E38" s="12" t="s">
        <v>111</v>
      </c>
      <c r="F38" s="12" t="s">
        <v>112</v>
      </c>
      <c r="G38" s="12" t="s">
        <v>39</v>
      </c>
      <c r="H38" s="12" t="s">
        <v>120</v>
      </c>
      <c r="I38" s="12">
        <v>76.329400000000007</v>
      </c>
      <c r="J38" s="16">
        <v>-71.137</v>
      </c>
      <c r="K38" s="12" t="s">
        <v>41</v>
      </c>
      <c r="L38" s="12" t="s">
        <v>42</v>
      </c>
      <c r="N38" s="28">
        <v>0.28199999999999997</v>
      </c>
      <c r="O38" s="12" t="s">
        <v>116</v>
      </c>
      <c r="P38" s="28">
        <v>0.28199999999999997</v>
      </c>
      <c r="Q38" s="12" t="s">
        <v>59</v>
      </c>
      <c r="R38" s="12" t="s">
        <v>117</v>
      </c>
    </row>
    <row r="39" spans="1:18" x14ac:dyDescent="0.35">
      <c r="A39" s="12">
        <v>5</v>
      </c>
      <c r="B39" s="12" t="s">
        <v>110</v>
      </c>
      <c r="C39" s="12">
        <v>2021</v>
      </c>
      <c r="D39" s="12" t="s">
        <v>36</v>
      </c>
      <c r="E39" s="12" t="s">
        <v>111</v>
      </c>
      <c r="F39" s="12" t="s">
        <v>112</v>
      </c>
      <c r="G39" s="12" t="s">
        <v>39</v>
      </c>
      <c r="H39" s="12" t="s">
        <v>121</v>
      </c>
      <c r="I39" s="12">
        <v>70.935360000000003</v>
      </c>
      <c r="J39" s="16">
        <v>-66.296800000000005</v>
      </c>
      <c r="K39" s="12" t="s">
        <v>41</v>
      </c>
      <c r="L39" s="12" t="s">
        <v>42</v>
      </c>
      <c r="N39" s="28">
        <v>3.5000000000000003E-2</v>
      </c>
      <c r="O39" s="12" t="s">
        <v>116</v>
      </c>
      <c r="P39" s="28">
        <v>3.5000000000000003E-2</v>
      </c>
      <c r="Q39" s="12" t="s">
        <v>59</v>
      </c>
      <c r="R39" s="12" t="s">
        <v>117</v>
      </c>
    </row>
    <row r="40" spans="1:18" x14ac:dyDescent="0.35">
      <c r="A40" s="12">
        <v>5</v>
      </c>
      <c r="B40" s="12" t="s">
        <v>110</v>
      </c>
      <c r="C40" s="12">
        <v>2021</v>
      </c>
      <c r="D40" s="12" t="s">
        <v>36</v>
      </c>
      <c r="E40" s="12" t="s">
        <v>111</v>
      </c>
      <c r="F40" s="12" t="s">
        <v>112</v>
      </c>
      <c r="G40" s="12" t="s">
        <v>39</v>
      </c>
      <c r="H40" s="12" t="s">
        <v>122</v>
      </c>
      <c r="I40" s="12">
        <v>69.063100000000006</v>
      </c>
      <c r="J40" s="16">
        <v>-64.965800000000002</v>
      </c>
      <c r="K40" s="12" t="s">
        <v>41</v>
      </c>
      <c r="L40" s="12" t="s">
        <v>42</v>
      </c>
      <c r="N40" s="28">
        <v>1.7000000000000001E-2</v>
      </c>
      <c r="O40" s="12" t="s">
        <v>116</v>
      </c>
      <c r="P40" s="28">
        <v>1.7000000000000001E-2</v>
      </c>
      <c r="Q40" s="12" t="s">
        <v>59</v>
      </c>
      <c r="R40" s="12" t="s">
        <v>117</v>
      </c>
    </row>
    <row r="41" spans="1:18" x14ac:dyDescent="0.35">
      <c r="A41" s="12">
        <v>5</v>
      </c>
      <c r="B41" s="12" t="s">
        <v>110</v>
      </c>
      <c r="C41" s="12">
        <v>2021</v>
      </c>
      <c r="D41" s="12" t="s">
        <v>36</v>
      </c>
      <c r="E41" s="12" t="s">
        <v>111</v>
      </c>
      <c r="F41" s="12" t="s">
        <v>112</v>
      </c>
      <c r="G41" s="12" t="s">
        <v>39</v>
      </c>
      <c r="H41" s="12" t="s">
        <v>123</v>
      </c>
      <c r="I41" s="12">
        <v>67.479039999999998</v>
      </c>
      <c r="J41" s="16">
        <v>-63.506999999999998</v>
      </c>
      <c r="K41" s="12" t="s">
        <v>41</v>
      </c>
      <c r="L41" s="12" t="s">
        <v>42</v>
      </c>
      <c r="N41" s="28">
        <v>0</v>
      </c>
      <c r="O41" s="12" t="s">
        <v>116</v>
      </c>
      <c r="P41" s="28">
        <v>0</v>
      </c>
      <c r="Q41" s="12" t="s">
        <v>59</v>
      </c>
      <c r="R41" s="12" t="s">
        <v>117</v>
      </c>
    </row>
    <row r="42" spans="1:18" x14ac:dyDescent="0.35">
      <c r="A42" s="12">
        <v>5</v>
      </c>
      <c r="B42" s="12" t="s">
        <v>110</v>
      </c>
      <c r="C42" s="12">
        <v>2021</v>
      </c>
      <c r="D42" s="12" t="s">
        <v>36</v>
      </c>
      <c r="E42" s="12" t="s">
        <v>111</v>
      </c>
      <c r="F42" s="12" t="s">
        <v>112</v>
      </c>
      <c r="G42" s="12" t="s">
        <v>39</v>
      </c>
      <c r="H42" s="12" t="s">
        <v>124</v>
      </c>
      <c r="I42" s="12">
        <v>66.560149999999993</v>
      </c>
      <c r="J42" s="16">
        <v>-61.665999999999997</v>
      </c>
      <c r="K42" s="12" t="s">
        <v>41</v>
      </c>
      <c r="L42" s="12" t="s">
        <v>42</v>
      </c>
      <c r="N42" s="28">
        <v>0</v>
      </c>
      <c r="O42" s="12" t="s">
        <v>116</v>
      </c>
      <c r="P42" s="28">
        <v>0</v>
      </c>
      <c r="Q42" s="12" t="s">
        <v>59</v>
      </c>
      <c r="R42" s="12" t="s">
        <v>117</v>
      </c>
    </row>
    <row r="43" spans="1:18" x14ac:dyDescent="0.35">
      <c r="A43" s="12">
        <v>5</v>
      </c>
      <c r="B43" s="12" t="s">
        <v>110</v>
      </c>
      <c r="C43" s="12">
        <v>2021</v>
      </c>
      <c r="D43" s="12" t="s">
        <v>36</v>
      </c>
      <c r="E43" s="12" t="s">
        <v>111</v>
      </c>
      <c r="F43" s="12" t="s">
        <v>112</v>
      </c>
      <c r="G43" s="12" t="s">
        <v>39</v>
      </c>
      <c r="H43" s="12" t="s">
        <v>125</v>
      </c>
      <c r="I43" s="12">
        <v>66.422049999999999</v>
      </c>
      <c r="J43" s="16">
        <v>-61.273400000000002</v>
      </c>
      <c r="K43" s="12" t="s">
        <v>41</v>
      </c>
      <c r="L43" s="12" t="s">
        <v>42</v>
      </c>
      <c r="N43" s="28">
        <v>5.0999999999999997E-2</v>
      </c>
      <c r="O43" s="12" t="s">
        <v>116</v>
      </c>
      <c r="P43" s="28">
        <v>5.0999999999999997E-2</v>
      </c>
      <c r="Q43" s="12" t="s">
        <v>59</v>
      </c>
      <c r="R43" s="12" t="s">
        <v>117</v>
      </c>
    </row>
    <row r="44" spans="1:18" x14ac:dyDescent="0.35">
      <c r="A44" s="12">
        <v>5</v>
      </c>
      <c r="B44" s="12" t="s">
        <v>110</v>
      </c>
      <c r="C44" s="12">
        <v>2021</v>
      </c>
      <c r="D44" s="12" t="s">
        <v>36</v>
      </c>
      <c r="E44" s="12" t="s">
        <v>111</v>
      </c>
      <c r="F44" s="12" t="s">
        <v>112</v>
      </c>
      <c r="G44" s="12" t="s">
        <v>39</v>
      </c>
      <c r="H44" s="12" t="s">
        <v>126</v>
      </c>
      <c r="I44" s="12">
        <v>72.750069999999994</v>
      </c>
      <c r="J44" s="16">
        <v>-96.141000000000005</v>
      </c>
      <c r="K44" s="12" t="s">
        <v>41</v>
      </c>
      <c r="L44" s="12" t="s">
        <v>42</v>
      </c>
      <c r="N44" s="28">
        <v>4.0000000000000001E-3</v>
      </c>
      <c r="O44" s="12" t="s">
        <v>116</v>
      </c>
      <c r="P44" s="28">
        <v>4.0000000000000001E-3</v>
      </c>
      <c r="Q44" s="12" t="s">
        <v>59</v>
      </c>
      <c r="R44" s="12" t="s">
        <v>117</v>
      </c>
    </row>
    <row r="45" spans="1:18" x14ac:dyDescent="0.35">
      <c r="A45" s="12">
        <v>5</v>
      </c>
      <c r="B45" s="12" t="s">
        <v>110</v>
      </c>
      <c r="C45" s="12">
        <v>2021</v>
      </c>
      <c r="D45" s="12" t="s">
        <v>36</v>
      </c>
      <c r="E45" s="12" t="s">
        <v>111</v>
      </c>
      <c r="F45" s="12" t="s">
        <v>112</v>
      </c>
      <c r="G45" s="12" t="s">
        <v>39</v>
      </c>
      <c r="H45" s="12" t="s">
        <v>127</v>
      </c>
      <c r="I45" s="12">
        <v>71.415530000000004</v>
      </c>
      <c r="J45" s="16">
        <v>-97.897000000000006</v>
      </c>
      <c r="K45" s="12" t="s">
        <v>41</v>
      </c>
      <c r="L45" s="12" t="s">
        <v>42</v>
      </c>
      <c r="N45" s="28">
        <v>1.4999999999999999E-2</v>
      </c>
      <c r="O45" s="12" t="s">
        <v>116</v>
      </c>
      <c r="P45" s="28">
        <v>1.4999999999999999E-2</v>
      </c>
      <c r="Q45" s="12" t="s">
        <v>59</v>
      </c>
      <c r="R45" s="12" t="s">
        <v>117</v>
      </c>
    </row>
    <row r="46" spans="1:18" x14ac:dyDescent="0.35">
      <c r="A46" s="12">
        <v>5</v>
      </c>
      <c r="B46" s="12" t="s">
        <v>110</v>
      </c>
      <c r="C46" s="12">
        <v>2021</v>
      </c>
      <c r="D46" s="12" t="s">
        <v>36</v>
      </c>
      <c r="E46" s="12" t="s">
        <v>111</v>
      </c>
      <c r="F46" s="12" t="s">
        <v>112</v>
      </c>
      <c r="G46" s="12" t="s">
        <v>39</v>
      </c>
      <c r="H46" s="12" t="s">
        <v>128</v>
      </c>
      <c r="I46" s="12">
        <v>73.006410000000002</v>
      </c>
      <c r="J46" s="16">
        <v>-96.238500000000002</v>
      </c>
      <c r="K46" s="12" t="s">
        <v>41</v>
      </c>
      <c r="L46" s="12" t="s">
        <v>42</v>
      </c>
      <c r="N46" s="28">
        <v>0</v>
      </c>
      <c r="O46" s="12" t="s">
        <v>116</v>
      </c>
      <c r="P46" s="28">
        <v>0</v>
      </c>
      <c r="Q46" s="12" t="s">
        <v>59</v>
      </c>
      <c r="R46" s="12" t="s">
        <v>117</v>
      </c>
    </row>
    <row r="47" spans="1:18" x14ac:dyDescent="0.35">
      <c r="A47" s="12">
        <v>5</v>
      </c>
      <c r="B47" s="12" t="s">
        <v>110</v>
      </c>
      <c r="C47" s="12">
        <v>2021</v>
      </c>
      <c r="D47" s="12" t="s">
        <v>36</v>
      </c>
      <c r="E47" s="12" t="s">
        <v>111</v>
      </c>
      <c r="F47" s="12" t="s">
        <v>112</v>
      </c>
      <c r="G47" s="12" t="s">
        <v>39</v>
      </c>
      <c r="H47" s="12" t="s">
        <v>129</v>
      </c>
      <c r="I47" s="12">
        <v>72.556929999999994</v>
      </c>
      <c r="J47" s="16">
        <v>-90.267600000000002</v>
      </c>
      <c r="K47" s="12" t="s">
        <v>41</v>
      </c>
      <c r="L47" s="12" t="s">
        <v>42</v>
      </c>
      <c r="N47" s="12">
        <v>6.0000000000000001E-3</v>
      </c>
      <c r="O47" s="12" t="s">
        <v>116</v>
      </c>
      <c r="P47" s="12">
        <v>6.0000000000000001E-3</v>
      </c>
      <c r="Q47" s="12" t="s">
        <v>59</v>
      </c>
      <c r="R47" s="12" t="s">
        <v>117</v>
      </c>
    </row>
    <row r="48" spans="1:18" x14ac:dyDescent="0.35">
      <c r="A48" s="12">
        <v>5</v>
      </c>
      <c r="B48" s="12" t="s">
        <v>110</v>
      </c>
      <c r="C48" s="12">
        <v>2021</v>
      </c>
      <c r="D48" s="12" t="s">
        <v>36</v>
      </c>
      <c r="E48" s="12" t="s">
        <v>111</v>
      </c>
      <c r="F48" s="12" t="s">
        <v>112</v>
      </c>
      <c r="G48" s="12" t="s">
        <v>39</v>
      </c>
      <c r="H48" s="12" t="s">
        <v>130</v>
      </c>
      <c r="I48" s="12">
        <v>68.671400000000006</v>
      </c>
      <c r="J48" s="16">
        <v>-101.29900000000001</v>
      </c>
      <c r="K48" s="12" t="s">
        <v>41</v>
      </c>
      <c r="L48" s="12" t="s">
        <v>42</v>
      </c>
      <c r="N48" s="28">
        <v>6.2E-2</v>
      </c>
      <c r="O48" s="12" t="s">
        <v>116</v>
      </c>
      <c r="P48" s="28">
        <v>6.2E-2</v>
      </c>
      <c r="Q48" s="12" t="s">
        <v>59</v>
      </c>
      <c r="R48" s="12" t="s">
        <v>117</v>
      </c>
    </row>
    <row r="49" spans="1:18" x14ac:dyDescent="0.35">
      <c r="A49" s="12">
        <v>5</v>
      </c>
      <c r="B49" s="12" t="s">
        <v>110</v>
      </c>
      <c r="C49" s="12">
        <v>2021</v>
      </c>
      <c r="D49" s="12" t="s">
        <v>36</v>
      </c>
      <c r="E49" s="12" t="s">
        <v>111</v>
      </c>
      <c r="F49" s="12" t="s">
        <v>112</v>
      </c>
      <c r="G49" s="12" t="s">
        <v>39</v>
      </c>
      <c r="H49" s="12" t="s">
        <v>131</v>
      </c>
      <c r="I49" s="12">
        <v>68.553669999999997</v>
      </c>
      <c r="J49" s="16">
        <v>-95.8583</v>
      </c>
      <c r="K49" s="12" t="s">
        <v>41</v>
      </c>
      <c r="L49" s="12" t="s">
        <v>42</v>
      </c>
      <c r="N49" s="28">
        <v>2E-3</v>
      </c>
      <c r="O49" s="12" t="s">
        <v>116</v>
      </c>
      <c r="P49" s="28">
        <v>2E-3</v>
      </c>
      <c r="Q49" s="12" t="s">
        <v>59</v>
      </c>
      <c r="R49" s="12" t="s">
        <v>117</v>
      </c>
    </row>
    <row r="50" spans="1:18" x14ac:dyDescent="0.35">
      <c r="A50" s="12">
        <v>5</v>
      </c>
      <c r="B50" s="12" t="s">
        <v>110</v>
      </c>
      <c r="C50" s="12">
        <v>2021</v>
      </c>
      <c r="D50" s="12" t="s">
        <v>36</v>
      </c>
      <c r="E50" s="12" t="s">
        <v>111</v>
      </c>
      <c r="F50" s="12" t="s">
        <v>112</v>
      </c>
      <c r="G50" s="12" t="s">
        <v>39</v>
      </c>
      <c r="H50" s="12" t="s">
        <v>132</v>
      </c>
      <c r="I50" s="12">
        <v>69.434889999999996</v>
      </c>
      <c r="J50" s="16">
        <v>-100.116</v>
      </c>
      <c r="K50" s="12" t="s">
        <v>41</v>
      </c>
      <c r="L50" s="12" t="s">
        <v>42</v>
      </c>
      <c r="N50" s="28">
        <v>1.4E-2</v>
      </c>
      <c r="O50" s="12" t="s">
        <v>116</v>
      </c>
      <c r="P50" s="28">
        <v>1.4E-2</v>
      </c>
      <c r="Q50" s="12" t="s">
        <v>59</v>
      </c>
      <c r="R50" s="12" t="s">
        <v>117</v>
      </c>
    </row>
    <row r="51" spans="1:18" x14ac:dyDescent="0.35">
      <c r="A51" s="12">
        <v>7</v>
      </c>
      <c r="B51" s="12" t="s">
        <v>133</v>
      </c>
      <c r="C51" s="12">
        <v>2011</v>
      </c>
      <c r="D51" s="12" t="s">
        <v>134</v>
      </c>
      <c r="E51" s="12" t="s">
        <v>135</v>
      </c>
      <c r="F51" s="12" t="s">
        <v>136</v>
      </c>
      <c r="G51" s="12" t="s">
        <v>86</v>
      </c>
      <c r="H51" s="12" t="s">
        <v>137</v>
      </c>
      <c r="I51" s="12">
        <v>44.800888</v>
      </c>
      <c r="J51" s="12">
        <v>-82.371915000000001</v>
      </c>
      <c r="K51" s="12" t="s">
        <v>138</v>
      </c>
      <c r="L51" s="12" t="s">
        <v>28</v>
      </c>
      <c r="M51" s="12" t="s">
        <v>142</v>
      </c>
      <c r="N51" s="12">
        <v>3209</v>
      </c>
      <c r="O51" s="12" t="s">
        <v>143</v>
      </c>
      <c r="P51" s="12">
        <v>37.799999999999997</v>
      </c>
      <c r="Q51" s="12" t="s">
        <v>144</v>
      </c>
    </row>
    <row r="52" spans="1:18" x14ac:dyDescent="0.35">
      <c r="A52" s="12">
        <v>7</v>
      </c>
      <c r="B52" s="12" t="s">
        <v>133</v>
      </c>
      <c r="C52" s="12">
        <v>2011</v>
      </c>
      <c r="D52" s="12" t="s">
        <v>134</v>
      </c>
      <c r="E52" s="12" t="s">
        <v>135</v>
      </c>
      <c r="F52" s="12" t="s">
        <v>136</v>
      </c>
      <c r="G52" s="12" t="s">
        <v>86</v>
      </c>
      <c r="H52" s="12" t="s">
        <v>145</v>
      </c>
      <c r="I52" s="12">
        <v>43.851948</v>
      </c>
      <c r="J52" s="12">
        <v>-82.634641000000002</v>
      </c>
      <c r="K52" s="12" t="s">
        <v>138</v>
      </c>
      <c r="L52" s="12" t="s">
        <v>28</v>
      </c>
      <c r="M52" s="12" t="s">
        <v>142</v>
      </c>
      <c r="N52" s="12">
        <v>3210</v>
      </c>
      <c r="O52" s="12" t="s">
        <v>146</v>
      </c>
      <c r="P52" s="12">
        <v>38.799999999999997</v>
      </c>
      <c r="Q52" s="12" t="s">
        <v>144</v>
      </c>
    </row>
    <row r="53" spans="1:18" x14ac:dyDescent="0.35">
      <c r="A53" s="12">
        <v>7</v>
      </c>
      <c r="B53" s="12" t="s">
        <v>133</v>
      </c>
      <c r="C53" s="12">
        <v>2011</v>
      </c>
      <c r="D53" s="12" t="s">
        <v>134</v>
      </c>
      <c r="E53" s="12" t="s">
        <v>135</v>
      </c>
      <c r="F53" s="12" t="s">
        <v>136</v>
      </c>
      <c r="G53" s="12" t="s">
        <v>86</v>
      </c>
      <c r="H53" s="12" t="s">
        <v>147</v>
      </c>
      <c r="I53" s="12">
        <v>43.041887000000003</v>
      </c>
      <c r="J53" s="12">
        <v>-82.374251999999998</v>
      </c>
      <c r="K53" s="12" t="s">
        <v>138</v>
      </c>
      <c r="L53" s="12" t="s">
        <v>28</v>
      </c>
      <c r="M53" s="12" t="s">
        <v>142</v>
      </c>
      <c r="N53" s="12">
        <v>3211</v>
      </c>
      <c r="O53" s="12" t="s">
        <v>148</v>
      </c>
      <c r="P53" s="12">
        <v>39.799999999999997</v>
      </c>
      <c r="Q53" s="12" t="s">
        <v>144</v>
      </c>
    </row>
    <row r="54" spans="1:18" x14ac:dyDescent="0.35">
      <c r="A54" s="12">
        <v>7</v>
      </c>
      <c r="B54" s="12" t="s">
        <v>133</v>
      </c>
      <c r="C54" s="12">
        <v>2011</v>
      </c>
      <c r="D54" s="12" t="s">
        <v>134</v>
      </c>
      <c r="E54" s="12" t="s">
        <v>135</v>
      </c>
      <c r="F54" s="12" t="s">
        <v>136</v>
      </c>
      <c r="G54" s="12" t="s">
        <v>86</v>
      </c>
      <c r="H54" s="12" t="s">
        <v>149</v>
      </c>
      <c r="I54" s="12">
        <v>43.316136999999998</v>
      </c>
      <c r="J54" s="12">
        <v>-81.766025999999997</v>
      </c>
      <c r="K54" s="12" t="s">
        <v>138</v>
      </c>
      <c r="L54" s="12" t="s">
        <v>28</v>
      </c>
      <c r="M54" s="12" t="s">
        <v>142</v>
      </c>
      <c r="N54" s="12">
        <v>3212</v>
      </c>
      <c r="O54" s="12" t="s">
        <v>150</v>
      </c>
      <c r="P54" s="12">
        <v>40.799999999999997</v>
      </c>
      <c r="Q54" s="12" t="s">
        <v>144</v>
      </c>
    </row>
    <row r="55" spans="1:18" x14ac:dyDescent="0.35">
      <c r="A55" s="12">
        <v>7</v>
      </c>
      <c r="B55" s="12" t="s">
        <v>133</v>
      </c>
      <c r="C55" s="12">
        <v>2011</v>
      </c>
      <c r="D55" s="12" t="s">
        <v>134</v>
      </c>
      <c r="E55" s="12" t="s">
        <v>135</v>
      </c>
      <c r="F55" s="12" t="s">
        <v>136</v>
      </c>
      <c r="G55" s="12" t="s">
        <v>86</v>
      </c>
      <c r="H55" s="12" t="s">
        <v>151</v>
      </c>
      <c r="I55" s="12">
        <v>43.776668000000001</v>
      </c>
      <c r="J55" s="12">
        <v>-81.721789999999999</v>
      </c>
      <c r="K55" s="12" t="s">
        <v>138</v>
      </c>
      <c r="L55" s="12" t="s">
        <v>28</v>
      </c>
      <c r="M55" s="12" t="s">
        <v>142</v>
      </c>
      <c r="N55" s="12">
        <v>3213</v>
      </c>
      <c r="O55" s="12" t="s">
        <v>152</v>
      </c>
      <c r="P55" s="12">
        <v>41.8</v>
      </c>
      <c r="Q55" s="12" t="s">
        <v>144</v>
      </c>
    </row>
    <row r="56" spans="1:18" x14ac:dyDescent="0.35">
      <c r="A56" s="12">
        <v>7</v>
      </c>
      <c r="B56" s="12" t="s">
        <v>133</v>
      </c>
      <c r="C56" s="12">
        <v>2011</v>
      </c>
      <c r="D56" s="12" t="s">
        <v>134</v>
      </c>
      <c r="E56" s="12" t="s">
        <v>135</v>
      </c>
      <c r="F56" s="12" t="s">
        <v>136</v>
      </c>
      <c r="G56" s="12" t="s">
        <v>86</v>
      </c>
      <c r="H56" s="12" t="s">
        <v>153</v>
      </c>
      <c r="I56" s="12">
        <v>44.13599</v>
      </c>
      <c r="J56" s="12">
        <v>-81.737043</v>
      </c>
      <c r="K56" s="12" t="s">
        <v>138</v>
      </c>
      <c r="L56" s="12" t="s">
        <v>28</v>
      </c>
      <c r="M56" s="12" t="s">
        <v>142</v>
      </c>
      <c r="N56" s="12">
        <v>3214</v>
      </c>
      <c r="O56" s="12" t="s">
        <v>154</v>
      </c>
      <c r="P56" s="12">
        <v>42.8</v>
      </c>
      <c r="Q56" s="12" t="s">
        <v>144</v>
      </c>
    </row>
    <row r="57" spans="1:18" x14ac:dyDescent="0.35">
      <c r="A57" s="12">
        <v>7</v>
      </c>
      <c r="B57" s="12" t="s">
        <v>133</v>
      </c>
      <c r="C57" s="12">
        <v>2011</v>
      </c>
      <c r="D57" s="12" t="s">
        <v>134</v>
      </c>
      <c r="E57" s="12" t="s">
        <v>135</v>
      </c>
      <c r="F57" s="12" t="s">
        <v>136</v>
      </c>
      <c r="G57" s="12" t="s">
        <v>86</v>
      </c>
      <c r="H57" s="12" t="s">
        <v>155</v>
      </c>
      <c r="I57" s="12">
        <v>45.570784000000003</v>
      </c>
      <c r="J57" s="12">
        <v>-82.095788999999996</v>
      </c>
      <c r="K57" s="12" t="s">
        <v>138</v>
      </c>
      <c r="L57" s="12" t="s">
        <v>28</v>
      </c>
      <c r="M57" s="12" t="s">
        <v>142</v>
      </c>
      <c r="N57" s="12">
        <v>3215</v>
      </c>
      <c r="O57" s="12" t="s">
        <v>156</v>
      </c>
      <c r="P57" s="12">
        <v>43.8</v>
      </c>
      <c r="Q57" s="12" t="s">
        <v>144</v>
      </c>
    </row>
    <row r="58" spans="1:18" x14ac:dyDescent="0.35">
      <c r="A58" s="12">
        <v>8</v>
      </c>
      <c r="B58" s="12" t="s">
        <v>157</v>
      </c>
      <c r="C58" s="12">
        <v>2025</v>
      </c>
      <c r="D58" s="12" t="s">
        <v>158</v>
      </c>
      <c r="E58" s="12" t="s">
        <v>159</v>
      </c>
      <c r="F58" s="12" t="s">
        <v>160</v>
      </c>
      <c r="G58" s="12" t="s">
        <v>161</v>
      </c>
      <c r="H58" s="12" t="s">
        <v>162</v>
      </c>
      <c r="I58" s="12">
        <v>45.682473400067899</v>
      </c>
      <c r="J58" s="28">
        <v>-73.438923840070899</v>
      </c>
      <c r="K58" s="12" t="s">
        <v>41</v>
      </c>
      <c r="L58" s="12" t="s">
        <v>163</v>
      </c>
      <c r="N58" s="12">
        <v>810.68464730290395</v>
      </c>
      <c r="O58" s="12" t="s">
        <v>165</v>
      </c>
      <c r="P58" s="12">
        <f>N38/1000000</f>
        <v>2.8199999999999996E-7</v>
      </c>
      <c r="Q58" s="12" t="s">
        <v>59</v>
      </c>
      <c r="R58" s="12" t="s">
        <v>166</v>
      </c>
    </row>
    <row r="59" spans="1:18" x14ac:dyDescent="0.35">
      <c r="A59" s="12">
        <v>8</v>
      </c>
      <c r="B59" s="12" t="s">
        <v>157</v>
      </c>
      <c r="C59" s="12">
        <v>2025</v>
      </c>
      <c r="D59" s="12" t="s">
        <v>158</v>
      </c>
      <c r="E59" s="12" t="s">
        <v>159</v>
      </c>
      <c r="F59" s="12" t="s">
        <v>160</v>
      </c>
      <c r="G59" s="12" t="s">
        <v>161</v>
      </c>
      <c r="H59" s="12" t="s">
        <v>167</v>
      </c>
      <c r="I59" s="12">
        <v>45.866221736020201</v>
      </c>
      <c r="J59" s="28">
        <v>-73.241317931169107</v>
      </c>
      <c r="K59" s="12" t="s">
        <v>41</v>
      </c>
      <c r="L59" s="12" t="s">
        <v>163</v>
      </c>
      <c r="N59" s="12">
        <v>233.402489626555</v>
      </c>
      <c r="O59" s="12" t="s">
        <v>165</v>
      </c>
      <c r="P59" s="12">
        <f>N54/1000000</f>
        <v>3.212E-3</v>
      </c>
      <c r="Q59" s="12" t="s">
        <v>59</v>
      </c>
      <c r="R59" s="12" t="s">
        <v>166</v>
      </c>
    </row>
    <row r="60" spans="1:18" x14ac:dyDescent="0.35">
      <c r="A60" s="12">
        <v>8</v>
      </c>
      <c r="B60" s="12" t="s">
        <v>157</v>
      </c>
      <c r="C60" s="12">
        <v>2025</v>
      </c>
      <c r="D60" s="12" t="s">
        <v>158</v>
      </c>
      <c r="E60" s="12" t="s">
        <v>159</v>
      </c>
      <c r="F60" s="12" t="s">
        <v>160</v>
      </c>
      <c r="G60" s="12" t="s">
        <v>161</v>
      </c>
      <c r="H60" s="12" t="s">
        <v>168</v>
      </c>
      <c r="I60" s="12">
        <v>46.047465454072501</v>
      </c>
      <c r="J60" s="28">
        <v>-73.113966989940096</v>
      </c>
      <c r="K60" s="12" t="s">
        <v>41</v>
      </c>
      <c r="L60" s="12" t="s">
        <v>163</v>
      </c>
      <c r="N60" s="12">
        <v>168.04979253112</v>
      </c>
      <c r="O60" s="12" t="s">
        <v>165</v>
      </c>
      <c r="P60" s="12">
        <f t="shared" ref="P60:P68" si="1">N58/1000000</f>
        <v>8.1068464730290398E-4</v>
      </c>
      <c r="Q60" s="12" t="s">
        <v>59</v>
      </c>
      <c r="R60" s="12" t="s">
        <v>166</v>
      </c>
    </row>
    <row r="61" spans="1:18" x14ac:dyDescent="0.35">
      <c r="A61" s="12">
        <v>8</v>
      </c>
      <c r="B61" s="12" t="s">
        <v>157</v>
      </c>
      <c r="C61" s="12">
        <v>2025</v>
      </c>
      <c r="D61" s="12" t="s">
        <v>158</v>
      </c>
      <c r="E61" s="12" t="s">
        <v>159</v>
      </c>
      <c r="F61" s="12" t="s">
        <v>160</v>
      </c>
      <c r="G61" s="12" t="s">
        <v>161</v>
      </c>
      <c r="H61" s="12" t="s">
        <v>169</v>
      </c>
      <c r="I61" s="12">
        <v>46.359186312278602</v>
      </c>
      <c r="J61" s="28">
        <v>-72.543983716878799</v>
      </c>
      <c r="K61" s="12" t="s">
        <v>41</v>
      </c>
      <c r="L61" s="12" t="s">
        <v>163</v>
      </c>
      <c r="N61" s="12">
        <v>192.94605809128601</v>
      </c>
      <c r="O61" s="12" t="s">
        <v>165</v>
      </c>
      <c r="P61" s="12">
        <f t="shared" si="1"/>
        <v>2.33402489626555E-4</v>
      </c>
      <c r="Q61" s="12" t="s">
        <v>59</v>
      </c>
      <c r="R61" s="12" t="s">
        <v>166</v>
      </c>
    </row>
    <row r="62" spans="1:18" x14ac:dyDescent="0.35">
      <c r="A62" s="12">
        <v>8</v>
      </c>
      <c r="B62" s="12" t="s">
        <v>157</v>
      </c>
      <c r="C62" s="12">
        <v>2025</v>
      </c>
      <c r="D62" s="12" t="s">
        <v>158</v>
      </c>
      <c r="E62" s="12" t="s">
        <v>159</v>
      </c>
      <c r="F62" s="12" t="s">
        <v>160</v>
      </c>
      <c r="G62" s="12" t="s">
        <v>161</v>
      </c>
      <c r="H62" s="12" t="s">
        <v>170</v>
      </c>
      <c r="I62" s="12">
        <v>46.741650552339102</v>
      </c>
      <c r="J62" s="28">
        <v>-71.895088526667905</v>
      </c>
      <c r="K62" s="12" t="s">
        <v>41</v>
      </c>
      <c r="L62" s="12" t="s">
        <v>163</v>
      </c>
      <c r="N62" s="12">
        <v>129.14937759336101</v>
      </c>
      <c r="O62" s="12" t="s">
        <v>165</v>
      </c>
      <c r="P62" s="12">
        <f t="shared" si="1"/>
        <v>1.6804979253112E-4</v>
      </c>
      <c r="Q62" s="12" t="s">
        <v>59</v>
      </c>
      <c r="R62" s="12" t="s">
        <v>166</v>
      </c>
    </row>
    <row r="63" spans="1:18" x14ac:dyDescent="0.35">
      <c r="A63" s="12">
        <v>8</v>
      </c>
      <c r="B63" s="12" t="s">
        <v>157</v>
      </c>
      <c r="C63" s="12">
        <v>2025</v>
      </c>
      <c r="D63" s="12" t="s">
        <v>158</v>
      </c>
      <c r="E63" s="12" t="s">
        <v>159</v>
      </c>
      <c r="F63" s="12" t="s">
        <v>160</v>
      </c>
      <c r="G63" s="12" t="s">
        <v>161</v>
      </c>
      <c r="H63" s="12" t="s">
        <v>171</v>
      </c>
      <c r="I63" s="12">
        <v>46.845324116298201</v>
      </c>
      <c r="J63" s="28">
        <v>-71.209869739190793</v>
      </c>
      <c r="K63" s="12" t="s">
        <v>41</v>
      </c>
      <c r="L63" s="12" t="s">
        <v>163</v>
      </c>
      <c r="N63" s="12">
        <v>524.37759336099498</v>
      </c>
      <c r="O63" s="12" t="s">
        <v>165</v>
      </c>
      <c r="P63" s="12">
        <f t="shared" si="1"/>
        <v>1.9294605809128601E-4</v>
      </c>
      <c r="Q63" s="12" t="s">
        <v>59</v>
      </c>
      <c r="R63" s="12" t="s">
        <v>166</v>
      </c>
    </row>
    <row r="64" spans="1:18" x14ac:dyDescent="0.35">
      <c r="A64" s="12">
        <v>8</v>
      </c>
      <c r="B64" s="12" t="s">
        <v>157</v>
      </c>
      <c r="C64" s="12">
        <v>2025</v>
      </c>
      <c r="D64" s="12" t="s">
        <v>158</v>
      </c>
      <c r="E64" s="12" t="s">
        <v>159</v>
      </c>
      <c r="F64" s="12" t="s">
        <v>160</v>
      </c>
      <c r="G64" s="12" t="s">
        <v>161</v>
      </c>
      <c r="H64" s="12" t="s">
        <v>172</v>
      </c>
      <c r="I64" s="12">
        <v>47.023113071215597</v>
      </c>
      <c r="J64" s="28">
        <v>-70.5571840848053</v>
      </c>
      <c r="K64" s="12" t="s">
        <v>41</v>
      </c>
      <c r="L64" s="12" t="s">
        <v>163</v>
      </c>
      <c r="N64" s="12">
        <v>200.726141078838</v>
      </c>
      <c r="O64" s="12" t="s">
        <v>165</v>
      </c>
      <c r="P64" s="12">
        <f t="shared" si="1"/>
        <v>1.2914937759336102E-4</v>
      </c>
      <c r="Q64" s="12" t="s">
        <v>59</v>
      </c>
      <c r="R64" s="12" t="s">
        <v>166</v>
      </c>
    </row>
    <row r="65" spans="1:18" x14ac:dyDescent="0.35">
      <c r="A65" s="12">
        <v>8</v>
      </c>
      <c r="B65" s="12" t="s">
        <v>157</v>
      </c>
      <c r="C65" s="12">
        <v>2025</v>
      </c>
      <c r="D65" s="12" t="s">
        <v>158</v>
      </c>
      <c r="E65" s="12" t="s">
        <v>159</v>
      </c>
      <c r="F65" s="12" t="s">
        <v>160</v>
      </c>
      <c r="G65" s="12" t="s">
        <v>161</v>
      </c>
      <c r="H65" s="12" t="s">
        <v>173</v>
      </c>
      <c r="I65" s="12">
        <v>47.513097511732603</v>
      </c>
      <c r="J65" s="28">
        <v>-70.506171751945999</v>
      </c>
      <c r="K65" s="12" t="s">
        <v>41</v>
      </c>
      <c r="L65" s="12" t="s">
        <v>163</v>
      </c>
      <c r="N65" s="12">
        <v>413.90041493775902</v>
      </c>
      <c r="O65" s="12" t="s">
        <v>165</v>
      </c>
      <c r="P65" s="12">
        <f t="shared" si="1"/>
        <v>5.2437759336099502E-4</v>
      </c>
      <c r="Q65" s="12" t="s">
        <v>59</v>
      </c>
      <c r="R65" s="12" t="s">
        <v>166</v>
      </c>
    </row>
    <row r="66" spans="1:18" x14ac:dyDescent="0.35">
      <c r="A66" s="12">
        <v>8</v>
      </c>
      <c r="B66" s="12" t="s">
        <v>157</v>
      </c>
      <c r="C66" s="12">
        <v>2025</v>
      </c>
      <c r="D66" s="12" t="s">
        <v>158</v>
      </c>
      <c r="E66" s="12" t="s">
        <v>159</v>
      </c>
      <c r="F66" s="12" t="s">
        <v>160</v>
      </c>
      <c r="G66" s="12" t="s">
        <v>161</v>
      </c>
      <c r="H66" s="12" t="s">
        <v>174</v>
      </c>
      <c r="I66" s="12">
        <v>47.400336937518901</v>
      </c>
      <c r="J66" s="28">
        <v>-70.036602965269196</v>
      </c>
      <c r="K66" s="12" t="s">
        <v>41</v>
      </c>
      <c r="L66" s="12" t="s">
        <v>163</v>
      </c>
      <c r="N66" s="12">
        <v>866.70124481327798</v>
      </c>
      <c r="O66" s="12" t="s">
        <v>165</v>
      </c>
      <c r="P66" s="12">
        <f t="shared" si="1"/>
        <v>2.0072614107883799E-4</v>
      </c>
      <c r="Q66" s="12" t="s">
        <v>59</v>
      </c>
      <c r="R66" s="12" t="s">
        <v>166</v>
      </c>
    </row>
    <row r="67" spans="1:18" x14ac:dyDescent="0.35">
      <c r="A67" s="12">
        <v>8</v>
      </c>
      <c r="B67" s="12" t="s">
        <v>157</v>
      </c>
      <c r="C67" s="12">
        <v>2025</v>
      </c>
      <c r="D67" s="12" t="s">
        <v>158</v>
      </c>
      <c r="E67" s="12" t="s">
        <v>159</v>
      </c>
      <c r="F67" s="12" t="s">
        <v>160</v>
      </c>
      <c r="G67" s="12" t="s">
        <v>161</v>
      </c>
      <c r="H67" s="12" t="s">
        <v>175</v>
      </c>
      <c r="I67" s="12">
        <v>47.7212994670247</v>
      </c>
      <c r="J67" s="28">
        <v>-70.153776429742194</v>
      </c>
      <c r="K67" s="12" t="s">
        <v>41</v>
      </c>
      <c r="L67" s="12" t="s">
        <v>163</v>
      </c>
      <c r="N67" s="12">
        <v>287.86307053941903</v>
      </c>
      <c r="O67" s="12" t="s">
        <v>165</v>
      </c>
      <c r="P67" s="12">
        <f t="shared" si="1"/>
        <v>4.1390041493775904E-4</v>
      </c>
      <c r="Q67" s="12" t="s">
        <v>59</v>
      </c>
      <c r="R67" s="12" t="s">
        <v>166</v>
      </c>
    </row>
    <row r="68" spans="1:18" x14ac:dyDescent="0.35">
      <c r="A68" s="12">
        <v>8</v>
      </c>
      <c r="B68" s="12" t="s">
        <v>157</v>
      </c>
      <c r="C68" s="12">
        <v>2025</v>
      </c>
      <c r="D68" s="12" t="s">
        <v>158</v>
      </c>
      <c r="E68" s="12" t="s">
        <v>159</v>
      </c>
      <c r="F68" s="12" t="s">
        <v>160</v>
      </c>
      <c r="G68" s="12" t="s">
        <v>161</v>
      </c>
      <c r="H68" s="12" t="s">
        <v>176</v>
      </c>
      <c r="I68" s="12">
        <v>48.188336266676998</v>
      </c>
      <c r="J68" s="28">
        <v>-69.154947779810996</v>
      </c>
      <c r="K68" s="12" t="s">
        <v>41</v>
      </c>
      <c r="L68" s="12" t="s">
        <v>163</v>
      </c>
      <c r="N68" s="12">
        <v>199.17012448132701</v>
      </c>
      <c r="O68" s="12" t="s">
        <v>165</v>
      </c>
      <c r="P68" s="12">
        <f t="shared" si="1"/>
        <v>8.6670124481327793E-4</v>
      </c>
      <c r="Q68" s="12" t="s">
        <v>59</v>
      </c>
      <c r="R68" s="12" t="s">
        <v>166</v>
      </c>
    </row>
    <row r="69" spans="1:18" x14ac:dyDescent="0.35">
      <c r="A69" s="12">
        <v>10</v>
      </c>
      <c r="B69" s="12" t="s">
        <v>177</v>
      </c>
      <c r="C69" s="12">
        <v>2024</v>
      </c>
      <c r="D69" s="12" t="s">
        <v>178</v>
      </c>
      <c r="E69" s="12" t="s">
        <v>179</v>
      </c>
      <c r="F69" s="12" t="s">
        <v>180</v>
      </c>
      <c r="G69" s="12" t="s">
        <v>86</v>
      </c>
      <c r="H69" s="12" t="s">
        <v>181</v>
      </c>
      <c r="I69" s="28">
        <v>45.15</v>
      </c>
      <c r="J69" s="28">
        <v>-79.08</v>
      </c>
      <c r="K69" s="12" t="s">
        <v>103</v>
      </c>
      <c r="L69" s="12" t="s">
        <v>28</v>
      </c>
      <c r="M69" s="12" t="s">
        <v>183</v>
      </c>
      <c r="N69" s="12">
        <v>4.79</v>
      </c>
      <c r="O69" s="12" t="s">
        <v>106</v>
      </c>
      <c r="P69" s="12">
        <v>4790</v>
      </c>
      <c r="Q69" s="12" t="s">
        <v>107</v>
      </c>
      <c r="R69" s="12" t="s">
        <v>33</v>
      </c>
    </row>
    <row r="70" spans="1:18" x14ac:dyDescent="0.35">
      <c r="A70" s="12">
        <v>10</v>
      </c>
      <c r="B70" s="12" t="s">
        <v>177</v>
      </c>
      <c r="C70" s="12">
        <v>2024</v>
      </c>
      <c r="D70" s="12" t="s">
        <v>178</v>
      </c>
      <c r="E70" s="12" t="s">
        <v>179</v>
      </c>
      <c r="F70" s="12" t="s">
        <v>180</v>
      </c>
      <c r="G70" s="12" t="s">
        <v>86</v>
      </c>
      <c r="H70" s="12" t="s">
        <v>184</v>
      </c>
      <c r="I70" s="28">
        <v>45.38</v>
      </c>
      <c r="J70" s="28">
        <v>-79.150000000000006</v>
      </c>
      <c r="K70" s="12" t="s">
        <v>103</v>
      </c>
      <c r="L70" s="12" t="s">
        <v>28</v>
      </c>
      <c r="M70" s="12" t="s">
        <v>183</v>
      </c>
      <c r="N70" s="12">
        <v>6.81</v>
      </c>
      <c r="O70" s="12" t="s">
        <v>106</v>
      </c>
      <c r="P70" s="12">
        <v>6810</v>
      </c>
      <c r="Q70" s="12" t="s">
        <v>107</v>
      </c>
      <c r="R70" s="12" t="s">
        <v>33</v>
      </c>
    </row>
    <row r="71" spans="1:18" x14ac:dyDescent="0.35">
      <c r="A71" s="12">
        <v>10</v>
      </c>
      <c r="B71" s="12" t="s">
        <v>177</v>
      </c>
      <c r="C71" s="12">
        <v>2024</v>
      </c>
      <c r="D71" s="12" t="s">
        <v>178</v>
      </c>
      <c r="E71" s="12" t="s">
        <v>179</v>
      </c>
      <c r="F71" s="12" t="s">
        <v>180</v>
      </c>
      <c r="G71" s="12" t="s">
        <v>86</v>
      </c>
      <c r="H71" s="12" t="s">
        <v>185</v>
      </c>
      <c r="I71" s="28">
        <v>45.18</v>
      </c>
      <c r="J71" s="28">
        <v>-78.83</v>
      </c>
      <c r="K71" s="12" t="s">
        <v>103</v>
      </c>
      <c r="L71" s="12" t="s">
        <v>28</v>
      </c>
      <c r="M71" s="12" t="s">
        <v>183</v>
      </c>
      <c r="N71" s="12">
        <v>2.71</v>
      </c>
      <c r="O71" s="12" t="s">
        <v>106</v>
      </c>
      <c r="P71" s="12">
        <v>2710</v>
      </c>
      <c r="Q71" s="12" t="s">
        <v>107</v>
      </c>
      <c r="R71" s="12" t="s">
        <v>33</v>
      </c>
    </row>
    <row r="72" spans="1:18" x14ac:dyDescent="0.35">
      <c r="A72" s="12">
        <v>10</v>
      </c>
      <c r="B72" s="12" t="s">
        <v>177</v>
      </c>
      <c r="C72" s="12">
        <v>2024</v>
      </c>
      <c r="D72" s="12" t="s">
        <v>178</v>
      </c>
      <c r="E72" s="12" t="s">
        <v>179</v>
      </c>
      <c r="F72" s="12" t="s">
        <v>180</v>
      </c>
      <c r="G72" s="12" t="s">
        <v>86</v>
      </c>
      <c r="H72" s="12" t="s">
        <v>186</v>
      </c>
      <c r="I72" s="28">
        <v>45.15</v>
      </c>
      <c r="J72" s="28">
        <v>-79.08</v>
      </c>
      <c r="K72" s="12" t="s">
        <v>41</v>
      </c>
      <c r="L72" s="12" t="s">
        <v>28</v>
      </c>
      <c r="M72" s="12" t="s">
        <v>183</v>
      </c>
      <c r="N72" s="12">
        <v>1.98</v>
      </c>
      <c r="O72" s="12" t="s">
        <v>92</v>
      </c>
      <c r="P72" s="12">
        <v>1.98</v>
      </c>
      <c r="Q72" s="12" t="s">
        <v>59</v>
      </c>
      <c r="R72" s="12" t="s">
        <v>33</v>
      </c>
    </row>
    <row r="73" spans="1:18" x14ac:dyDescent="0.35">
      <c r="A73" s="12">
        <v>10</v>
      </c>
      <c r="B73" s="12" t="s">
        <v>177</v>
      </c>
      <c r="C73" s="12">
        <v>2024</v>
      </c>
      <c r="D73" s="12" t="s">
        <v>178</v>
      </c>
      <c r="E73" s="12" t="s">
        <v>179</v>
      </c>
      <c r="F73" s="12" t="s">
        <v>180</v>
      </c>
      <c r="G73" s="12" t="s">
        <v>86</v>
      </c>
      <c r="H73" s="12" t="s">
        <v>184</v>
      </c>
      <c r="I73" s="28">
        <v>45.38</v>
      </c>
      <c r="J73" s="28">
        <v>-79.150000000000006</v>
      </c>
      <c r="K73" s="12" t="s">
        <v>41</v>
      </c>
      <c r="L73" s="12" t="s">
        <v>28</v>
      </c>
      <c r="M73" s="12" t="s">
        <v>183</v>
      </c>
      <c r="N73" s="12">
        <v>1.2</v>
      </c>
      <c r="O73" s="12" t="s">
        <v>92</v>
      </c>
      <c r="P73" s="12">
        <v>1.2</v>
      </c>
      <c r="Q73" s="12" t="s">
        <v>59</v>
      </c>
      <c r="R73" s="12" t="s">
        <v>33</v>
      </c>
    </row>
    <row r="74" spans="1:18" x14ac:dyDescent="0.35">
      <c r="A74" s="12">
        <v>10</v>
      </c>
      <c r="B74" s="12" t="s">
        <v>177</v>
      </c>
      <c r="C74" s="12">
        <v>2024</v>
      </c>
      <c r="D74" s="12" t="s">
        <v>178</v>
      </c>
      <c r="E74" s="12" t="s">
        <v>179</v>
      </c>
      <c r="F74" s="12" t="s">
        <v>180</v>
      </c>
      <c r="G74" s="12" t="s">
        <v>86</v>
      </c>
      <c r="H74" s="12" t="s">
        <v>185</v>
      </c>
      <c r="I74" s="28">
        <v>45.18</v>
      </c>
      <c r="J74" s="28">
        <v>-78.83</v>
      </c>
      <c r="K74" s="12" t="s">
        <v>41</v>
      </c>
      <c r="L74" s="12" t="s">
        <v>28</v>
      </c>
      <c r="M74" s="12" t="s">
        <v>183</v>
      </c>
      <c r="N74" s="12">
        <v>1.7</v>
      </c>
      <c r="O74" s="12" t="s">
        <v>92</v>
      </c>
      <c r="P74" s="12">
        <v>1.7</v>
      </c>
      <c r="Q74" s="12" t="s">
        <v>59</v>
      </c>
      <c r="R74" s="12" t="s">
        <v>33</v>
      </c>
    </row>
    <row r="75" spans="1:18" x14ac:dyDescent="0.35">
      <c r="A75" s="12">
        <v>10</v>
      </c>
      <c r="B75" s="12" t="s">
        <v>177</v>
      </c>
      <c r="C75" s="12">
        <v>2024</v>
      </c>
      <c r="D75" s="12" t="s">
        <v>178</v>
      </c>
      <c r="E75" s="12" t="s">
        <v>179</v>
      </c>
      <c r="F75" s="12" t="s">
        <v>180</v>
      </c>
      <c r="G75" s="12" t="s">
        <v>86</v>
      </c>
      <c r="H75" s="12" t="s">
        <v>186</v>
      </c>
      <c r="I75" s="28">
        <v>45.15</v>
      </c>
      <c r="J75" s="28">
        <v>-79.08</v>
      </c>
      <c r="K75" s="12" t="s">
        <v>189</v>
      </c>
      <c r="L75" s="12" t="s">
        <v>28</v>
      </c>
      <c r="N75" s="12">
        <v>2.54</v>
      </c>
      <c r="O75" s="12" t="s">
        <v>92</v>
      </c>
      <c r="P75" s="12">
        <v>2.54</v>
      </c>
      <c r="Q75" s="12" t="s">
        <v>59</v>
      </c>
      <c r="R75" s="12" t="s">
        <v>33</v>
      </c>
    </row>
    <row r="76" spans="1:18" x14ac:dyDescent="0.35">
      <c r="A76" s="12">
        <v>10</v>
      </c>
      <c r="B76" s="12" t="s">
        <v>177</v>
      </c>
      <c r="C76" s="12">
        <v>2024</v>
      </c>
      <c r="D76" s="12" t="s">
        <v>178</v>
      </c>
      <c r="E76" s="12" t="s">
        <v>179</v>
      </c>
      <c r="F76" s="12" t="s">
        <v>180</v>
      </c>
      <c r="G76" s="12" t="s">
        <v>86</v>
      </c>
      <c r="H76" s="12" t="s">
        <v>184</v>
      </c>
      <c r="I76" s="28">
        <v>45.38</v>
      </c>
      <c r="J76" s="28">
        <v>-79.150000000000006</v>
      </c>
      <c r="K76" s="12" t="s">
        <v>189</v>
      </c>
      <c r="L76" s="12" t="s">
        <v>28</v>
      </c>
      <c r="N76" s="12">
        <v>2.5499999999999998</v>
      </c>
      <c r="O76" s="12" t="s">
        <v>92</v>
      </c>
      <c r="P76" s="12">
        <v>2.5499999999999998</v>
      </c>
      <c r="Q76" s="12" t="s">
        <v>59</v>
      </c>
      <c r="R76" s="12" t="s">
        <v>33</v>
      </c>
    </row>
    <row r="77" spans="1:18" x14ac:dyDescent="0.35">
      <c r="A77" s="12">
        <v>10</v>
      </c>
      <c r="B77" s="12" t="s">
        <v>177</v>
      </c>
      <c r="C77" s="12">
        <v>2024</v>
      </c>
      <c r="D77" s="12" t="s">
        <v>178</v>
      </c>
      <c r="E77" s="12" t="s">
        <v>179</v>
      </c>
      <c r="F77" s="12" t="s">
        <v>180</v>
      </c>
      <c r="G77" s="12" t="s">
        <v>86</v>
      </c>
      <c r="H77" s="12" t="s">
        <v>185</v>
      </c>
      <c r="I77" s="28">
        <v>45.18</v>
      </c>
      <c r="J77" s="28">
        <v>-78.83</v>
      </c>
      <c r="K77" s="12" t="s">
        <v>189</v>
      </c>
      <c r="L77" s="12" t="s">
        <v>28</v>
      </c>
      <c r="N77" s="12">
        <v>1.47</v>
      </c>
      <c r="O77" s="12" t="s">
        <v>92</v>
      </c>
      <c r="P77" s="12">
        <v>1.47</v>
      </c>
      <c r="Q77" s="12" t="s">
        <v>59</v>
      </c>
      <c r="R77" s="12" t="s">
        <v>33</v>
      </c>
    </row>
    <row r="78" spans="1:18" x14ac:dyDescent="0.35">
      <c r="A78" s="12">
        <v>11</v>
      </c>
      <c r="B78" s="12" t="s">
        <v>190</v>
      </c>
      <c r="C78" s="12">
        <v>2024</v>
      </c>
      <c r="D78" s="12" t="s">
        <v>191</v>
      </c>
      <c r="E78" s="13" t="s">
        <v>192</v>
      </c>
      <c r="F78" s="14" t="s">
        <v>193</v>
      </c>
      <c r="G78" s="12" t="s">
        <v>86</v>
      </c>
      <c r="H78" s="12" t="s">
        <v>194</v>
      </c>
      <c r="I78" s="12">
        <v>49.713679999999997</v>
      </c>
      <c r="J78" s="12">
        <v>-93.915916999999993</v>
      </c>
      <c r="K78" s="12" t="s">
        <v>41</v>
      </c>
      <c r="L78" s="12" t="s">
        <v>28</v>
      </c>
      <c r="M78" s="12" t="s">
        <v>197</v>
      </c>
      <c r="N78" s="12">
        <v>0.21381578947368385</v>
      </c>
      <c r="O78" s="12" t="s">
        <v>198</v>
      </c>
      <c r="P78" s="12">
        <v>0.21381578947368385</v>
      </c>
      <c r="Q78" s="12" t="s">
        <v>59</v>
      </c>
      <c r="R78" s="12" t="s">
        <v>199</v>
      </c>
    </row>
    <row r="79" spans="1:18" x14ac:dyDescent="0.35">
      <c r="A79" s="12">
        <v>11</v>
      </c>
      <c r="B79" s="12" t="s">
        <v>190</v>
      </c>
      <c r="C79" s="12">
        <v>2024</v>
      </c>
      <c r="D79" s="12" t="s">
        <v>191</v>
      </c>
      <c r="E79" s="13" t="s">
        <v>192</v>
      </c>
      <c r="F79" s="14" t="s">
        <v>193</v>
      </c>
      <c r="G79" s="12" t="s">
        <v>86</v>
      </c>
      <c r="H79" s="12" t="s">
        <v>200</v>
      </c>
      <c r="I79" s="12">
        <v>49.656126999999998</v>
      </c>
      <c r="J79" s="12">
        <v>-93.900022000000007</v>
      </c>
      <c r="K79" s="12" t="s">
        <v>41</v>
      </c>
      <c r="L79" s="12" t="s">
        <v>28</v>
      </c>
      <c r="M79" s="12" t="s">
        <v>197</v>
      </c>
      <c r="N79" s="12">
        <v>0.18092105263157832</v>
      </c>
      <c r="O79" s="12" t="s">
        <v>198</v>
      </c>
      <c r="P79" s="12">
        <v>0.18092105263157832</v>
      </c>
      <c r="Q79" s="12" t="s">
        <v>59</v>
      </c>
      <c r="R79" s="12" t="s">
        <v>201</v>
      </c>
    </row>
    <row r="80" spans="1:18" x14ac:dyDescent="0.35">
      <c r="A80" s="12">
        <v>11</v>
      </c>
      <c r="B80" s="12" t="s">
        <v>190</v>
      </c>
      <c r="C80" s="12">
        <v>2024</v>
      </c>
      <c r="D80" s="12" t="s">
        <v>191</v>
      </c>
      <c r="E80" s="13" t="s">
        <v>192</v>
      </c>
      <c r="F80" s="14" t="s">
        <v>193</v>
      </c>
      <c r="G80" s="12" t="s">
        <v>86</v>
      </c>
      <c r="H80" s="12" t="s">
        <v>202</v>
      </c>
      <c r="I80" s="12">
        <v>49.764674999999997</v>
      </c>
      <c r="J80" s="12">
        <v>-93.781104999999997</v>
      </c>
      <c r="K80" s="12" t="s">
        <v>41</v>
      </c>
      <c r="L80" s="12" t="s">
        <v>28</v>
      </c>
      <c r="M80" s="12" t="s">
        <v>197</v>
      </c>
      <c r="N80" s="12">
        <v>0.17269736842105213</v>
      </c>
      <c r="O80" s="12" t="s">
        <v>198</v>
      </c>
      <c r="P80" s="12">
        <v>0.17269736842105213</v>
      </c>
      <c r="Q80" s="12" t="s">
        <v>59</v>
      </c>
    </row>
    <row r="81" spans="1:18" x14ac:dyDescent="0.35">
      <c r="A81" s="12">
        <v>11</v>
      </c>
      <c r="B81" s="12" t="s">
        <v>190</v>
      </c>
      <c r="C81" s="12">
        <v>2024</v>
      </c>
      <c r="D81" s="12" t="s">
        <v>191</v>
      </c>
      <c r="E81" s="13" t="s">
        <v>192</v>
      </c>
      <c r="F81" s="14" t="s">
        <v>193</v>
      </c>
      <c r="G81" s="12" t="s">
        <v>86</v>
      </c>
      <c r="H81" s="12" t="s">
        <v>203</v>
      </c>
      <c r="I81" s="12">
        <v>49.743400999999999</v>
      </c>
      <c r="J81" s="12">
        <v>-93.797089999999997</v>
      </c>
      <c r="K81" s="12" t="s">
        <v>41</v>
      </c>
      <c r="L81" s="12" t="s">
        <v>28</v>
      </c>
      <c r="M81" s="12" t="s">
        <v>197</v>
      </c>
      <c r="N81" s="12">
        <v>0.18256578947368399</v>
      </c>
      <c r="O81" s="12" t="s">
        <v>198</v>
      </c>
      <c r="P81" s="12">
        <v>0.18256578947368399</v>
      </c>
      <c r="Q81" s="12" t="s">
        <v>59</v>
      </c>
    </row>
    <row r="82" spans="1:18" x14ac:dyDescent="0.35">
      <c r="A82" s="12">
        <v>11</v>
      </c>
      <c r="B82" s="12" t="s">
        <v>190</v>
      </c>
      <c r="C82" s="12">
        <v>2024</v>
      </c>
      <c r="D82" s="12" t="s">
        <v>191</v>
      </c>
      <c r="E82" s="13" t="s">
        <v>192</v>
      </c>
      <c r="F82" s="14" t="s">
        <v>193</v>
      </c>
      <c r="G82" s="12" t="s">
        <v>86</v>
      </c>
      <c r="H82" s="12" t="s">
        <v>204</v>
      </c>
      <c r="I82" s="12">
        <v>49.715235999999997</v>
      </c>
      <c r="J82" s="12">
        <v>-93.783180000000002</v>
      </c>
      <c r="K82" s="12" t="s">
        <v>41</v>
      </c>
      <c r="L82" s="12" t="s">
        <v>28</v>
      </c>
      <c r="M82" s="12" t="s">
        <v>197</v>
      </c>
      <c r="N82" s="12">
        <v>9.5394736842104796E-2</v>
      </c>
      <c r="O82" s="12" t="s">
        <v>198</v>
      </c>
      <c r="P82" s="12">
        <v>9.5394736842104796E-2</v>
      </c>
      <c r="Q82" s="12" t="s">
        <v>59</v>
      </c>
    </row>
    <row r="83" spans="1:18" x14ac:dyDescent="0.35">
      <c r="A83" s="12">
        <v>11</v>
      </c>
      <c r="B83" s="12" t="s">
        <v>190</v>
      </c>
      <c r="C83" s="12">
        <v>2024</v>
      </c>
      <c r="D83" s="12" t="s">
        <v>191</v>
      </c>
      <c r="E83" s="13" t="s">
        <v>192</v>
      </c>
      <c r="F83" s="14" t="s">
        <v>193</v>
      </c>
      <c r="G83" s="12" t="s">
        <v>86</v>
      </c>
      <c r="H83" s="12" t="s">
        <v>205</v>
      </c>
      <c r="I83" s="12">
        <v>49.683196000000002</v>
      </c>
      <c r="J83" s="12">
        <v>-93.745632000000001</v>
      </c>
      <c r="K83" s="12" t="s">
        <v>41</v>
      </c>
      <c r="L83" s="12" t="s">
        <v>28</v>
      </c>
      <c r="M83" s="12" t="s">
        <v>197</v>
      </c>
      <c r="N83" s="12">
        <v>0.60526315789473628</v>
      </c>
      <c r="O83" s="12" t="s">
        <v>198</v>
      </c>
      <c r="P83" s="12">
        <v>0.60526315789473628</v>
      </c>
      <c r="Q83" s="12" t="s">
        <v>59</v>
      </c>
    </row>
    <row r="84" spans="1:18" x14ac:dyDescent="0.35">
      <c r="A84" s="12">
        <v>11</v>
      </c>
      <c r="B84" s="12" t="s">
        <v>190</v>
      </c>
      <c r="C84" s="12">
        <v>2024</v>
      </c>
      <c r="D84" s="12" t="s">
        <v>191</v>
      </c>
      <c r="E84" s="13" t="s">
        <v>192</v>
      </c>
      <c r="F84" s="14" t="s">
        <v>193</v>
      </c>
      <c r="G84" s="12" t="s">
        <v>86</v>
      </c>
      <c r="H84" s="12" t="s">
        <v>206</v>
      </c>
      <c r="I84" s="24">
        <v>49.672936</v>
      </c>
      <c r="J84" s="12">
        <v>-93.719273999999999</v>
      </c>
      <c r="K84" s="12" t="s">
        <v>41</v>
      </c>
      <c r="L84" s="12" t="s">
        <v>28</v>
      </c>
      <c r="M84" s="12" t="s">
        <v>197</v>
      </c>
      <c r="N84" s="12">
        <v>0.10855263157894723</v>
      </c>
      <c r="O84" s="12" t="s">
        <v>198</v>
      </c>
      <c r="P84" s="12">
        <v>0.10855263157894723</v>
      </c>
      <c r="Q84" s="12" t="s">
        <v>59</v>
      </c>
    </row>
    <row r="85" spans="1:18" x14ac:dyDescent="0.35">
      <c r="A85" s="12">
        <v>11</v>
      </c>
      <c r="B85" s="12" t="s">
        <v>190</v>
      </c>
      <c r="C85" s="12">
        <v>2024</v>
      </c>
      <c r="D85" s="12" t="s">
        <v>191</v>
      </c>
      <c r="E85" s="13" t="s">
        <v>192</v>
      </c>
      <c r="F85" s="14" t="s">
        <v>193</v>
      </c>
      <c r="G85" s="12" t="s">
        <v>86</v>
      </c>
      <c r="H85" s="12" t="s">
        <v>207</v>
      </c>
      <c r="I85" s="24">
        <v>49.699447999999997</v>
      </c>
      <c r="J85" s="12">
        <v>-93.696828999999994</v>
      </c>
      <c r="K85" s="12" t="s">
        <v>41</v>
      </c>
      <c r="L85" s="12" t="s">
        <v>28</v>
      </c>
      <c r="M85" s="12" t="s">
        <v>197</v>
      </c>
      <c r="N85" s="12">
        <v>0.21217105263157832</v>
      </c>
      <c r="O85" s="12" t="s">
        <v>198</v>
      </c>
      <c r="P85" s="12">
        <v>0.21217105263157832</v>
      </c>
      <c r="Q85" s="12" t="s">
        <v>59</v>
      </c>
    </row>
    <row r="86" spans="1:18" x14ac:dyDescent="0.35">
      <c r="A86" s="12">
        <v>11</v>
      </c>
      <c r="B86" s="12" t="s">
        <v>190</v>
      </c>
      <c r="C86" s="12">
        <v>2024</v>
      </c>
      <c r="D86" s="12" t="s">
        <v>191</v>
      </c>
      <c r="E86" s="13" t="s">
        <v>192</v>
      </c>
      <c r="F86" s="14" t="s">
        <v>193</v>
      </c>
      <c r="G86" s="12" t="s">
        <v>86</v>
      </c>
      <c r="H86" s="12" t="s">
        <v>208</v>
      </c>
      <c r="I86" s="12">
        <v>49.692255000000003</v>
      </c>
      <c r="J86" s="12">
        <v>-93.650289999999998</v>
      </c>
      <c r="K86" s="12" t="s">
        <v>41</v>
      </c>
      <c r="L86" s="12" t="s">
        <v>28</v>
      </c>
      <c r="M86" s="12" t="s">
        <v>197</v>
      </c>
      <c r="N86" s="12">
        <v>0.17598684210526291</v>
      </c>
      <c r="O86" s="12" t="s">
        <v>198</v>
      </c>
      <c r="P86" s="12">
        <v>0.17598684210526291</v>
      </c>
      <c r="Q86" s="12" t="s">
        <v>59</v>
      </c>
    </row>
    <row r="87" spans="1:18" x14ac:dyDescent="0.35">
      <c r="A87" s="12">
        <v>11</v>
      </c>
      <c r="B87" s="12" t="s">
        <v>190</v>
      </c>
      <c r="C87" s="12">
        <v>2024</v>
      </c>
      <c r="D87" s="12" t="s">
        <v>191</v>
      </c>
      <c r="E87" s="13" t="s">
        <v>192</v>
      </c>
      <c r="F87" s="14" t="s">
        <v>193</v>
      </c>
      <c r="G87" s="12" t="s">
        <v>86</v>
      </c>
      <c r="H87" s="12" t="s">
        <v>209</v>
      </c>
      <c r="I87" s="12">
        <v>49.743400999999999</v>
      </c>
      <c r="J87" s="12">
        <v>-93.797089999999997</v>
      </c>
      <c r="K87" s="12" t="s">
        <v>103</v>
      </c>
      <c r="L87" s="12" t="s">
        <v>28</v>
      </c>
      <c r="M87" s="12" t="s">
        <v>211</v>
      </c>
      <c r="N87" s="12">
        <f>(551+177)/2</f>
        <v>364</v>
      </c>
      <c r="O87" s="12" t="s">
        <v>107</v>
      </c>
      <c r="P87" s="12">
        <f>(551+177)/2</f>
        <v>364</v>
      </c>
      <c r="Q87" s="12" t="s">
        <v>107</v>
      </c>
    </row>
    <row r="88" spans="1:18" x14ac:dyDescent="0.35">
      <c r="A88" s="12">
        <v>11</v>
      </c>
      <c r="B88" s="12" t="s">
        <v>190</v>
      </c>
      <c r="C88" s="12">
        <v>2024</v>
      </c>
      <c r="D88" s="12" t="s">
        <v>191</v>
      </c>
      <c r="E88" s="13" t="s">
        <v>192</v>
      </c>
      <c r="F88" s="14" t="s">
        <v>193</v>
      </c>
      <c r="G88" s="12" t="s">
        <v>86</v>
      </c>
      <c r="H88" s="12" t="s">
        <v>212</v>
      </c>
      <c r="I88" s="12">
        <v>49.715235999999997</v>
      </c>
      <c r="J88" s="12">
        <v>-93.783180000000002</v>
      </c>
      <c r="K88" s="12" t="s">
        <v>103</v>
      </c>
      <c r="L88" s="12" t="s">
        <v>28</v>
      </c>
      <c r="M88" s="12" t="s">
        <v>211</v>
      </c>
      <c r="N88" s="12">
        <f>(551+177)/2</f>
        <v>364</v>
      </c>
      <c r="O88" s="12" t="s">
        <v>107</v>
      </c>
      <c r="P88" s="12">
        <f>(551+177)/2</f>
        <v>364</v>
      </c>
      <c r="Q88" s="12" t="s">
        <v>107</v>
      </c>
    </row>
    <row r="89" spans="1:18" x14ac:dyDescent="0.35">
      <c r="A89" s="12">
        <v>11</v>
      </c>
      <c r="B89" s="12" t="s">
        <v>190</v>
      </c>
      <c r="C89" s="12">
        <v>2024</v>
      </c>
      <c r="D89" s="12" t="s">
        <v>191</v>
      </c>
      <c r="E89" s="13" t="s">
        <v>192</v>
      </c>
      <c r="F89" s="14" t="s">
        <v>193</v>
      </c>
      <c r="G89" s="12" t="s">
        <v>86</v>
      </c>
      <c r="H89" s="12" t="s">
        <v>213</v>
      </c>
      <c r="I89" s="12">
        <v>49.749749000000001</v>
      </c>
      <c r="J89" s="12">
        <v>-93.799674999999993</v>
      </c>
      <c r="K89" s="12" t="s">
        <v>189</v>
      </c>
      <c r="L89" s="12" t="s">
        <v>28</v>
      </c>
      <c r="M89" s="12" t="s">
        <v>216</v>
      </c>
      <c r="N89" s="12">
        <v>0.4</v>
      </c>
      <c r="O89" s="12" t="s">
        <v>217</v>
      </c>
      <c r="P89" s="12">
        <v>0.4</v>
      </c>
      <c r="Q89" s="12" t="s">
        <v>217</v>
      </c>
    </row>
    <row r="90" spans="1:18" x14ac:dyDescent="0.35">
      <c r="A90" s="12">
        <v>11</v>
      </c>
      <c r="B90" s="12" t="s">
        <v>190</v>
      </c>
      <c r="C90" s="12">
        <v>2024</v>
      </c>
      <c r="D90" s="12" t="s">
        <v>191</v>
      </c>
      <c r="E90" s="13" t="s">
        <v>192</v>
      </c>
      <c r="F90" s="14" t="s">
        <v>193</v>
      </c>
      <c r="G90" s="12" t="s">
        <v>86</v>
      </c>
      <c r="H90" s="12" t="s">
        <v>213</v>
      </c>
      <c r="I90" s="12">
        <v>49.619298000000001</v>
      </c>
      <c r="J90" s="12">
        <v>-93.817482999999996</v>
      </c>
      <c r="K90" s="12" t="s">
        <v>189</v>
      </c>
      <c r="L90" s="12" t="s">
        <v>28</v>
      </c>
      <c r="M90" s="12" t="s">
        <v>216</v>
      </c>
      <c r="N90" s="12">
        <v>0.4</v>
      </c>
      <c r="O90" s="12" t="s">
        <v>217</v>
      </c>
      <c r="P90" s="12">
        <v>0.4</v>
      </c>
      <c r="Q90" s="12" t="s">
        <v>217</v>
      </c>
    </row>
    <row r="91" spans="1:18" x14ac:dyDescent="0.35">
      <c r="A91" s="12">
        <v>11</v>
      </c>
      <c r="B91" s="12" t="s">
        <v>190</v>
      </c>
      <c r="C91" s="12">
        <v>2024</v>
      </c>
      <c r="D91" s="12" t="s">
        <v>191</v>
      </c>
      <c r="E91" s="13" t="s">
        <v>192</v>
      </c>
      <c r="F91" s="14" t="s">
        <v>193</v>
      </c>
      <c r="G91" s="12" t="s">
        <v>86</v>
      </c>
      <c r="H91" s="12" t="s">
        <v>213</v>
      </c>
      <c r="I91" s="12" t="s">
        <v>218</v>
      </c>
      <c r="J91" s="12">
        <v>-93.727082999999993</v>
      </c>
      <c r="K91" s="12" t="s">
        <v>189</v>
      </c>
      <c r="L91" s="12" t="s">
        <v>28</v>
      </c>
      <c r="M91" s="12" t="s">
        <v>216</v>
      </c>
      <c r="N91" s="12">
        <v>0.4</v>
      </c>
      <c r="O91" s="12" t="s">
        <v>217</v>
      </c>
      <c r="P91" s="12">
        <v>0.4</v>
      </c>
      <c r="Q91" s="12" t="s">
        <v>217</v>
      </c>
    </row>
    <row r="92" spans="1:18" x14ac:dyDescent="0.35">
      <c r="A92" s="12">
        <v>12</v>
      </c>
      <c r="B92" s="12" t="s">
        <v>219</v>
      </c>
      <c r="C92" s="12">
        <v>2024</v>
      </c>
      <c r="D92" s="12" t="s">
        <v>191</v>
      </c>
      <c r="E92" s="12" t="s">
        <v>220</v>
      </c>
      <c r="F92" s="12" t="s">
        <v>221</v>
      </c>
      <c r="G92" s="12" t="s">
        <v>86</v>
      </c>
      <c r="H92" s="12" t="s">
        <v>222</v>
      </c>
      <c r="I92" s="12">
        <v>43.375259999999997</v>
      </c>
      <c r="J92" s="29">
        <v>-80.263300000000001</v>
      </c>
      <c r="K92" s="12" t="s">
        <v>41</v>
      </c>
      <c r="L92" s="12" t="s">
        <v>223</v>
      </c>
      <c r="N92" s="12">
        <v>1.76173285198555</v>
      </c>
      <c r="O92" s="12" t="s">
        <v>59</v>
      </c>
      <c r="P92" s="12">
        <v>1.76173285198555</v>
      </c>
      <c r="Q92" s="12" t="s">
        <v>59</v>
      </c>
      <c r="R92" s="12" t="s">
        <v>166</v>
      </c>
    </row>
    <row r="93" spans="1:18" x14ac:dyDescent="0.35">
      <c r="A93" s="12">
        <v>12</v>
      </c>
      <c r="B93" s="12" t="s">
        <v>219</v>
      </c>
      <c r="C93" s="12">
        <v>2024</v>
      </c>
      <c r="D93" s="12" t="s">
        <v>191</v>
      </c>
      <c r="E93" s="12" t="s">
        <v>220</v>
      </c>
      <c r="F93" s="12" t="s">
        <v>221</v>
      </c>
      <c r="G93" s="12" t="s">
        <v>86</v>
      </c>
      <c r="H93" s="12" t="s">
        <v>226</v>
      </c>
      <c r="I93" s="12">
        <v>43.350650000000002</v>
      </c>
      <c r="J93" s="29">
        <v>-80.285629999999998</v>
      </c>
      <c r="K93" s="12" t="s">
        <v>41</v>
      </c>
      <c r="L93" s="12" t="s">
        <v>223</v>
      </c>
      <c r="N93" s="12">
        <v>0.74729241877256303</v>
      </c>
      <c r="O93" s="12" t="s">
        <v>59</v>
      </c>
      <c r="P93" s="12">
        <v>0.74729241877256303</v>
      </c>
      <c r="Q93" s="12" t="s">
        <v>59</v>
      </c>
      <c r="R93" s="12" t="s">
        <v>166</v>
      </c>
    </row>
    <row r="94" spans="1:18" x14ac:dyDescent="0.35">
      <c r="A94" s="12">
        <v>12</v>
      </c>
      <c r="B94" s="12" t="s">
        <v>219</v>
      </c>
      <c r="C94" s="12">
        <v>2024</v>
      </c>
      <c r="D94" s="12" t="s">
        <v>191</v>
      </c>
      <c r="E94" s="12" t="s">
        <v>220</v>
      </c>
      <c r="F94" s="12" t="s">
        <v>221</v>
      </c>
      <c r="G94" s="12" t="s">
        <v>86</v>
      </c>
      <c r="H94" s="12" t="s">
        <v>227</v>
      </c>
      <c r="I94" s="12">
        <v>43.30189</v>
      </c>
      <c r="J94" s="29">
        <v>-80.282780000000002</v>
      </c>
      <c r="K94" s="12" t="s">
        <v>41</v>
      </c>
      <c r="L94" s="12" t="s">
        <v>223</v>
      </c>
      <c r="N94" s="12">
        <v>2.3501805054151599</v>
      </c>
      <c r="O94" s="12" t="s">
        <v>59</v>
      </c>
      <c r="P94" s="12">
        <v>2.3501805054151599</v>
      </c>
      <c r="Q94" s="12" t="s">
        <v>59</v>
      </c>
      <c r="R94" s="12" t="s">
        <v>166</v>
      </c>
    </row>
    <row r="95" spans="1:18" x14ac:dyDescent="0.35">
      <c r="A95" s="12">
        <v>12</v>
      </c>
      <c r="B95" s="12" t="s">
        <v>219</v>
      </c>
      <c r="C95" s="12">
        <v>2024</v>
      </c>
      <c r="D95" s="12" t="s">
        <v>191</v>
      </c>
      <c r="E95" s="12" t="s">
        <v>220</v>
      </c>
      <c r="F95" s="12" t="s">
        <v>221</v>
      </c>
      <c r="G95" s="12" t="s">
        <v>86</v>
      </c>
      <c r="H95" s="12" t="s">
        <v>228</v>
      </c>
      <c r="I95" s="12">
        <v>43.282490000000003</v>
      </c>
      <c r="J95" s="29">
        <v>-80.282319999999999</v>
      </c>
      <c r="K95" s="12" t="s">
        <v>41</v>
      </c>
      <c r="L95" s="12" t="s">
        <v>223</v>
      </c>
      <c r="N95" s="12">
        <v>1.70397111913357</v>
      </c>
      <c r="O95" s="12" t="s">
        <v>59</v>
      </c>
      <c r="P95" s="12">
        <v>1.70397111913357</v>
      </c>
      <c r="Q95" s="12" t="s">
        <v>59</v>
      </c>
      <c r="R95" s="12" t="s">
        <v>166</v>
      </c>
    </row>
    <row r="96" spans="1:18" x14ac:dyDescent="0.35">
      <c r="A96" s="12">
        <v>12</v>
      </c>
      <c r="B96" s="12" t="s">
        <v>219</v>
      </c>
      <c r="C96" s="12">
        <v>2024</v>
      </c>
      <c r="D96" s="12" t="s">
        <v>191</v>
      </c>
      <c r="E96" s="12" t="s">
        <v>220</v>
      </c>
      <c r="F96" s="12" t="s">
        <v>221</v>
      </c>
      <c r="G96" s="12" t="s">
        <v>86</v>
      </c>
      <c r="H96" s="12" t="s">
        <v>229</v>
      </c>
      <c r="I96" s="12">
        <v>43.263710000000003</v>
      </c>
      <c r="J96" s="29">
        <v>-80.240499999999997</v>
      </c>
      <c r="K96" s="12" t="s">
        <v>41</v>
      </c>
      <c r="L96" s="12" t="s">
        <v>223</v>
      </c>
      <c r="N96" s="12">
        <v>0.25631768953068601</v>
      </c>
      <c r="O96" s="12" t="s">
        <v>59</v>
      </c>
      <c r="P96" s="12">
        <v>0.25631768953068601</v>
      </c>
      <c r="Q96" s="12" t="s">
        <v>59</v>
      </c>
      <c r="R96" s="12" t="s">
        <v>166</v>
      </c>
    </row>
    <row r="97" spans="1:18" x14ac:dyDescent="0.35">
      <c r="A97" s="12">
        <v>12</v>
      </c>
      <c r="B97" s="12" t="s">
        <v>219</v>
      </c>
      <c r="C97" s="12">
        <v>2024</v>
      </c>
      <c r="D97" s="12" t="s">
        <v>191</v>
      </c>
      <c r="E97" s="12" t="s">
        <v>220</v>
      </c>
      <c r="F97" s="12" t="s">
        <v>221</v>
      </c>
      <c r="G97" s="12" t="s">
        <v>86</v>
      </c>
      <c r="H97" s="12" t="s">
        <v>230</v>
      </c>
      <c r="I97" s="12">
        <v>43.240729999999999</v>
      </c>
      <c r="J97" s="29">
        <v>-80.254720000000006</v>
      </c>
      <c r="K97" s="12" t="s">
        <v>41</v>
      </c>
      <c r="L97" s="12" t="s">
        <v>223</v>
      </c>
      <c r="N97" s="12">
        <v>1.4368231046931399</v>
      </c>
      <c r="O97" s="12" t="s">
        <v>59</v>
      </c>
      <c r="P97" s="12">
        <v>1.4368231046931399</v>
      </c>
      <c r="Q97" s="12" t="s">
        <v>59</v>
      </c>
      <c r="R97" s="12" t="s">
        <v>166</v>
      </c>
    </row>
    <row r="98" spans="1:18" x14ac:dyDescent="0.35">
      <c r="A98" s="12">
        <v>12</v>
      </c>
      <c r="B98" s="12" t="s">
        <v>219</v>
      </c>
      <c r="C98" s="12">
        <v>2024</v>
      </c>
      <c r="D98" s="12" t="s">
        <v>191</v>
      </c>
      <c r="E98" s="12" t="s">
        <v>220</v>
      </c>
      <c r="F98" s="12" t="s">
        <v>221</v>
      </c>
      <c r="G98" s="12" t="s">
        <v>86</v>
      </c>
      <c r="H98" s="12" t="s">
        <v>231</v>
      </c>
      <c r="I98" s="12">
        <v>43.235329999999998</v>
      </c>
      <c r="J98" s="29">
        <v>-80.245649999999998</v>
      </c>
      <c r="K98" s="12" t="s">
        <v>41</v>
      </c>
      <c r="L98" s="12" t="s">
        <v>223</v>
      </c>
      <c r="N98" s="12">
        <v>1.7581227436823099</v>
      </c>
      <c r="O98" s="12" t="s">
        <v>59</v>
      </c>
      <c r="P98" s="12">
        <v>1.7581227436823099</v>
      </c>
      <c r="Q98" s="12" t="s">
        <v>59</v>
      </c>
      <c r="R98" s="12" t="s">
        <v>166</v>
      </c>
    </row>
    <row r="99" spans="1:18" x14ac:dyDescent="0.35">
      <c r="A99" s="12">
        <v>12</v>
      </c>
      <c r="B99" s="12" t="s">
        <v>219</v>
      </c>
      <c r="C99" s="12">
        <v>2024</v>
      </c>
      <c r="D99" s="12" t="s">
        <v>191</v>
      </c>
      <c r="E99" s="12" t="s">
        <v>220</v>
      </c>
      <c r="F99" s="12" t="s">
        <v>221</v>
      </c>
      <c r="G99" s="12" t="s">
        <v>86</v>
      </c>
      <c r="H99" s="12" t="s">
        <v>232</v>
      </c>
      <c r="I99" s="12">
        <v>43.234139999999996</v>
      </c>
      <c r="J99" s="29">
        <v>-80.242999999999995</v>
      </c>
      <c r="K99" s="12" t="s">
        <v>41</v>
      </c>
      <c r="L99" s="12" t="s">
        <v>223</v>
      </c>
      <c r="N99" s="12">
        <v>1.0685920577617301</v>
      </c>
      <c r="O99" s="12" t="s">
        <v>59</v>
      </c>
      <c r="P99" s="12">
        <v>1.0685920577617301</v>
      </c>
      <c r="Q99" s="12" t="s">
        <v>59</v>
      </c>
      <c r="R99" s="12" t="s">
        <v>166</v>
      </c>
    </row>
    <row r="100" spans="1:18" x14ac:dyDescent="0.35">
      <c r="A100" s="12">
        <v>12</v>
      </c>
      <c r="B100" s="12" t="s">
        <v>219</v>
      </c>
      <c r="C100" s="12">
        <v>2024</v>
      </c>
      <c r="D100" s="12" t="s">
        <v>191</v>
      </c>
      <c r="E100" s="12" t="s">
        <v>220</v>
      </c>
      <c r="F100" s="12" t="s">
        <v>221</v>
      </c>
      <c r="G100" s="12" t="s">
        <v>86</v>
      </c>
      <c r="H100" s="12" t="s">
        <v>233</v>
      </c>
      <c r="I100" s="12">
        <v>43.231760000000001</v>
      </c>
      <c r="J100" s="29">
        <v>-80.231219999999993</v>
      </c>
      <c r="K100" s="12" t="s">
        <v>41</v>
      </c>
      <c r="L100" s="12" t="s">
        <v>223</v>
      </c>
      <c r="N100" s="12">
        <v>0.74729241877256303</v>
      </c>
      <c r="O100" s="12" t="s">
        <v>59</v>
      </c>
      <c r="P100" s="12">
        <v>0.74729241877256303</v>
      </c>
      <c r="Q100" s="12" t="s">
        <v>59</v>
      </c>
      <c r="R100" s="12" t="s">
        <v>166</v>
      </c>
    </row>
    <row r="101" spans="1:18" x14ac:dyDescent="0.35">
      <c r="A101" s="12">
        <v>12</v>
      </c>
      <c r="B101" s="12" t="s">
        <v>219</v>
      </c>
      <c r="C101" s="12">
        <v>2024</v>
      </c>
      <c r="D101" s="12" t="s">
        <v>191</v>
      </c>
      <c r="E101" s="12" t="s">
        <v>220</v>
      </c>
      <c r="F101" s="12" t="s">
        <v>221</v>
      </c>
      <c r="G101" s="12" t="s">
        <v>86</v>
      </c>
      <c r="H101" s="12" t="s">
        <v>234</v>
      </c>
      <c r="I101" s="12">
        <v>43.163800000000002</v>
      </c>
      <c r="J101" s="29">
        <v>-80.204890000000006</v>
      </c>
      <c r="K101" s="12" t="s">
        <v>41</v>
      </c>
      <c r="L101" s="12" t="s">
        <v>223</v>
      </c>
      <c r="N101" s="12">
        <v>0.84837545126353697</v>
      </c>
      <c r="O101" s="12" t="s">
        <v>59</v>
      </c>
      <c r="P101" s="12">
        <v>0.84837545126353697</v>
      </c>
      <c r="Q101" s="12" t="s">
        <v>59</v>
      </c>
      <c r="R101" s="12" t="s">
        <v>166</v>
      </c>
    </row>
    <row r="102" spans="1:18" x14ac:dyDescent="0.35">
      <c r="A102" s="12">
        <v>12</v>
      </c>
      <c r="B102" s="12" t="s">
        <v>219</v>
      </c>
      <c r="C102" s="12">
        <v>2024</v>
      </c>
      <c r="D102" s="12" t="s">
        <v>191</v>
      </c>
      <c r="E102" s="12" t="s">
        <v>220</v>
      </c>
      <c r="F102" s="12" t="s">
        <v>221</v>
      </c>
      <c r="G102" s="12" t="s">
        <v>86</v>
      </c>
      <c r="H102" s="12" t="s">
        <v>222</v>
      </c>
      <c r="I102" s="12">
        <v>43.375259999999997</v>
      </c>
      <c r="J102" s="29">
        <v>-80.263300000000001</v>
      </c>
      <c r="K102" s="12" t="s">
        <v>103</v>
      </c>
      <c r="L102" s="12" t="s">
        <v>223</v>
      </c>
      <c r="N102" s="12">
        <v>131.57894736842101</v>
      </c>
      <c r="O102" s="12" t="s">
        <v>237</v>
      </c>
      <c r="P102" s="12">
        <v>131.57894736842101</v>
      </c>
      <c r="Q102" s="12" t="s">
        <v>107</v>
      </c>
      <c r="R102" s="12" t="s">
        <v>166</v>
      </c>
    </row>
    <row r="103" spans="1:18" x14ac:dyDescent="0.35">
      <c r="A103" s="12">
        <v>12</v>
      </c>
      <c r="B103" s="12" t="s">
        <v>219</v>
      </c>
      <c r="C103" s="12">
        <v>2024</v>
      </c>
      <c r="D103" s="12" t="s">
        <v>191</v>
      </c>
      <c r="E103" s="12" t="s">
        <v>220</v>
      </c>
      <c r="F103" s="12" t="s">
        <v>221</v>
      </c>
      <c r="G103" s="12" t="s">
        <v>86</v>
      </c>
      <c r="H103" s="12" t="s">
        <v>226</v>
      </c>
      <c r="I103" s="12">
        <v>43.350650000000002</v>
      </c>
      <c r="J103" s="29">
        <v>-80.285629999999998</v>
      </c>
      <c r="K103" s="12" t="s">
        <v>103</v>
      </c>
      <c r="L103" s="12" t="s">
        <v>223</v>
      </c>
      <c r="N103" s="12">
        <v>45.748987854250998</v>
      </c>
      <c r="O103" s="12" t="s">
        <v>237</v>
      </c>
      <c r="P103" s="12">
        <v>45.748987854250998</v>
      </c>
      <c r="Q103" s="12" t="s">
        <v>107</v>
      </c>
      <c r="R103" s="12" t="s">
        <v>166</v>
      </c>
    </row>
    <row r="104" spans="1:18" x14ac:dyDescent="0.35">
      <c r="A104" s="12">
        <v>12</v>
      </c>
      <c r="B104" s="12" t="s">
        <v>219</v>
      </c>
      <c r="C104" s="12">
        <v>2024</v>
      </c>
      <c r="D104" s="12" t="s">
        <v>191</v>
      </c>
      <c r="E104" s="12" t="s">
        <v>220</v>
      </c>
      <c r="F104" s="12" t="s">
        <v>221</v>
      </c>
      <c r="G104" s="12" t="s">
        <v>86</v>
      </c>
      <c r="H104" s="12" t="s">
        <v>227</v>
      </c>
      <c r="I104" s="12">
        <v>43.30189</v>
      </c>
      <c r="J104" s="29">
        <v>-80.282780000000002</v>
      </c>
      <c r="K104" s="12" t="s">
        <v>103</v>
      </c>
      <c r="L104" s="12" t="s">
        <v>223</v>
      </c>
      <c r="N104" s="12">
        <v>11.336032388663901</v>
      </c>
      <c r="O104" s="12" t="s">
        <v>237</v>
      </c>
      <c r="P104" s="12">
        <v>11.336032388663901</v>
      </c>
      <c r="Q104" s="12" t="s">
        <v>107</v>
      </c>
      <c r="R104" s="12" t="s">
        <v>166</v>
      </c>
    </row>
    <row r="105" spans="1:18" x14ac:dyDescent="0.35">
      <c r="A105" s="12">
        <v>12</v>
      </c>
      <c r="B105" s="12" t="s">
        <v>219</v>
      </c>
      <c r="C105" s="12">
        <v>2024</v>
      </c>
      <c r="D105" s="12" t="s">
        <v>191</v>
      </c>
      <c r="E105" s="12" t="s">
        <v>220</v>
      </c>
      <c r="F105" s="12" t="s">
        <v>221</v>
      </c>
      <c r="G105" s="12" t="s">
        <v>86</v>
      </c>
      <c r="H105" s="12" t="s">
        <v>228</v>
      </c>
      <c r="I105" s="12">
        <v>43.282490000000003</v>
      </c>
      <c r="J105" s="29">
        <v>-80.282319999999999</v>
      </c>
      <c r="K105" s="12" t="s">
        <v>103</v>
      </c>
      <c r="L105" s="12" t="s">
        <v>223</v>
      </c>
      <c r="N105" s="12">
        <v>116.194331983805</v>
      </c>
      <c r="O105" s="12" t="s">
        <v>237</v>
      </c>
      <c r="P105" s="12">
        <v>116.194331983805</v>
      </c>
      <c r="Q105" s="12" t="s">
        <v>107</v>
      </c>
      <c r="R105" s="12" t="s">
        <v>166</v>
      </c>
    </row>
    <row r="106" spans="1:18" x14ac:dyDescent="0.35">
      <c r="A106" s="12">
        <v>12</v>
      </c>
      <c r="B106" s="12" t="s">
        <v>219</v>
      </c>
      <c r="C106" s="12">
        <v>2024</v>
      </c>
      <c r="D106" s="12" t="s">
        <v>191</v>
      </c>
      <c r="E106" s="12" t="s">
        <v>220</v>
      </c>
      <c r="F106" s="12" t="s">
        <v>221</v>
      </c>
      <c r="G106" s="12" t="s">
        <v>86</v>
      </c>
      <c r="H106" s="12" t="s">
        <v>229</v>
      </c>
      <c r="I106" s="12">
        <v>43.263710000000003</v>
      </c>
      <c r="J106" s="29">
        <v>-80.240499999999997</v>
      </c>
      <c r="K106" s="12" t="s">
        <v>103</v>
      </c>
      <c r="L106" s="12" t="s">
        <v>223</v>
      </c>
      <c r="N106" s="12">
        <v>23.886639676113301</v>
      </c>
      <c r="O106" s="12" t="s">
        <v>237</v>
      </c>
      <c r="P106" s="12">
        <v>23.886639676113301</v>
      </c>
      <c r="Q106" s="12" t="s">
        <v>107</v>
      </c>
      <c r="R106" s="12" t="s">
        <v>166</v>
      </c>
    </row>
    <row r="107" spans="1:18" x14ac:dyDescent="0.35">
      <c r="A107" s="12">
        <v>12</v>
      </c>
      <c r="B107" s="12" t="s">
        <v>219</v>
      </c>
      <c r="C107" s="12">
        <v>2024</v>
      </c>
      <c r="D107" s="12" t="s">
        <v>191</v>
      </c>
      <c r="E107" s="12" t="s">
        <v>220</v>
      </c>
      <c r="F107" s="12" t="s">
        <v>221</v>
      </c>
      <c r="G107" s="12" t="s">
        <v>86</v>
      </c>
      <c r="H107" s="12" t="s">
        <v>230</v>
      </c>
      <c r="I107" s="12">
        <v>43.240729999999999</v>
      </c>
      <c r="J107" s="29">
        <v>-80.254720000000006</v>
      </c>
      <c r="K107" s="12" t="s">
        <v>103</v>
      </c>
      <c r="L107" s="12" t="s">
        <v>223</v>
      </c>
      <c r="N107" s="12">
        <v>10.1214574898785</v>
      </c>
      <c r="O107" s="12" t="s">
        <v>237</v>
      </c>
      <c r="P107" s="12">
        <v>10.1214574898785</v>
      </c>
      <c r="Q107" s="12" t="s">
        <v>107</v>
      </c>
      <c r="R107" s="12" t="s">
        <v>166</v>
      </c>
    </row>
    <row r="108" spans="1:18" x14ac:dyDescent="0.35">
      <c r="A108" s="12">
        <v>12</v>
      </c>
      <c r="B108" s="12" t="s">
        <v>219</v>
      </c>
      <c r="C108" s="12">
        <v>2024</v>
      </c>
      <c r="D108" s="12" t="s">
        <v>191</v>
      </c>
      <c r="E108" s="12" t="s">
        <v>220</v>
      </c>
      <c r="F108" s="12" t="s">
        <v>221</v>
      </c>
      <c r="G108" s="12" t="s">
        <v>86</v>
      </c>
      <c r="H108" s="12" t="s">
        <v>231</v>
      </c>
      <c r="I108" s="12">
        <v>43.235329999999998</v>
      </c>
      <c r="J108" s="29">
        <v>-80.245649999999998</v>
      </c>
      <c r="K108" s="12" t="s">
        <v>103</v>
      </c>
      <c r="L108" s="12" t="s">
        <v>223</v>
      </c>
      <c r="N108" s="12">
        <v>6.0728744939271397</v>
      </c>
      <c r="O108" s="12" t="s">
        <v>237</v>
      </c>
      <c r="P108" s="12">
        <v>6.0728744939271397</v>
      </c>
      <c r="Q108" s="12" t="s">
        <v>107</v>
      </c>
      <c r="R108" s="12" t="s">
        <v>166</v>
      </c>
    </row>
    <row r="109" spans="1:18" x14ac:dyDescent="0.35">
      <c r="A109" s="12">
        <v>12</v>
      </c>
      <c r="B109" s="12" t="s">
        <v>219</v>
      </c>
      <c r="C109" s="12">
        <v>2024</v>
      </c>
      <c r="D109" s="12" t="s">
        <v>191</v>
      </c>
      <c r="E109" s="12" t="s">
        <v>220</v>
      </c>
      <c r="F109" s="12" t="s">
        <v>221</v>
      </c>
      <c r="G109" s="12" t="s">
        <v>86</v>
      </c>
      <c r="H109" s="12" t="s">
        <v>232</v>
      </c>
      <c r="I109" s="12">
        <v>43.234139999999996</v>
      </c>
      <c r="J109" s="29">
        <v>-80.242999999999995</v>
      </c>
      <c r="K109" s="12" t="s">
        <v>103</v>
      </c>
      <c r="L109" s="12" t="s">
        <v>223</v>
      </c>
      <c r="N109" s="12">
        <v>14.9797570850202</v>
      </c>
      <c r="O109" s="12" t="s">
        <v>237</v>
      </c>
      <c r="P109" s="12">
        <v>14.9797570850202</v>
      </c>
      <c r="Q109" s="12" t="s">
        <v>107</v>
      </c>
      <c r="R109" s="12" t="s">
        <v>166</v>
      </c>
    </row>
    <row r="110" spans="1:18" x14ac:dyDescent="0.35">
      <c r="A110" s="12">
        <v>12</v>
      </c>
      <c r="B110" s="12" t="s">
        <v>219</v>
      </c>
      <c r="C110" s="12">
        <v>2024</v>
      </c>
      <c r="D110" s="12" t="s">
        <v>191</v>
      </c>
      <c r="E110" s="12" t="s">
        <v>220</v>
      </c>
      <c r="F110" s="12" t="s">
        <v>221</v>
      </c>
      <c r="G110" s="12" t="s">
        <v>86</v>
      </c>
      <c r="H110" s="12" t="s">
        <v>233</v>
      </c>
      <c r="I110" s="12">
        <v>43.231760000000001</v>
      </c>
      <c r="J110" s="29">
        <v>-80.231219999999993</v>
      </c>
      <c r="K110" s="12" t="s">
        <v>103</v>
      </c>
      <c r="L110" s="12" t="s">
        <v>223</v>
      </c>
      <c r="N110" s="12">
        <v>21.052631578947398</v>
      </c>
      <c r="O110" s="12" t="s">
        <v>237</v>
      </c>
      <c r="P110" s="12">
        <v>21.052631578947398</v>
      </c>
      <c r="Q110" s="12" t="s">
        <v>107</v>
      </c>
      <c r="R110" s="12" t="s">
        <v>166</v>
      </c>
    </row>
    <row r="111" spans="1:18" x14ac:dyDescent="0.35">
      <c r="A111" s="12">
        <v>12</v>
      </c>
      <c r="B111" s="12" t="s">
        <v>219</v>
      </c>
      <c r="C111" s="12">
        <v>2024</v>
      </c>
      <c r="D111" s="12" t="s">
        <v>191</v>
      </c>
      <c r="E111" s="12" t="s">
        <v>220</v>
      </c>
      <c r="F111" s="12" t="s">
        <v>221</v>
      </c>
      <c r="G111" s="12" t="s">
        <v>86</v>
      </c>
      <c r="H111" s="12" t="s">
        <v>234</v>
      </c>
      <c r="I111" s="12">
        <v>43.163800000000002</v>
      </c>
      <c r="J111" s="29">
        <v>-80.204890000000006</v>
      </c>
      <c r="K111" s="12" t="s">
        <v>103</v>
      </c>
      <c r="L111" s="12" t="s">
        <v>223</v>
      </c>
      <c r="N111" s="12">
        <v>22.6720647773279</v>
      </c>
      <c r="O111" s="12" t="s">
        <v>237</v>
      </c>
      <c r="P111" s="12">
        <v>22.6720647773279</v>
      </c>
      <c r="Q111" s="12" t="s">
        <v>107</v>
      </c>
      <c r="R111" s="12" t="s">
        <v>166</v>
      </c>
    </row>
    <row r="112" spans="1:18" x14ac:dyDescent="0.35">
      <c r="A112" s="12">
        <v>13</v>
      </c>
      <c r="B112" s="12" t="s">
        <v>238</v>
      </c>
      <c r="C112" s="12">
        <v>2023</v>
      </c>
      <c r="D112" s="12" t="s">
        <v>239</v>
      </c>
      <c r="E112" s="12" t="s">
        <v>240</v>
      </c>
      <c r="F112" s="12" t="s">
        <v>241</v>
      </c>
      <c r="G112" s="12" t="s">
        <v>242</v>
      </c>
      <c r="H112" s="12" t="s">
        <v>243</v>
      </c>
      <c r="I112" s="12">
        <v>52.179513999999998</v>
      </c>
      <c r="J112" s="16">
        <v>-106.602321</v>
      </c>
      <c r="K112" s="12" t="s">
        <v>41</v>
      </c>
      <c r="L112" s="12" t="s">
        <v>223</v>
      </c>
      <c r="M112" s="12" t="s">
        <v>247</v>
      </c>
      <c r="N112" s="12">
        <v>2</v>
      </c>
      <c r="O112" s="12" t="s">
        <v>248</v>
      </c>
      <c r="P112" s="12">
        <f t="shared" ref="P112:P121" si="2">N112/1000</f>
        <v>2E-3</v>
      </c>
      <c r="Q112" s="12" t="s">
        <v>59</v>
      </c>
      <c r="R112" s="12" t="s">
        <v>249</v>
      </c>
    </row>
    <row r="113" spans="1:18" x14ac:dyDescent="0.35">
      <c r="A113" s="12">
        <v>13</v>
      </c>
      <c r="B113" s="12" t="s">
        <v>238</v>
      </c>
      <c r="C113" s="12">
        <v>2023</v>
      </c>
      <c r="D113" s="12" t="s">
        <v>239</v>
      </c>
      <c r="E113" s="12" t="s">
        <v>240</v>
      </c>
      <c r="F113" s="12" t="s">
        <v>241</v>
      </c>
      <c r="G113" s="12" t="s">
        <v>242</v>
      </c>
      <c r="H113" s="12" t="s">
        <v>250</v>
      </c>
      <c r="I113" s="12">
        <v>51.976005999999998</v>
      </c>
      <c r="J113" s="16">
        <v>-106.703812</v>
      </c>
      <c r="K113" s="12" t="s">
        <v>41</v>
      </c>
      <c r="L113" s="12" t="s">
        <v>223</v>
      </c>
      <c r="M113" s="12" t="s">
        <v>247</v>
      </c>
      <c r="N113" s="12">
        <v>2</v>
      </c>
      <c r="O113" s="12" t="s">
        <v>248</v>
      </c>
      <c r="P113" s="12">
        <f t="shared" si="2"/>
        <v>2E-3</v>
      </c>
      <c r="Q113" s="12" t="s">
        <v>59</v>
      </c>
      <c r="R113" s="12" t="s">
        <v>249</v>
      </c>
    </row>
    <row r="114" spans="1:18" x14ac:dyDescent="0.35">
      <c r="A114" s="12">
        <v>13</v>
      </c>
      <c r="B114" s="12" t="s">
        <v>238</v>
      </c>
      <c r="C114" s="12">
        <v>2023</v>
      </c>
      <c r="D114" s="12" t="s">
        <v>239</v>
      </c>
      <c r="E114" s="12" t="s">
        <v>240</v>
      </c>
      <c r="F114" s="12" t="s">
        <v>241</v>
      </c>
      <c r="G114" s="12" t="s">
        <v>242</v>
      </c>
      <c r="H114" s="12" t="s">
        <v>251</v>
      </c>
      <c r="I114" s="12">
        <v>52.317948000000001</v>
      </c>
      <c r="J114" s="16">
        <v>-106.459101</v>
      </c>
      <c r="K114" s="12" t="s">
        <v>41</v>
      </c>
      <c r="L114" s="12" t="s">
        <v>223</v>
      </c>
      <c r="M114" s="12" t="s">
        <v>247</v>
      </c>
      <c r="N114" s="12">
        <v>2.67</v>
      </c>
      <c r="O114" s="12" t="s">
        <v>248</v>
      </c>
      <c r="P114" s="12">
        <f t="shared" si="2"/>
        <v>2.6700000000000001E-3</v>
      </c>
      <c r="Q114" s="12" t="s">
        <v>59</v>
      </c>
      <c r="R114" s="12" t="s">
        <v>249</v>
      </c>
    </row>
    <row r="115" spans="1:18" x14ac:dyDescent="0.35">
      <c r="A115" s="12">
        <v>13</v>
      </c>
      <c r="B115" s="12" t="s">
        <v>238</v>
      </c>
      <c r="C115" s="12">
        <v>2023</v>
      </c>
      <c r="D115" s="12" t="s">
        <v>239</v>
      </c>
      <c r="E115" s="12" t="s">
        <v>240</v>
      </c>
      <c r="F115" s="12" t="s">
        <v>241</v>
      </c>
      <c r="G115" s="12" t="s">
        <v>242</v>
      </c>
      <c r="H115" s="12" t="s">
        <v>252</v>
      </c>
      <c r="I115" s="12">
        <v>52.167251</v>
      </c>
      <c r="J115" s="16">
        <v>-106.607962</v>
      </c>
      <c r="K115" s="12" t="s">
        <v>41</v>
      </c>
      <c r="L115" s="12" t="s">
        <v>223</v>
      </c>
      <c r="M115" s="12" t="s">
        <v>247</v>
      </c>
      <c r="N115" s="12">
        <v>3.33</v>
      </c>
      <c r="O115" s="12" t="s">
        <v>248</v>
      </c>
      <c r="P115" s="12">
        <f t="shared" si="2"/>
        <v>3.3300000000000001E-3</v>
      </c>
      <c r="Q115" s="12" t="s">
        <v>59</v>
      </c>
      <c r="R115" s="12" t="s">
        <v>249</v>
      </c>
    </row>
    <row r="116" spans="1:18" x14ac:dyDescent="0.35">
      <c r="A116" s="12">
        <v>13</v>
      </c>
      <c r="B116" s="12" t="s">
        <v>238</v>
      </c>
      <c r="C116" s="12">
        <v>2023</v>
      </c>
      <c r="D116" s="12" t="s">
        <v>239</v>
      </c>
      <c r="E116" s="12" t="s">
        <v>240</v>
      </c>
      <c r="F116" s="12" t="s">
        <v>241</v>
      </c>
      <c r="G116" s="12" t="s">
        <v>242</v>
      </c>
      <c r="H116" s="12" t="s">
        <v>253</v>
      </c>
      <c r="I116" s="12">
        <v>51.983964999999998</v>
      </c>
      <c r="J116" s="16">
        <v>-106.73408000000001</v>
      </c>
      <c r="K116" s="12" t="s">
        <v>41</v>
      </c>
      <c r="L116" s="12" t="s">
        <v>223</v>
      </c>
      <c r="M116" s="12" t="s">
        <v>247</v>
      </c>
      <c r="N116" s="12">
        <v>1.33</v>
      </c>
      <c r="O116" s="12" t="s">
        <v>248</v>
      </c>
      <c r="P116" s="12">
        <f t="shared" si="2"/>
        <v>1.33E-3</v>
      </c>
      <c r="Q116" s="12" t="s">
        <v>59</v>
      </c>
      <c r="R116" s="12" t="s">
        <v>249</v>
      </c>
    </row>
    <row r="117" spans="1:18" x14ac:dyDescent="0.35">
      <c r="A117" s="12">
        <v>13</v>
      </c>
      <c r="B117" s="12" t="s">
        <v>238</v>
      </c>
      <c r="C117" s="12">
        <v>2023</v>
      </c>
      <c r="D117" s="12" t="s">
        <v>239</v>
      </c>
      <c r="E117" s="12" t="s">
        <v>240</v>
      </c>
      <c r="F117" s="12" t="s">
        <v>241</v>
      </c>
      <c r="G117" s="12" t="s">
        <v>242</v>
      </c>
      <c r="H117" s="12" t="s">
        <v>254</v>
      </c>
      <c r="I117" s="12">
        <v>50.933025999999998</v>
      </c>
      <c r="J117" s="16">
        <v>-108.601229</v>
      </c>
      <c r="K117" s="12" t="s">
        <v>41</v>
      </c>
      <c r="L117" s="12" t="s">
        <v>223</v>
      </c>
      <c r="M117" s="12" t="s">
        <v>247</v>
      </c>
      <c r="N117" s="12">
        <v>12</v>
      </c>
      <c r="O117" s="12" t="s">
        <v>248</v>
      </c>
      <c r="P117" s="12">
        <f t="shared" si="2"/>
        <v>1.2E-2</v>
      </c>
      <c r="Q117" s="12" t="s">
        <v>59</v>
      </c>
      <c r="R117" s="12" t="s">
        <v>249</v>
      </c>
    </row>
    <row r="118" spans="1:18" x14ac:dyDescent="0.35">
      <c r="A118" s="12">
        <v>13</v>
      </c>
      <c r="B118" s="12" t="s">
        <v>238</v>
      </c>
      <c r="C118" s="12">
        <v>2023</v>
      </c>
      <c r="D118" s="12" t="s">
        <v>239</v>
      </c>
      <c r="E118" s="12" t="s">
        <v>240</v>
      </c>
      <c r="F118" s="12" t="s">
        <v>241</v>
      </c>
      <c r="G118" s="12" t="s">
        <v>242</v>
      </c>
      <c r="H118" s="12" t="s">
        <v>255</v>
      </c>
      <c r="I118" s="12">
        <v>52.175901000000003</v>
      </c>
      <c r="J118" s="16">
        <v>-106.57409699999999</v>
      </c>
      <c r="K118" s="12" t="s">
        <v>41</v>
      </c>
      <c r="L118" s="12" t="s">
        <v>223</v>
      </c>
      <c r="M118" s="12" t="s">
        <v>247</v>
      </c>
      <c r="N118" s="12">
        <v>12</v>
      </c>
      <c r="O118" s="12" t="s">
        <v>248</v>
      </c>
      <c r="P118" s="12">
        <f t="shared" si="2"/>
        <v>1.2E-2</v>
      </c>
      <c r="Q118" s="12" t="s">
        <v>59</v>
      </c>
      <c r="R118" s="12" t="s">
        <v>249</v>
      </c>
    </row>
    <row r="119" spans="1:18" x14ac:dyDescent="0.35">
      <c r="A119" s="12">
        <v>13</v>
      </c>
      <c r="B119" s="12" t="s">
        <v>238</v>
      </c>
      <c r="C119" s="12">
        <v>2023</v>
      </c>
      <c r="D119" s="12" t="s">
        <v>239</v>
      </c>
      <c r="E119" s="12" t="s">
        <v>240</v>
      </c>
      <c r="F119" s="12" t="s">
        <v>241</v>
      </c>
      <c r="G119" s="12" t="s">
        <v>242</v>
      </c>
      <c r="H119" s="12" t="s">
        <v>256</v>
      </c>
      <c r="I119" s="12">
        <v>51.455950000000001</v>
      </c>
      <c r="J119" s="16">
        <v>-107.083724</v>
      </c>
      <c r="K119" s="12" t="s">
        <v>41</v>
      </c>
      <c r="L119" s="12" t="s">
        <v>223</v>
      </c>
      <c r="M119" s="12" t="s">
        <v>247</v>
      </c>
      <c r="N119" s="12">
        <v>3.33</v>
      </c>
      <c r="O119" s="12" t="s">
        <v>248</v>
      </c>
      <c r="P119" s="12">
        <f t="shared" si="2"/>
        <v>3.3300000000000001E-3</v>
      </c>
      <c r="Q119" s="12" t="s">
        <v>59</v>
      </c>
      <c r="R119" s="12" t="s">
        <v>249</v>
      </c>
    </row>
    <row r="120" spans="1:18" x14ac:dyDescent="0.35">
      <c r="A120" s="12">
        <v>13</v>
      </c>
      <c r="B120" s="12" t="s">
        <v>238</v>
      </c>
      <c r="C120" s="12">
        <v>2023</v>
      </c>
      <c r="D120" s="12" t="s">
        <v>239</v>
      </c>
      <c r="E120" s="12" t="s">
        <v>240</v>
      </c>
      <c r="F120" s="12" t="s">
        <v>241</v>
      </c>
      <c r="G120" s="12" t="s">
        <v>242</v>
      </c>
      <c r="H120" s="12" t="s">
        <v>257</v>
      </c>
      <c r="I120" s="12">
        <v>51.588875999999999</v>
      </c>
      <c r="J120" s="16">
        <v>-107.042151</v>
      </c>
      <c r="K120" s="12" t="s">
        <v>41</v>
      </c>
      <c r="L120" s="12" t="s">
        <v>223</v>
      </c>
      <c r="M120" s="12" t="s">
        <v>247</v>
      </c>
      <c r="N120" s="12">
        <v>3.33</v>
      </c>
      <c r="O120" s="12" t="s">
        <v>248</v>
      </c>
      <c r="P120" s="12">
        <f t="shared" si="2"/>
        <v>3.3300000000000001E-3</v>
      </c>
      <c r="Q120" s="12" t="s">
        <v>59</v>
      </c>
      <c r="R120" s="12" t="s">
        <v>249</v>
      </c>
    </row>
    <row r="121" spans="1:18" x14ac:dyDescent="0.35">
      <c r="A121" s="12">
        <v>13</v>
      </c>
      <c r="B121" s="12" t="s">
        <v>238</v>
      </c>
      <c r="C121" s="12">
        <v>2023</v>
      </c>
      <c r="D121" s="12" t="s">
        <v>239</v>
      </c>
      <c r="E121" s="12" t="s">
        <v>240</v>
      </c>
      <c r="F121" s="12" t="s">
        <v>241</v>
      </c>
      <c r="G121" s="12" t="s">
        <v>242</v>
      </c>
      <c r="H121" s="12" t="s">
        <v>258</v>
      </c>
      <c r="I121" s="12">
        <v>52.924723</v>
      </c>
      <c r="J121" s="16">
        <v>-105.810985</v>
      </c>
      <c r="K121" s="12" t="s">
        <v>41</v>
      </c>
      <c r="L121" s="12" t="s">
        <v>223</v>
      </c>
      <c r="M121" s="12" t="s">
        <v>247</v>
      </c>
      <c r="N121" s="12">
        <v>5.33</v>
      </c>
      <c r="O121" s="12" t="s">
        <v>248</v>
      </c>
      <c r="P121" s="12">
        <f t="shared" si="2"/>
        <v>5.3299999999999997E-3</v>
      </c>
      <c r="Q121" s="12" t="s">
        <v>59</v>
      </c>
      <c r="R121" s="12" t="s">
        <v>249</v>
      </c>
    </row>
    <row r="122" spans="1:18" x14ac:dyDescent="0.35">
      <c r="A122" s="12">
        <v>14</v>
      </c>
      <c r="B122" s="12" t="s">
        <v>259</v>
      </c>
      <c r="C122" s="12">
        <v>2022</v>
      </c>
      <c r="D122" s="12" t="s">
        <v>260</v>
      </c>
      <c r="E122" s="12" t="s">
        <v>261</v>
      </c>
      <c r="F122" s="12" t="s">
        <v>262</v>
      </c>
      <c r="G122" s="12" t="s">
        <v>86</v>
      </c>
      <c r="H122" s="12" t="s">
        <v>263</v>
      </c>
      <c r="I122" s="12">
        <v>43.582943</v>
      </c>
      <c r="J122" s="16">
        <v>-79.523829000000006</v>
      </c>
      <c r="K122" s="12" t="s">
        <v>41</v>
      </c>
      <c r="L122" s="12" t="s">
        <v>28</v>
      </c>
      <c r="N122" s="12">
        <v>0.8</v>
      </c>
      <c r="O122" s="12" t="s">
        <v>59</v>
      </c>
      <c r="P122" s="12">
        <v>0.8</v>
      </c>
      <c r="Q122" s="12" t="s">
        <v>59</v>
      </c>
    </row>
    <row r="123" spans="1:18" x14ac:dyDescent="0.35">
      <c r="A123" s="12">
        <v>15</v>
      </c>
      <c r="B123" s="12" t="s">
        <v>266</v>
      </c>
      <c r="C123" s="12">
        <v>2022</v>
      </c>
      <c r="D123" s="12" t="s">
        <v>267</v>
      </c>
      <c r="E123" s="13" t="s">
        <v>268</v>
      </c>
      <c r="F123" s="14" t="s">
        <v>269</v>
      </c>
      <c r="G123" s="12" t="s">
        <v>86</v>
      </c>
      <c r="H123" s="14" t="s">
        <v>270</v>
      </c>
      <c r="I123" s="12">
        <v>42.880836000000002</v>
      </c>
      <c r="J123" s="12">
        <v>-78.962665000000001</v>
      </c>
      <c r="K123" s="12" t="s">
        <v>138</v>
      </c>
      <c r="L123" s="12" t="s">
        <v>28</v>
      </c>
      <c r="M123" s="12" t="s">
        <v>272</v>
      </c>
      <c r="N123" s="12">
        <v>23.7</v>
      </c>
      <c r="O123" s="12" t="s">
        <v>273</v>
      </c>
      <c r="P123" s="12">
        <v>23.7</v>
      </c>
      <c r="Q123" s="12" t="s">
        <v>144</v>
      </c>
    </row>
    <row r="124" spans="1:18" x14ac:dyDescent="0.35">
      <c r="A124" s="12">
        <v>15</v>
      </c>
      <c r="B124" s="12" t="s">
        <v>266</v>
      </c>
      <c r="C124" s="12">
        <v>2022</v>
      </c>
      <c r="D124" s="12" t="s">
        <v>267</v>
      </c>
      <c r="E124" s="13" t="s">
        <v>268</v>
      </c>
      <c r="F124" s="14" t="s">
        <v>269</v>
      </c>
      <c r="G124" s="14" t="s">
        <v>274</v>
      </c>
      <c r="H124" s="14" t="s">
        <v>275</v>
      </c>
      <c r="I124" s="12">
        <v>41.772502000000003</v>
      </c>
      <c r="J124" s="12">
        <v>-81.272175000000004</v>
      </c>
      <c r="K124" s="12" t="s">
        <v>138</v>
      </c>
      <c r="L124" s="12" t="s">
        <v>28</v>
      </c>
      <c r="M124" s="12" t="s">
        <v>272</v>
      </c>
      <c r="N124" s="12">
        <v>22</v>
      </c>
      <c r="O124" s="12" t="s">
        <v>273</v>
      </c>
      <c r="P124" s="12">
        <v>22</v>
      </c>
      <c r="Q124" s="12" t="s">
        <v>144</v>
      </c>
    </row>
    <row r="125" spans="1:18" x14ac:dyDescent="0.35">
      <c r="A125" s="12">
        <v>15</v>
      </c>
      <c r="B125" s="12" t="s">
        <v>266</v>
      </c>
      <c r="C125" s="12">
        <v>2022</v>
      </c>
      <c r="D125" s="12" t="s">
        <v>267</v>
      </c>
      <c r="E125" s="13" t="s">
        <v>268</v>
      </c>
      <c r="F125" s="14" t="s">
        <v>269</v>
      </c>
      <c r="G125" s="14" t="s">
        <v>274</v>
      </c>
      <c r="H125" s="14" t="s">
        <v>276</v>
      </c>
      <c r="I125" s="12">
        <v>42.608725999999997</v>
      </c>
      <c r="J125" s="12">
        <v>-79.113743999999997</v>
      </c>
      <c r="K125" s="12" t="s">
        <v>138</v>
      </c>
      <c r="L125" s="12" t="s">
        <v>28</v>
      </c>
      <c r="M125" s="12" t="s">
        <v>272</v>
      </c>
      <c r="N125" s="12">
        <v>17.2</v>
      </c>
      <c r="O125" s="12" t="s">
        <v>273</v>
      </c>
      <c r="P125" s="12">
        <v>17.2</v>
      </c>
      <c r="Q125" s="12" t="s">
        <v>144</v>
      </c>
    </row>
    <row r="126" spans="1:18" x14ac:dyDescent="0.35">
      <c r="A126" s="12">
        <v>15</v>
      </c>
      <c r="B126" s="12" t="s">
        <v>266</v>
      </c>
      <c r="C126" s="12">
        <v>2022</v>
      </c>
      <c r="D126" s="12" t="s">
        <v>267</v>
      </c>
      <c r="E126" s="13" t="s">
        <v>268</v>
      </c>
      <c r="F126" s="14" t="s">
        <v>269</v>
      </c>
      <c r="G126" s="12" t="s">
        <v>86</v>
      </c>
      <c r="H126" s="14" t="s">
        <v>277</v>
      </c>
      <c r="I126" s="24">
        <v>41.983437000000002</v>
      </c>
      <c r="J126" s="12">
        <v>-82.935023999999999</v>
      </c>
      <c r="K126" s="12" t="s">
        <v>138</v>
      </c>
      <c r="L126" s="12" t="s">
        <v>28</v>
      </c>
      <c r="M126" s="12" t="s">
        <v>272</v>
      </c>
      <c r="N126" s="12">
        <v>13.4</v>
      </c>
      <c r="O126" s="12" t="s">
        <v>273</v>
      </c>
      <c r="P126" s="12">
        <v>13.4</v>
      </c>
      <c r="Q126" s="12" t="s">
        <v>144</v>
      </c>
    </row>
    <row r="127" spans="1:18" x14ac:dyDescent="0.35">
      <c r="A127" s="12">
        <v>15</v>
      </c>
      <c r="B127" s="12" t="s">
        <v>266</v>
      </c>
      <c r="C127" s="12">
        <v>2022</v>
      </c>
      <c r="D127" s="12" t="s">
        <v>267</v>
      </c>
      <c r="E127" s="13" t="s">
        <v>268</v>
      </c>
      <c r="F127" s="14" t="s">
        <v>269</v>
      </c>
      <c r="G127" s="12" t="s">
        <v>86</v>
      </c>
      <c r="H127" s="14" t="s">
        <v>278</v>
      </c>
      <c r="I127" s="12">
        <v>42.657573999999997</v>
      </c>
      <c r="J127" s="12">
        <v>-81.218402999999995</v>
      </c>
      <c r="K127" s="12" t="s">
        <v>138</v>
      </c>
      <c r="L127" s="12" t="s">
        <v>28</v>
      </c>
      <c r="M127" s="12" t="s">
        <v>272</v>
      </c>
      <c r="N127" s="12">
        <v>9.3000000000000007</v>
      </c>
      <c r="O127" s="12" t="s">
        <v>273</v>
      </c>
      <c r="P127" s="12">
        <v>9.3000000000000007</v>
      </c>
      <c r="Q127" s="12" t="s">
        <v>144</v>
      </c>
    </row>
    <row r="128" spans="1:18" x14ac:dyDescent="0.35">
      <c r="A128" s="12">
        <v>15</v>
      </c>
      <c r="B128" s="12" t="s">
        <v>266</v>
      </c>
      <c r="C128" s="12">
        <v>2022</v>
      </c>
      <c r="D128" s="12" t="s">
        <v>267</v>
      </c>
      <c r="E128" s="13" t="s">
        <v>268</v>
      </c>
      <c r="F128" s="14" t="s">
        <v>269</v>
      </c>
      <c r="G128" s="12" t="s">
        <v>86</v>
      </c>
      <c r="H128" s="14" t="s">
        <v>279</v>
      </c>
      <c r="I128" s="12">
        <v>42.003951999999998</v>
      </c>
      <c r="J128" s="12">
        <v>-82.788540999999995</v>
      </c>
      <c r="K128" s="12" t="s">
        <v>138</v>
      </c>
      <c r="L128" s="12" t="s">
        <v>28</v>
      </c>
      <c r="M128" s="12" t="s">
        <v>272</v>
      </c>
      <c r="N128" s="12">
        <v>7.7</v>
      </c>
      <c r="O128" s="12" t="s">
        <v>273</v>
      </c>
      <c r="P128" s="12">
        <v>7.7</v>
      </c>
      <c r="Q128" s="12" t="s">
        <v>144</v>
      </c>
    </row>
    <row r="129" spans="1:17" x14ac:dyDescent="0.35">
      <c r="A129" s="12">
        <v>15</v>
      </c>
      <c r="B129" s="12" t="s">
        <v>266</v>
      </c>
      <c r="C129" s="12">
        <v>2022</v>
      </c>
      <c r="D129" s="12" t="s">
        <v>267</v>
      </c>
      <c r="E129" s="13" t="s">
        <v>268</v>
      </c>
      <c r="F129" s="14" t="s">
        <v>269</v>
      </c>
      <c r="G129" s="12" t="s">
        <v>86</v>
      </c>
      <c r="H129" s="14" t="s">
        <v>280</v>
      </c>
      <c r="I129" s="12">
        <v>42.076073000000001</v>
      </c>
      <c r="J129" s="12">
        <v>-82.448040000000006</v>
      </c>
      <c r="K129" s="12" t="s">
        <v>138</v>
      </c>
      <c r="L129" s="12" t="s">
        <v>28</v>
      </c>
      <c r="M129" s="12" t="s">
        <v>272</v>
      </c>
      <c r="N129" s="12">
        <v>5.8</v>
      </c>
      <c r="O129" s="12" t="s">
        <v>273</v>
      </c>
      <c r="P129" s="12">
        <v>5.8</v>
      </c>
      <c r="Q129" s="12" t="s">
        <v>144</v>
      </c>
    </row>
    <row r="130" spans="1:17" x14ac:dyDescent="0.35">
      <c r="A130" s="12">
        <v>15</v>
      </c>
      <c r="B130" s="12" t="s">
        <v>266</v>
      </c>
      <c r="C130" s="12">
        <v>2022</v>
      </c>
      <c r="D130" s="12" t="s">
        <v>267</v>
      </c>
      <c r="E130" s="13" t="s">
        <v>268</v>
      </c>
      <c r="F130" s="14" t="s">
        <v>269</v>
      </c>
      <c r="G130" s="12" t="s">
        <v>86</v>
      </c>
      <c r="H130" s="14" t="s">
        <v>281</v>
      </c>
      <c r="I130" s="12">
        <v>42.847918999999997</v>
      </c>
      <c r="J130" s="12">
        <v>-79.664705999999995</v>
      </c>
      <c r="K130" s="12" t="s">
        <v>138</v>
      </c>
      <c r="L130" s="12" t="s">
        <v>28</v>
      </c>
      <c r="M130" s="12" t="s">
        <v>272</v>
      </c>
      <c r="N130" s="12">
        <v>0.5</v>
      </c>
      <c r="O130" s="12" t="s">
        <v>273</v>
      </c>
      <c r="P130" s="12">
        <v>0.5</v>
      </c>
      <c r="Q130" s="12" t="s">
        <v>144</v>
      </c>
    </row>
    <row r="131" spans="1:17" x14ac:dyDescent="0.35">
      <c r="A131" s="12">
        <v>15</v>
      </c>
      <c r="B131" s="12" t="s">
        <v>266</v>
      </c>
      <c r="C131" s="12">
        <v>2022</v>
      </c>
      <c r="D131" s="12" t="s">
        <v>267</v>
      </c>
      <c r="E131" s="13" t="s">
        <v>268</v>
      </c>
      <c r="F131" s="14" t="s">
        <v>269</v>
      </c>
      <c r="G131" s="12" t="s">
        <v>86</v>
      </c>
      <c r="H131" s="14" t="s">
        <v>282</v>
      </c>
      <c r="I131" s="12">
        <v>41.517741999999998</v>
      </c>
      <c r="J131" s="12">
        <v>-82.932569000000001</v>
      </c>
      <c r="K131" s="12" t="s">
        <v>138</v>
      </c>
      <c r="L131" s="12" t="s">
        <v>28</v>
      </c>
      <c r="M131" s="12" t="s">
        <v>272</v>
      </c>
      <c r="N131" s="12">
        <v>0.2</v>
      </c>
      <c r="O131" s="12" t="s">
        <v>273</v>
      </c>
      <c r="P131" s="12">
        <v>0.2</v>
      </c>
      <c r="Q131" s="12" t="s">
        <v>144</v>
      </c>
    </row>
    <row r="132" spans="1:17" x14ac:dyDescent="0.35">
      <c r="A132" s="12">
        <v>15</v>
      </c>
      <c r="B132" s="12" t="s">
        <v>266</v>
      </c>
      <c r="C132" s="12">
        <v>2022</v>
      </c>
      <c r="D132" s="12" t="s">
        <v>267</v>
      </c>
      <c r="E132" s="13" t="s">
        <v>268</v>
      </c>
      <c r="F132" s="14" t="s">
        <v>269</v>
      </c>
      <c r="G132" s="14" t="s">
        <v>274</v>
      </c>
      <c r="H132" s="14" t="s">
        <v>283</v>
      </c>
      <c r="I132" s="12">
        <v>42.166587999999997</v>
      </c>
      <c r="J132" s="12">
        <v>-80.118110999999999</v>
      </c>
      <c r="K132" s="12" t="s">
        <v>138</v>
      </c>
      <c r="L132" s="12" t="s">
        <v>28</v>
      </c>
      <c r="M132" s="12" t="s">
        <v>272</v>
      </c>
      <c r="N132" s="12">
        <v>0</v>
      </c>
      <c r="O132" s="12" t="s">
        <v>273</v>
      </c>
      <c r="P132" s="12">
        <v>0</v>
      </c>
      <c r="Q132" s="12" t="s">
        <v>144</v>
      </c>
    </row>
    <row r="133" spans="1:17" x14ac:dyDescent="0.35">
      <c r="A133" s="12">
        <v>15</v>
      </c>
      <c r="B133" s="12" t="s">
        <v>266</v>
      </c>
      <c r="C133" s="12">
        <v>2022</v>
      </c>
      <c r="D133" s="12" t="s">
        <v>267</v>
      </c>
      <c r="E133" s="13" t="s">
        <v>268</v>
      </c>
      <c r="F133" s="14" t="s">
        <v>269</v>
      </c>
      <c r="G133" s="12" t="s">
        <v>86</v>
      </c>
      <c r="H133" s="14" t="s">
        <v>284</v>
      </c>
      <c r="I133" s="12">
        <v>43.021683000000003</v>
      </c>
      <c r="J133" s="12">
        <v>-82.384735000000006</v>
      </c>
      <c r="K133" s="12" t="s">
        <v>138</v>
      </c>
      <c r="L133" s="12" t="s">
        <v>28</v>
      </c>
      <c r="M133" s="12" t="s">
        <v>272</v>
      </c>
      <c r="N133" s="12">
        <v>805.5</v>
      </c>
      <c r="O133" s="12" t="s">
        <v>273</v>
      </c>
      <c r="P133" s="12">
        <v>805.5</v>
      </c>
      <c r="Q133" s="12" t="s">
        <v>144</v>
      </c>
    </row>
    <row r="134" spans="1:17" x14ac:dyDescent="0.35">
      <c r="A134" s="12">
        <v>15</v>
      </c>
      <c r="B134" s="12" t="s">
        <v>266</v>
      </c>
      <c r="C134" s="12">
        <v>2022</v>
      </c>
      <c r="D134" s="12" t="s">
        <v>267</v>
      </c>
      <c r="E134" s="13" t="s">
        <v>268</v>
      </c>
      <c r="F134" s="14" t="s">
        <v>269</v>
      </c>
      <c r="G134" s="12" t="s">
        <v>86</v>
      </c>
      <c r="H134" s="14" t="s">
        <v>285</v>
      </c>
      <c r="I134" s="12">
        <v>43.776668000000001</v>
      </c>
      <c r="J134" s="12">
        <v>-81.721789999999999</v>
      </c>
      <c r="K134" s="12" t="s">
        <v>138</v>
      </c>
      <c r="L134" s="12" t="s">
        <v>28</v>
      </c>
      <c r="M134" s="12" t="s">
        <v>272</v>
      </c>
      <c r="N134" s="12">
        <v>12.1</v>
      </c>
      <c r="O134" s="12" t="s">
        <v>273</v>
      </c>
      <c r="P134" s="12">
        <v>12.1</v>
      </c>
      <c r="Q134" s="12" t="s">
        <v>144</v>
      </c>
    </row>
    <row r="135" spans="1:17" x14ac:dyDescent="0.35">
      <c r="A135" s="12">
        <v>15</v>
      </c>
      <c r="B135" s="12" t="s">
        <v>266</v>
      </c>
      <c r="C135" s="12">
        <v>2022</v>
      </c>
      <c r="D135" s="12" t="s">
        <v>267</v>
      </c>
      <c r="E135" s="13" t="s">
        <v>268</v>
      </c>
      <c r="F135" s="14" t="s">
        <v>269</v>
      </c>
      <c r="G135" s="12" t="s">
        <v>86</v>
      </c>
      <c r="H135" s="14" t="s">
        <v>286</v>
      </c>
      <c r="I135" s="12">
        <v>43.316136999999998</v>
      </c>
      <c r="J135" s="12">
        <v>-81.766025999999997</v>
      </c>
      <c r="K135" s="12" t="s">
        <v>138</v>
      </c>
      <c r="L135" s="12" t="s">
        <v>28</v>
      </c>
      <c r="M135" s="12" t="s">
        <v>272</v>
      </c>
      <c r="N135" s="12">
        <v>8.3000000000000007</v>
      </c>
      <c r="O135" s="12" t="s">
        <v>273</v>
      </c>
      <c r="P135" s="12">
        <v>8.3000000000000007</v>
      </c>
      <c r="Q135" s="12" t="s">
        <v>144</v>
      </c>
    </row>
    <row r="136" spans="1:17" x14ac:dyDescent="0.35">
      <c r="A136" s="12">
        <v>15</v>
      </c>
      <c r="B136" s="12" t="s">
        <v>266</v>
      </c>
      <c r="C136" s="12">
        <v>2022</v>
      </c>
      <c r="D136" s="12" t="s">
        <v>267</v>
      </c>
      <c r="E136" s="13" t="s">
        <v>268</v>
      </c>
      <c r="F136" s="14" t="s">
        <v>269</v>
      </c>
      <c r="G136" s="12" t="s">
        <v>86</v>
      </c>
      <c r="H136" s="14" t="s">
        <v>287</v>
      </c>
      <c r="I136" s="12">
        <v>46.260390000000001</v>
      </c>
      <c r="J136" s="12">
        <v>-83.887986999999995</v>
      </c>
      <c r="K136" s="12" t="s">
        <v>138</v>
      </c>
      <c r="L136" s="12" t="s">
        <v>28</v>
      </c>
      <c r="M136" s="12" t="s">
        <v>272</v>
      </c>
      <c r="N136" s="12">
        <v>7.4</v>
      </c>
      <c r="O136" s="12" t="s">
        <v>273</v>
      </c>
      <c r="P136" s="12">
        <v>7.4</v>
      </c>
      <c r="Q136" s="12" t="s">
        <v>144</v>
      </c>
    </row>
    <row r="137" spans="1:17" x14ac:dyDescent="0.35">
      <c r="A137" s="12">
        <v>15</v>
      </c>
      <c r="B137" s="12" t="s">
        <v>266</v>
      </c>
      <c r="C137" s="12">
        <v>2022</v>
      </c>
      <c r="D137" s="12" t="s">
        <v>267</v>
      </c>
      <c r="E137" s="13" t="s">
        <v>268</v>
      </c>
      <c r="F137" s="14" t="s">
        <v>269</v>
      </c>
      <c r="G137" s="14" t="s">
        <v>274</v>
      </c>
      <c r="H137" s="14" t="s">
        <v>288</v>
      </c>
      <c r="I137" s="12" t="s">
        <v>289</v>
      </c>
      <c r="J137" s="12" t="s">
        <v>289</v>
      </c>
      <c r="K137" s="12" t="s">
        <v>138</v>
      </c>
      <c r="L137" s="12" t="s">
        <v>28</v>
      </c>
      <c r="M137" s="12" t="s">
        <v>272</v>
      </c>
      <c r="N137" s="12">
        <v>4.7</v>
      </c>
      <c r="O137" s="12" t="s">
        <v>273</v>
      </c>
      <c r="P137" s="12">
        <v>4.7</v>
      </c>
      <c r="Q137" s="12" t="s">
        <v>144</v>
      </c>
    </row>
    <row r="138" spans="1:17" x14ac:dyDescent="0.35">
      <c r="A138" s="12">
        <v>15</v>
      </c>
      <c r="B138" s="12" t="s">
        <v>266</v>
      </c>
      <c r="C138" s="12">
        <v>2022</v>
      </c>
      <c r="D138" s="12" t="s">
        <v>267</v>
      </c>
      <c r="E138" s="13" t="s">
        <v>268</v>
      </c>
      <c r="F138" s="14" t="s">
        <v>269</v>
      </c>
      <c r="G138" s="12" t="s">
        <v>86</v>
      </c>
      <c r="H138" s="14" t="s">
        <v>290</v>
      </c>
      <c r="I138" s="12">
        <v>43.017567999999997</v>
      </c>
      <c r="J138" s="12">
        <v>-82.418480000000002</v>
      </c>
      <c r="K138" s="12" t="s">
        <v>138</v>
      </c>
      <c r="L138" s="12" t="s">
        <v>28</v>
      </c>
      <c r="M138" s="12" t="s">
        <v>272</v>
      </c>
      <c r="N138" s="12">
        <v>4.5</v>
      </c>
      <c r="O138" s="12" t="s">
        <v>273</v>
      </c>
      <c r="P138" s="12">
        <v>4.5</v>
      </c>
      <c r="Q138" s="12" t="s">
        <v>144</v>
      </c>
    </row>
    <row r="139" spans="1:17" x14ac:dyDescent="0.35">
      <c r="A139" s="12">
        <v>15</v>
      </c>
      <c r="B139" s="12" t="s">
        <v>266</v>
      </c>
      <c r="C139" s="12">
        <v>2022</v>
      </c>
      <c r="D139" s="12" t="s">
        <v>267</v>
      </c>
      <c r="E139" s="13" t="s">
        <v>268</v>
      </c>
      <c r="F139" s="14" t="s">
        <v>269</v>
      </c>
      <c r="G139" s="12" t="s">
        <v>86</v>
      </c>
      <c r="H139" s="14" t="s">
        <v>291</v>
      </c>
      <c r="I139" s="12">
        <v>44.515466000000004</v>
      </c>
      <c r="J139" s="12">
        <v>-80.034621999999999</v>
      </c>
      <c r="K139" s="12" t="s">
        <v>138</v>
      </c>
      <c r="L139" s="12" t="s">
        <v>28</v>
      </c>
      <c r="M139" s="12" t="s">
        <v>272</v>
      </c>
      <c r="N139" s="12">
        <v>4.3</v>
      </c>
      <c r="O139" s="12" t="s">
        <v>273</v>
      </c>
      <c r="P139" s="12">
        <v>4.3</v>
      </c>
      <c r="Q139" s="12" t="s">
        <v>144</v>
      </c>
    </row>
    <row r="140" spans="1:17" x14ac:dyDescent="0.35">
      <c r="A140" s="12">
        <v>15</v>
      </c>
      <c r="B140" s="12" t="s">
        <v>266</v>
      </c>
      <c r="C140" s="12">
        <v>2022</v>
      </c>
      <c r="D140" s="12" t="s">
        <v>267</v>
      </c>
      <c r="E140" s="13" t="s">
        <v>268</v>
      </c>
      <c r="F140" s="14" t="s">
        <v>269</v>
      </c>
      <c r="G140" s="14" t="s">
        <v>274</v>
      </c>
      <c r="H140" s="14" t="s">
        <v>292</v>
      </c>
      <c r="I140" s="12">
        <v>44.047913999999999</v>
      </c>
      <c r="J140" s="12">
        <v>-82.998829999999998</v>
      </c>
      <c r="K140" s="12" t="s">
        <v>138</v>
      </c>
      <c r="L140" s="12" t="s">
        <v>28</v>
      </c>
      <c r="M140" s="12" t="s">
        <v>272</v>
      </c>
      <c r="N140" s="12">
        <v>3</v>
      </c>
      <c r="O140" s="12" t="s">
        <v>273</v>
      </c>
      <c r="P140" s="12">
        <v>3</v>
      </c>
      <c r="Q140" s="12" t="s">
        <v>144</v>
      </c>
    </row>
    <row r="141" spans="1:17" x14ac:dyDescent="0.35">
      <c r="A141" s="12">
        <v>15</v>
      </c>
      <c r="B141" s="12" t="s">
        <v>266</v>
      </c>
      <c r="C141" s="12">
        <v>2022</v>
      </c>
      <c r="D141" s="12" t="s">
        <v>267</v>
      </c>
      <c r="E141" s="13" t="s">
        <v>268</v>
      </c>
      <c r="F141" s="14" t="s">
        <v>269</v>
      </c>
      <c r="G141" s="14" t="s">
        <v>274</v>
      </c>
      <c r="H141" s="14" t="s">
        <v>293</v>
      </c>
      <c r="I141" s="12">
        <v>45.495347000000002</v>
      </c>
      <c r="J141" s="12">
        <v>-84.090254000000002</v>
      </c>
      <c r="K141" s="12" t="s">
        <v>138</v>
      </c>
      <c r="L141" s="12" t="s">
        <v>28</v>
      </c>
      <c r="M141" s="12" t="s">
        <v>272</v>
      </c>
      <c r="N141" s="12">
        <v>2.9</v>
      </c>
      <c r="O141" s="12" t="s">
        <v>273</v>
      </c>
      <c r="P141" s="12">
        <v>2.9</v>
      </c>
      <c r="Q141" s="12" t="s">
        <v>144</v>
      </c>
    </row>
    <row r="142" spans="1:17" x14ac:dyDescent="0.35">
      <c r="A142" s="12">
        <v>15</v>
      </c>
      <c r="B142" s="12" t="s">
        <v>266</v>
      </c>
      <c r="C142" s="12">
        <v>2022</v>
      </c>
      <c r="D142" s="12" t="s">
        <v>267</v>
      </c>
      <c r="E142" s="13" t="s">
        <v>268</v>
      </c>
      <c r="F142" s="14" t="s">
        <v>269</v>
      </c>
      <c r="G142" s="14" t="s">
        <v>274</v>
      </c>
      <c r="H142" s="14" t="s">
        <v>294</v>
      </c>
      <c r="I142" s="12">
        <v>43.851948</v>
      </c>
      <c r="J142" s="12">
        <v>-82.634641000000002</v>
      </c>
      <c r="K142" s="12" t="s">
        <v>138</v>
      </c>
      <c r="L142" s="12" t="s">
        <v>28</v>
      </c>
      <c r="M142" s="12" t="s">
        <v>272</v>
      </c>
      <c r="N142" s="12">
        <v>2.7</v>
      </c>
      <c r="O142" s="12" t="s">
        <v>273</v>
      </c>
      <c r="P142" s="12">
        <v>2.7</v>
      </c>
      <c r="Q142" s="12" t="s">
        <v>144</v>
      </c>
    </row>
    <row r="143" spans="1:17" x14ac:dyDescent="0.35">
      <c r="A143" s="12">
        <v>15</v>
      </c>
      <c r="B143" s="12" t="s">
        <v>266</v>
      </c>
      <c r="C143" s="12">
        <v>2022</v>
      </c>
      <c r="D143" s="12" t="s">
        <v>267</v>
      </c>
      <c r="E143" s="13" t="s">
        <v>268</v>
      </c>
      <c r="F143" s="14" t="s">
        <v>269</v>
      </c>
      <c r="G143" s="12" t="s">
        <v>86</v>
      </c>
      <c r="H143" s="14" t="s">
        <v>295</v>
      </c>
      <c r="I143" s="12">
        <v>44.078121000000003</v>
      </c>
      <c r="J143" s="12">
        <v>-81.754361000000003</v>
      </c>
      <c r="K143" s="12" t="s">
        <v>138</v>
      </c>
      <c r="L143" s="12" t="s">
        <v>28</v>
      </c>
      <c r="M143" s="12" t="s">
        <v>272</v>
      </c>
      <c r="N143" s="12">
        <v>0.7</v>
      </c>
      <c r="O143" s="12" t="s">
        <v>273</v>
      </c>
      <c r="P143" s="12">
        <v>0.7</v>
      </c>
      <c r="Q143" s="12" t="s">
        <v>144</v>
      </c>
    </row>
    <row r="144" spans="1:17" x14ac:dyDescent="0.35">
      <c r="A144" s="12">
        <v>15</v>
      </c>
      <c r="B144" s="12" t="s">
        <v>266</v>
      </c>
      <c r="C144" s="12">
        <v>2022</v>
      </c>
      <c r="D144" s="12" t="s">
        <v>267</v>
      </c>
      <c r="E144" s="13" t="s">
        <v>268</v>
      </c>
      <c r="F144" s="14" t="s">
        <v>269</v>
      </c>
      <c r="G144" s="14" t="s">
        <v>274</v>
      </c>
      <c r="H144" s="14" t="s">
        <v>296</v>
      </c>
      <c r="I144" s="12">
        <v>43.853369999999998</v>
      </c>
      <c r="J144" s="12">
        <v>-83.921019999999999</v>
      </c>
      <c r="K144" s="12" t="s">
        <v>138</v>
      </c>
      <c r="L144" s="12" t="s">
        <v>28</v>
      </c>
      <c r="M144" s="12" t="s">
        <v>272</v>
      </c>
      <c r="N144" s="12">
        <v>0.4</v>
      </c>
      <c r="O144" s="12" t="s">
        <v>273</v>
      </c>
      <c r="P144" s="12">
        <v>0.4</v>
      </c>
      <c r="Q144" s="12" t="s">
        <v>144</v>
      </c>
    </row>
    <row r="145" spans="1:17" x14ac:dyDescent="0.35">
      <c r="A145" s="12">
        <v>15</v>
      </c>
      <c r="B145" s="12" t="s">
        <v>266</v>
      </c>
      <c r="C145" s="12">
        <v>2022</v>
      </c>
      <c r="D145" s="12" t="s">
        <v>267</v>
      </c>
      <c r="E145" s="13" t="s">
        <v>268</v>
      </c>
      <c r="F145" s="14" t="s">
        <v>269</v>
      </c>
      <c r="G145" s="12" t="s">
        <v>86</v>
      </c>
      <c r="H145" s="14" t="s">
        <v>297</v>
      </c>
      <c r="I145" s="12">
        <v>45.667827000000003</v>
      </c>
      <c r="J145" s="12">
        <v>-82.274952999999996</v>
      </c>
      <c r="K145" s="12" t="s">
        <v>138</v>
      </c>
      <c r="L145" s="12" t="s">
        <v>28</v>
      </c>
      <c r="M145" s="12" t="s">
        <v>272</v>
      </c>
      <c r="N145" s="12">
        <v>0.2</v>
      </c>
      <c r="O145" s="12" t="s">
        <v>273</v>
      </c>
      <c r="P145" s="12">
        <v>0.2</v>
      </c>
      <c r="Q145" s="12" t="s">
        <v>144</v>
      </c>
    </row>
    <row r="146" spans="1:17" x14ac:dyDescent="0.35">
      <c r="A146" s="12">
        <v>15</v>
      </c>
      <c r="B146" s="12" t="s">
        <v>266</v>
      </c>
      <c r="C146" s="12">
        <v>2022</v>
      </c>
      <c r="D146" s="12" t="s">
        <v>267</v>
      </c>
      <c r="E146" s="13" t="s">
        <v>268</v>
      </c>
      <c r="F146" s="14" t="s">
        <v>269</v>
      </c>
      <c r="G146" s="14" t="s">
        <v>274</v>
      </c>
      <c r="H146" s="14" t="s">
        <v>298</v>
      </c>
      <c r="I146" s="12">
        <v>43.653483000000001</v>
      </c>
      <c r="J146" s="12">
        <v>-83.855697000000006</v>
      </c>
      <c r="K146" s="12" t="s">
        <v>138</v>
      </c>
      <c r="L146" s="12" t="s">
        <v>28</v>
      </c>
      <c r="M146" s="12" t="s">
        <v>272</v>
      </c>
      <c r="N146" s="12">
        <v>0</v>
      </c>
      <c r="O146" s="12" t="s">
        <v>273</v>
      </c>
      <c r="P146" s="12">
        <v>0</v>
      </c>
      <c r="Q146" s="12" t="s">
        <v>144</v>
      </c>
    </row>
    <row r="147" spans="1:17" x14ac:dyDescent="0.35">
      <c r="A147" s="12">
        <v>15</v>
      </c>
      <c r="B147" s="12" t="s">
        <v>266</v>
      </c>
      <c r="C147" s="12">
        <v>2022</v>
      </c>
      <c r="D147" s="12" t="s">
        <v>267</v>
      </c>
      <c r="E147" s="13" t="s">
        <v>268</v>
      </c>
      <c r="F147" s="14" t="s">
        <v>269</v>
      </c>
      <c r="G147" s="14" t="s">
        <v>274</v>
      </c>
      <c r="H147" s="14" t="s">
        <v>299</v>
      </c>
      <c r="I147" s="12">
        <v>44.548772999999997</v>
      </c>
      <c r="J147" s="12">
        <v>-87.988680000000002</v>
      </c>
      <c r="K147" s="12" t="s">
        <v>138</v>
      </c>
      <c r="L147" s="12" t="s">
        <v>28</v>
      </c>
      <c r="M147" s="12" t="s">
        <v>272</v>
      </c>
      <c r="N147" s="12">
        <v>69</v>
      </c>
      <c r="O147" s="12" t="s">
        <v>273</v>
      </c>
      <c r="P147" s="12">
        <v>69</v>
      </c>
      <c r="Q147" s="12" t="s">
        <v>144</v>
      </c>
    </row>
    <row r="148" spans="1:17" x14ac:dyDescent="0.35">
      <c r="A148" s="12">
        <v>15</v>
      </c>
      <c r="B148" s="12" t="s">
        <v>266</v>
      </c>
      <c r="C148" s="12">
        <v>2022</v>
      </c>
      <c r="D148" s="12" t="s">
        <v>267</v>
      </c>
      <c r="E148" s="13" t="s">
        <v>268</v>
      </c>
      <c r="F148" s="14" t="s">
        <v>269</v>
      </c>
      <c r="G148" s="14" t="s">
        <v>274</v>
      </c>
      <c r="H148" s="14" t="s">
        <v>300</v>
      </c>
      <c r="I148" s="12">
        <v>44.865611000000001</v>
      </c>
      <c r="J148" s="12">
        <v>-87.844815999999994</v>
      </c>
      <c r="K148" s="12" t="s">
        <v>138</v>
      </c>
      <c r="L148" s="12" t="s">
        <v>28</v>
      </c>
      <c r="M148" s="12" t="s">
        <v>272</v>
      </c>
      <c r="N148" s="12">
        <v>47.8</v>
      </c>
      <c r="O148" s="12" t="s">
        <v>273</v>
      </c>
      <c r="P148" s="12">
        <v>47.8</v>
      </c>
      <c r="Q148" s="12" t="s">
        <v>144</v>
      </c>
    </row>
    <row r="149" spans="1:17" x14ac:dyDescent="0.35">
      <c r="A149" s="12">
        <v>15</v>
      </c>
      <c r="B149" s="12" t="s">
        <v>266</v>
      </c>
      <c r="C149" s="12">
        <v>2022</v>
      </c>
      <c r="D149" s="12" t="s">
        <v>267</v>
      </c>
      <c r="E149" s="13" t="s">
        <v>268</v>
      </c>
      <c r="F149" s="14" t="s">
        <v>269</v>
      </c>
      <c r="G149" s="14" t="s">
        <v>274</v>
      </c>
      <c r="H149" s="14" t="s">
        <v>301</v>
      </c>
      <c r="I149" s="12">
        <v>42.579891000000003</v>
      </c>
      <c r="J149" s="12">
        <v>-87.800569999999993</v>
      </c>
      <c r="K149" s="12" t="s">
        <v>138</v>
      </c>
      <c r="L149" s="12" t="s">
        <v>28</v>
      </c>
      <c r="M149" s="12" t="s">
        <v>272</v>
      </c>
      <c r="N149" s="12">
        <v>40.799999999999997</v>
      </c>
      <c r="O149" s="12" t="s">
        <v>273</v>
      </c>
      <c r="P149" s="12">
        <v>40.799999999999997</v>
      </c>
      <c r="Q149" s="12" t="s">
        <v>144</v>
      </c>
    </row>
    <row r="150" spans="1:17" x14ac:dyDescent="0.35">
      <c r="A150" s="12">
        <v>15</v>
      </c>
      <c r="B150" s="12" t="s">
        <v>266</v>
      </c>
      <c r="C150" s="12">
        <v>2022</v>
      </c>
      <c r="D150" s="12" t="s">
        <v>267</v>
      </c>
      <c r="E150" s="13" t="s">
        <v>268</v>
      </c>
      <c r="F150" s="14" t="s">
        <v>269</v>
      </c>
      <c r="G150" s="14" t="s">
        <v>274</v>
      </c>
      <c r="H150" s="14" t="s">
        <v>302</v>
      </c>
      <c r="I150" s="12">
        <v>43.750487999999997</v>
      </c>
      <c r="J150" s="12">
        <v>-87.697944000000007</v>
      </c>
      <c r="K150" s="12" t="s">
        <v>138</v>
      </c>
      <c r="L150" s="12" t="s">
        <v>28</v>
      </c>
      <c r="M150" s="12" t="s">
        <v>272</v>
      </c>
      <c r="N150" s="12">
        <v>26.6</v>
      </c>
      <c r="O150" s="12" t="s">
        <v>273</v>
      </c>
      <c r="P150" s="12">
        <v>26.6</v>
      </c>
      <c r="Q150" s="12" t="s">
        <v>144</v>
      </c>
    </row>
    <row r="151" spans="1:17" x14ac:dyDescent="0.35">
      <c r="A151" s="12">
        <v>15</v>
      </c>
      <c r="B151" s="12" t="s">
        <v>266</v>
      </c>
      <c r="C151" s="12">
        <v>2022</v>
      </c>
      <c r="D151" s="12" t="s">
        <v>267</v>
      </c>
      <c r="E151" s="13" t="s">
        <v>268</v>
      </c>
      <c r="F151" s="14" t="s">
        <v>269</v>
      </c>
      <c r="G151" s="14" t="s">
        <v>274</v>
      </c>
      <c r="H151" s="14" t="s">
        <v>303</v>
      </c>
      <c r="I151" s="12">
        <v>41.906584000000002</v>
      </c>
      <c r="J151" s="12">
        <v>-86.608022000000005</v>
      </c>
      <c r="K151" s="12" t="s">
        <v>138</v>
      </c>
      <c r="L151" s="12" t="s">
        <v>28</v>
      </c>
      <c r="M151" s="12" t="s">
        <v>272</v>
      </c>
      <c r="N151" s="12">
        <v>24.4</v>
      </c>
      <c r="O151" s="12" t="s">
        <v>273</v>
      </c>
      <c r="P151" s="12">
        <v>24.4</v>
      </c>
      <c r="Q151" s="12" t="s">
        <v>144</v>
      </c>
    </row>
    <row r="152" spans="1:17" x14ac:dyDescent="0.35">
      <c r="A152" s="12">
        <v>15</v>
      </c>
      <c r="B152" s="12" t="s">
        <v>266</v>
      </c>
      <c r="C152" s="12">
        <v>2022</v>
      </c>
      <c r="D152" s="12" t="s">
        <v>267</v>
      </c>
      <c r="E152" s="13" t="s">
        <v>268</v>
      </c>
      <c r="F152" s="14" t="s">
        <v>269</v>
      </c>
      <c r="G152" s="14" t="s">
        <v>274</v>
      </c>
      <c r="H152" s="14" t="s">
        <v>304</v>
      </c>
      <c r="I152" s="12">
        <v>42.776119999999999</v>
      </c>
      <c r="J152" s="12">
        <v>-86.211513999999994</v>
      </c>
      <c r="K152" s="12" t="s">
        <v>138</v>
      </c>
      <c r="L152" s="12" t="s">
        <v>28</v>
      </c>
      <c r="M152" s="12" t="s">
        <v>272</v>
      </c>
      <c r="N152" s="12">
        <v>21.4</v>
      </c>
      <c r="O152" s="12" t="s">
        <v>273</v>
      </c>
      <c r="P152" s="12">
        <v>21.4</v>
      </c>
      <c r="Q152" s="12" t="s">
        <v>144</v>
      </c>
    </row>
    <row r="153" spans="1:17" x14ac:dyDescent="0.35">
      <c r="A153" s="12">
        <v>15</v>
      </c>
      <c r="B153" s="12" t="s">
        <v>266</v>
      </c>
      <c r="C153" s="12">
        <v>2022</v>
      </c>
      <c r="D153" s="12" t="s">
        <v>267</v>
      </c>
      <c r="E153" s="13" t="s">
        <v>268</v>
      </c>
      <c r="F153" s="14" t="s">
        <v>269</v>
      </c>
      <c r="G153" s="14" t="s">
        <v>274</v>
      </c>
      <c r="H153" s="14" t="s">
        <v>305</v>
      </c>
      <c r="I153" s="12">
        <v>44.606726999999999</v>
      </c>
      <c r="J153" s="12">
        <v>-87.431263000000001</v>
      </c>
      <c r="K153" s="12" t="s">
        <v>138</v>
      </c>
      <c r="L153" s="12" t="s">
        <v>28</v>
      </c>
      <c r="M153" s="12" t="s">
        <v>272</v>
      </c>
      <c r="N153" s="12">
        <v>19.600000000000001</v>
      </c>
      <c r="O153" s="12" t="s">
        <v>273</v>
      </c>
      <c r="P153" s="12">
        <v>19.600000000000001</v>
      </c>
      <c r="Q153" s="12" t="s">
        <v>144</v>
      </c>
    </row>
    <row r="154" spans="1:17" x14ac:dyDescent="0.35">
      <c r="A154" s="12">
        <v>15</v>
      </c>
      <c r="B154" s="12" t="s">
        <v>266</v>
      </c>
      <c r="C154" s="12">
        <v>2022</v>
      </c>
      <c r="D154" s="12" t="s">
        <v>267</v>
      </c>
      <c r="E154" s="13" t="s">
        <v>268</v>
      </c>
      <c r="F154" s="14" t="s">
        <v>269</v>
      </c>
      <c r="G154" s="14" t="s">
        <v>274</v>
      </c>
      <c r="H154" s="14" t="s">
        <v>306</v>
      </c>
      <c r="I154" s="12">
        <v>43.784202000000001</v>
      </c>
      <c r="J154" s="12">
        <v>-86.443544000000003</v>
      </c>
      <c r="K154" s="12" t="s">
        <v>138</v>
      </c>
      <c r="L154" s="12" t="s">
        <v>28</v>
      </c>
      <c r="M154" s="12" t="s">
        <v>272</v>
      </c>
      <c r="N154" s="12">
        <v>5</v>
      </c>
      <c r="O154" s="12" t="s">
        <v>273</v>
      </c>
      <c r="P154" s="12">
        <v>5</v>
      </c>
      <c r="Q154" s="12" t="s">
        <v>144</v>
      </c>
    </row>
    <row r="155" spans="1:17" x14ac:dyDescent="0.35">
      <c r="A155" s="12">
        <v>15</v>
      </c>
      <c r="B155" s="12" t="s">
        <v>266</v>
      </c>
      <c r="C155" s="12">
        <v>2022</v>
      </c>
      <c r="D155" s="12" t="s">
        <v>267</v>
      </c>
      <c r="E155" s="13" t="s">
        <v>268</v>
      </c>
      <c r="F155" s="14" t="s">
        <v>269</v>
      </c>
      <c r="G155" s="14" t="s">
        <v>274</v>
      </c>
      <c r="H155" s="14" t="s">
        <v>307</v>
      </c>
      <c r="I155" s="12">
        <v>45.757779999999997</v>
      </c>
      <c r="J155" s="12">
        <v>-87.052983999999995</v>
      </c>
      <c r="K155" s="12" t="s">
        <v>138</v>
      </c>
      <c r="L155" s="12" t="s">
        <v>28</v>
      </c>
      <c r="M155" s="12" t="s">
        <v>272</v>
      </c>
      <c r="N155" s="12">
        <v>4.7</v>
      </c>
      <c r="O155" s="12" t="s">
        <v>273</v>
      </c>
      <c r="P155" s="12">
        <v>4.7</v>
      </c>
      <c r="Q155" s="12" t="s">
        <v>144</v>
      </c>
    </row>
    <row r="156" spans="1:17" x14ac:dyDescent="0.35">
      <c r="A156" s="12">
        <v>15</v>
      </c>
      <c r="B156" s="12" t="s">
        <v>266</v>
      </c>
      <c r="C156" s="12">
        <v>2022</v>
      </c>
      <c r="D156" s="12" t="s">
        <v>267</v>
      </c>
      <c r="E156" s="13" t="s">
        <v>268</v>
      </c>
      <c r="F156" s="14" t="s">
        <v>269</v>
      </c>
      <c r="G156" s="14" t="s">
        <v>274</v>
      </c>
      <c r="H156" s="14" t="s">
        <v>308</v>
      </c>
      <c r="I156" s="12">
        <v>43.216386</v>
      </c>
      <c r="J156" s="12">
        <v>-87.884112999999999</v>
      </c>
      <c r="K156" s="12" t="s">
        <v>138</v>
      </c>
      <c r="L156" s="12" t="s">
        <v>28</v>
      </c>
      <c r="M156" s="12" t="s">
        <v>272</v>
      </c>
      <c r="N156" s="12">
        <v>3</v>
      </c>
      <c r="O156" s="12" t="s">
        <v>273</v>
      </c>
      <c r="P156" s="12">
        <v>3</v>
      </c>
      <c r="Q156" s="12" t="s">
        <v>144</v>
      </c>
    </row>
    <row r="157" spans="1:17" x14ac:dyDescent="0.35">
      <c r="A157" s="12">
        <v>15</v>
      </c>
      <c r="B157" s="12" t="s">
        <v>266</v>
      </c>
      <c r="C157" s="12">
        <v>2022</v>
      </c>
      <c r="D157" s="12" t="s">
        <v>267</v>
      </c>
      <c r="E157" s="13" t="s">
        <v>268</v>
      </c>
      <c r="F157" s="14" t="s">
        <v>269</v>
      </c>
      <c r="G157" s="14" t="s">
        <v>274</v>
      </c>
      <c r="H157" s="14" t="s">
        <v>309</v>
      </c>
      <c r="I157" s="12">
        <v>44.769762999999998</v>
      </c>
      <c r="J157" s="12">
        <v>-85.618432999999996</v>
      </c>
      <c r="K157" s="12" t="s">
        <v>138</v>
      </c>
      <c r="L157" s="12" t="s">
        <v>28</v>
      </c>
      <c r="M157" s="12" t="s">
        <v>272</v>
      </c>
      <c r="N157" s="12">
        <v>2.2999999999999998</v>
      </c>
      <c r="O157" s="12" t="s">
        <v>273</v>
      </c>
      <c r="P157" s="12">
        <v>2.2999999999999998</v>
      </c>
      <c r="Q157" s="12" t="s">
        <v>144</v>
      </c>
    </row>
    <row r="158" spans="1:17" x14ac:dyDescent="0.35">
      <c r="A158" s="12">
        <v>15</v>
      </c>
      <c r="B158" s="12" t="s">
        <v>266</v>
      </c>
      <c r="C158" s="12">
        <v>2022</v>
      </c>
      <c r="D158" s="12" t="s">
        <v>267</v>
      </c>
      <c r="E158" s="13" t="s">
        <v>268</v>
      </c>
      <c r="F158" s="14" t="s">
        <v>269</v>
      </c>
      <c r="G158" s="14" t="s">
        <v>274</v>
      </c>
      <c r="H158" s="14" t="s">
        <v>310</v>
      </c>
      <c r="I158" s="12">
        <v>41.629040000000003</v>
      </c>
      <c r="J158" s="12">
        <v>-87.195372000000006</v>
      </c>
      <c r="K158" s="12" t="s">
        <v>138</v>
      </c>
      <c r="L158" s="12" t="s">
        <v>28</v>
      </c>
      <c r="M158" s="12" t="s">
        <v>272</v>
      </c>
      <c r="N158" s="12">
        <v>2</v>
      </c>
      <c r="O158" s="12" t="s">
        <v>273</v>
      </c>
      <c r="P158" s="12">
        <v>2</v>
      </c>
      <c r="Q158" s="12" t="s">
        <v>144</v>
      </c>
    </row>
    <row r="159" spans="1:17" x14ac:dyDescent="0.35">
      <c r="A159" s="12">
        <v>15</v>
      </c>
      <c r="B159" s="12" t="s">
        <v>266</v>
      </c>
      <c r="C159" s="12">
        <v>2022</v>
      </c>
      <c r="D159" s="12" t="s">
        <v>267</v>
      </c>
      <c r="E159" s="13" t="s">
        <v>268</v>
      </c>
      <c r="F159" s="14" t="s">
        <v>269</v>
      </c>
      <c r="G159" s="14" t="s">
        <v>274</v>
      </c>
      <c r="H159" s="14" t="s">
        <v>311</v>
      </c>
      <c r="I159" s="12">
        <v>41.727809000000001</v>
      </c>
      <c r="J159" s="12">
        <v>-87.512780000000006</v>
      </c>
      <c r="K159" s="12" t="s">
        <v>138</v>
      </c>
      <c r="L159" s="12" t="s">
        <v>28</v>
      </c>
      <c r="M159" s="12" t="s">
        <v>272</v>
      </c>
      <c r="N159" s="12">
        <v>1.8</v>
      </c>
      <c r="O159" s="12" t="s">
        <v>273</v>
      </c>
      <c r="P159" s="12">
        <v>1.8</v>
      </c>
      <c r="Q159" s="12" t="s">
        <v>144</v>
      </c>
    </row>
    <row r="160" spans="1:17" x14ac:dyDescent="0.35">
      <c r="A160" s="12">
        <v>15</v>
      </c>
      <c r="B160" s="12" t="s">
        <v>266</v>
      </c>
      <c r="C160" s="12">
        <v>2022</v>
      </c>
      <c r="D160" s="12" t="s">
        <v>267</v>
      </c>
      <c r="E160" s="13" t="s">
        <v>268</v>
      </c>
      <c r="F160" s="14" t="s">
        <v>269</v>
      </c>
      <c r="G160" s="14" t="s">
        <v>274</v>
      </c>
      <c r="H160" s="14" t="s">
        <v>312</v>
      </c>
      <c r="I160" s="12">
        <v>46.017003000000003</v>
      </c>
      <c r="J160" s="12">
        <v>-85.039823999999996</v>
      </c>
      <c r="K160" s="12" t="s">
        <v>138</v>
      </c>
      <c r="L160" s="12" t="s">
        <v>28</v>
      </c>
      <c r="M160" s="12" t="s">
        <v>272</v>
      </c>
      <c r="N160" s="12">
        <v>0.2</v>
      </c>
      <c r="O160" s="12" t="s">
        <v>273</v>
      </c>
      <c r="P160" s="12">
        <v>0.2</v>
      </c>
      <c r="Q160" s="12" t="s">
        <v>144</v>
      </c>
    </row>
    <row r="161" spans="1:17" x14ac:dyDescent="0.35">
      <c r="A161" s="12">
        <v>15</v>
      </c>
      <c r="B161" s="12" t="s">
        <v>266</v>
      </c>
      <c r="C161" s="12">
        <v>2022</v>
      </c>
      <c r="D161" s="12" t="s">
        <v>267</v>
      </c>
      <c r="E161" s="13" t="s">
        <v>268</v>
      </c>
      <c r="F161" s="14" t="s">
        <v>269</v>
      </c>
      <c r="G161" s="14" t="s">
        <v>274</v>
      </c>
      <c r="H161" s="14" t="s">
        <v>313</v>
      </c>
      <c r="I161" s="12">
        <v>45.942168000000002</v>
      </c>
      <c r="J161" s="12">
        <v>-86.246898000000002</v>
      </c>
      <c r="K161" s="12" t="s">
        <v>138</v>
      </c>
      <c r="L161" s="12" t="s">
        <v>28</v>
      </c>
      <c r="M161" s="12" t="s">
        <v>272</v>
      </c>
      <c r="N161" s="12">
        <v>0.2</v>
      </c>
      <c r="O161" s="12" t="s">
        <v>273</v>
      </c>
      <c r="P161" s="12">
        <v>0.2</v>
      </c>
      <c r="Q161" s="12" t="s">
        <v>144</v>
      </c>
    </row>
    <row r="162" spans="1:17" x14ac:dyDescent="0.35">
      <c r="A162" s="12">
        <v>15</v>
      </c>
      <c r="B162" s="12" t="s">
        <v>266</v>
      </c>
      <c r="C162" s="12">
        <v>2022</v>
      </c>
      <c r="D162" s="12" t="s">
        <v>267</v>
      </c>
      <c r="E162" s="13" t="s">
        <v>268</v>
      </c>
      <c r="F162" s="14" t="s">
        <v>269</v>
      </c>
      <c r="G162" s="12" t="s">
        <v>86</v>
      </c>
      <c r="H162" s="14" t="s">
        <v>314</v>
      </c>
      <c r="I162" s="12">
        <v>43.391897</v>
      </c>
      <c r="J162" s="12">
        <v>-79.708927000000003</v>
      </c>
      <c r="K162" s="12" t="s">
        <v>138</v>
      </c>
      <c r="L162" s="12" t="s">
        <v>28</v>
      </c>
      <c r="M162" s="12" t="s">
        <v>272</v>
      </c>
      <c r="N162" s="12">
        <v>688.1</v>
      </c>
      <c r="O162" s="12" t="s">
        <v>273</v>
      </c>
      <c r="P162" s="12">
        <v>688.1</v>
      </c>
      <c r="Q162" s="12" t="s">
        <v>144</v>
      </c>
    </row>
    <row r="163" spans="1:17" x14ac:dyDescent="0.35">
      <c r="A163" s="12">
        <v>15</v>
      </c>
      <c r="B163" s="12" t="s">
        <v>266</v>
      </c>
      <c r="C163" s="12">
        <v>2022</v>
      </c>
      <c r="D163" s="12" t="s">
        <v>267</v>
      </c>
      <c r="E163" s="13" t="s">
        <v>268</v>
      </c>
      <c r="F163" s="14" t="s">
        <v>269</v>
      </c>
      <c r="G163" s="14" t="s">
        <v>274</v>
      </c>
      <c r="H163" s="14" t="s">
        <v>315</v>
      </c>
      <c r="I163" s="12">
        <v>43.275652000000001</v>
      </c>
      <c r="J163" s="12">
        <v>-76.983630000000005</v>
      </c>
      <c r="K163" s="12" t="s">
        <v>138</v>
      </c>
      <c r="L163" s="12" t="s">
        <v>28</v>
      </c>
      <c r="M163" s="12" t="s">
        <v>272</v>
      </c>
      <c r="N163" s="12">
        <v>27</v>
      </c>
      <c r="O163" s="12" t="s">
        <v>273</v>
      </c>
      <c r="P163" s="12">
        <v>27</v>
      </c>
      <c r="Q163" s="12" t="s">
        <v>144</v>
      </c>
    </row>
    <row r="164" spans="1:17" x14ac:dyDescent="0.35">
      <c r="A164" s="12">
        <v>15</v>
      </c>
      <c r="B164" s="12" t="s">
        <v>266</v>
      </c>
      <c r="C164" s="12">
        <v>2022</v>
      </c>
      <c r="D164" s="12" t="s">
        <v>267</v>
      </c>
      <c r="E164" s="13" t="s">
        <v>268</v>
      </c>
      <c r="F164" s="14" t="s">
        <v>269</v>
      </c>
      <c r="G164" s="12" t="s">
        <v>86</v>
      </c>
      <c r="H164" s="14" t="s">
        <v>316</v>
      </c>
      <c r="I164" s="12">
        <v>43.589962</v>
      </c>
      <c r="J164" s="12">
        <v>-79.512772999999996</v>
      </c>
      <c r="K164" s="12" t="s">
        <v>138</v>
      </c>
      <c r="L164" s="12" t="s">
        <v>28</v>
      </c>
      <c r="M164" s="12" t="s">
        <v>272</v>
      </c>
      <c r="N164" s="12">
        <v>6</v>
      </c>
      <c r="O164" s="12" t="s">
        <v>273</v>
      </c>
      <c r="P164" s="12">
        <v>6</v>
      </c>
      <c r="Q164" s="12" t="s">
        <v>144</v>
      </c>
    </row>
    <row r="165" spans="1:17" x14ac:dyDescent="0.35">
      <c r="A165" s="12">
        <v>15</v>
      </c>
      <c r="B165" s="12" t="s">
        <v>266</v>
      </c>
      <c r="C165" s="12">
        <v>2022</v>
      </c>
      <c r="D165" s="12" t="s">
        <v>267</v>
      </c>
      <c r="E165" s="13" t="s">
        <v>268</v>
      </c>
      <c r="F165" s="14" t="s">
        <v>269</v>
      </c>
      <c r="G165" s="12" t="s">
        <v>86</v>
      </c>
      <c r="H165" s="14" t="s">
        <v>317</v>
      </c>
      <c r="I165" s="12">
        <v>43.988762999999999</v>
      </c>
      <c r="J165" s="12">
        <v>-77.713376999999994</v>
      </c>
      <c r="K165" s="12" t="s">
        <v>138</v>
      </c>
      <c r="L165" s="12" t="s">
        <v>28</v>
      </c>
      <c r="M165" s="12" t="s">
        <v>272</v>
      </c>
      <c r="N165" s="12">
        <v>1.3</v>
      </c>
      <c r="O165" s="12" t="s">
        <v>273</v>
      </c>
      <c r="P165" s="12">
        <v>1.3</v>
      </c>
      <c r="Q165" s="12" t="s">
        <v>144</v>
      </c>
    </row>
    <row r="166" spans="1:17" x14ac:dyDescent="0.35">
      <c r="A166" s="12">
        <v>15</v>
      </c>
      <c r="B166" s="12" t="s">
        <v>266</v>
      </c>
      <c r="C166" s="12">
        <v>2022</v>
      </c>
      <c r="D166" s="12" t="s">
        <v>267</v>
      </c>
      <c r="E166" s="13" t="s">
        <v>268</v>
      </c>
      <c r="F166" s="14" t="s">
        <v>269</v>
      </c>
      <c r="G166" s="14" t="s">
        <v>274</v>
      </c>
      <c r="H166" s="14" t="s">
        <v>318</v>
      </c>
      <c r="I166" s="12">
        <v>43.278212000000003</v>
      </c>
      <c r="J166" s="12">
        <v>-78.987469000000004</v>
      </c>
      <c r="K166" s="12" t="s">
        <v>138</v>
      </c>
      <c r="L166" s="12" t="s">
        <v>28</v>
      </c>
      <c r="M166" s="12" t="s">
        <v>272</v>
      </c>
      <c r="N166" s="12">
        <v>1.3</v>
      </c>
      <c r="O166" s="12" t="s">
        <v>273</v>
      </c>
      <c r="P166" s="12">
        <v>1.3</v>
      </c>
      <c r="Q166" s="12" t="s">
        <v>144</v>
      </c>
    </row>
    <row r="167" spans="1:17" x14ac:dyDescent="0.35">
      <c r="A167" s="12">
        <v>15</v>
      </c>
      <c r="B167" s="12" t="s">
        <v>266</v>
      </c>
      <c r="C167" s="12">
        <v>2022</v>
      </c>
      <c r="D167" s="12" t="s">
        <v>267</v>
      </c>
      <c r="E167" s="13" t="s">
        <v>268</v>
      </c>
      <c r="F167" s="14" t="s">
        <v>269</v>
      </c>
      <c r="G167" s="14" t="s">
        <v>274</v>
      </c>
      <c r="H167" s="14" t="s">
        <v>319</v>
      </c>
      <c r="I167" s="12">
        <v>43.261704000000002</v>
      </c>
      <c r="J167" s="12">
        <v>-77.603049999999996</v>
      </c>
      <c r="K167" s="12" t="s">
        <v>138</v>
      </c>
      <c r="L167" s="12" t="s">
        <v>28</v>
      </c>
      <c r="M167" s="12" t="s">
        <v>272</v>
      </c>
      <c r="N167" s="12">
        <v>0.6</v>
      </c>
      <c r="O167" s="12" t="s">
        <v>273</v>
      </c>
      <c r="P167" s="12">
        <v>0.6</v>
      </c>
      <c r="Q167" s="12" t="s">
        <v>144</v>
      </c>
    </row>
    <row r="168" spans="1:17" x14ac:dyDescent="0.35">
      <c r="A168" s="12">
        <v>15</v>
      </c>
      <c r="B168" s="12" t="s">
        <v>266</v>
      </c>
      <c r="C168" s="12">
        <v>2022</v>
      </c>
      <c r="D168" s="12" t="s">
        <v>267</v>
      </c>
      <c r="E168" s="13" t="s">
        <v>268</v>
      </c>
      <c r="F168" s="14" t="s">
        <v>269</v>
      </c>
      <c r="G168" s="12" t="s">
        <v>86</v>
      </c>
      <c r="H168" s="14" t="s">
        <v>320</v>
      </c>
      <c r="I168" s="12" t="s">
        <v>289</v>
      </c>
      <c r="J168" s="12" t="s">
        <v>289</v>
      </c>
      <c r="K168" s="12" t="s">
        <v>138</v>
      </c>
      <c r="L168" s="12" t="s">
        <v>28</v>
      </c>
      <c r="M168" s="12" t="s">
        <v>272</v>
      </c>
      <c r="N168" s="12">
        <v>0.1</v>
      </c>
      <c r="O168" s="12" t="s">
        <v>273</v>
      </c>
      <c r="P168" s="12">
        <v>0.1</v>
      </c>
      <c r="Q168" s="12" t="s">
        <v>144</v>
      </c>
    </row>
    <row r="169" spans="1:17" x14ac:dyDescent="0.35">
      <c r="A169" s="12">
        <v>15</v>
      </c>
      <c r="B169" s="12" t="s">
        <v>266</v>
      </c>
      <c r="C169" s="12">
        <v>2022</v>
      </c>
      <c r="D169" s="12" t="s">
        <v>267</v>
      </c>
      <c r="E169" s="13" t="s">
        <v>268</v>
      </c>
      <c r="F169" s="14" t="s">
        <v>269</v>
      </c>
      <c r="G169" s="12" t="s">
        <v>86</v>
      </c>
      <c r="H169" s="12" t="s">
        <v>321</v>
      </c>
      <c r="I169" s="12">
        <v>43.635879000000003</v>
      </c>
      <c r="J169" s="12">
        <v>-79.459928000000005</v>
      </c>
      <c r="K169" s="12" t="s">
        <v>138</v>
      </c>
      <c r="L169" s="12" t="s">
        <v>28</v>
      </c>
      <c r="M169" s="12" t="s">
        <v>272</v>
      </c>
      <c r="N169" s="12">
        <v>0.1</v>
      </c>
      <c r="O169" s="12" t="s">
        <v>273</v>
      </c>
      <c r="P169" s="12">
        <v>0.1</v>
      </c>
      <c r="Q169" s="12" t="s">
        <v>144</v>
      </c>
    </row>
    <row r="170" spans="1:17" x14ac:dyDescent="0.35">
      <c r="A170" s="12">
        <v>15</v>
      </c>
      <c r="B170" s="12" t="s">
        <v>266</v>
      </c>
      <c r="C170" s="12">
        <v>2022</v>
      </c>
      <c r="D170" s="12" t="s">
        <v>267</v>
      </c>
      <c r="E170" s="13" t="s">
        <v>268</v>
      </c>
      <c r="F170" s="14" t="s">
        <v>269</v>
      </c>
      <c r="G170" s="12" t="s">
        <v>86</v>
      </c>
      <c r="H170" s="14" t="s">
        <v>322</v>
      </c>
      <c r="I170" s="12">
        <v>43.864058</v>
      </c>
      <c r="J170" s="12">
        <v>-78.820284999999998</v>
      </c>
      <c r="K170" s="12" t="s">
        <v>138</v>
      </c>
      <c r="L170" s="12" t="s">
        <v>28</v>
      </c>
      <c r="M170" s="12" t="s">
        <v>272</v>
      </c>
      <c r="N170" s="12">
        <v>0.1</v>
      </c>
      <c r="O170" s="12" t="s">
        <v>273</v>
      </c>
      <c r="P170" s="12">
        <v>0.1</v>
      </c>
      <c r="Q170" s="12" t="s">
        <v>144</v>
      </c>
    </row>
    <row r="171" spans="1:17" x14ac:dyDescent="0.35">
      <c r="A171" s="12">
        <v>15</v>
      </c>
      <c r="B171" s="12" t="s">
        <v>266</v>
      </c>
      <c r="C171" s="12">
        <v>2022</v>
      </c>
      <c r="D171" s="12" t="s">
        <v>267</v>
      </c>
      <c r="E171" s="13" t="s">
        <v>268</v>
      </c>
      <c r="F171" s="14" t="s">
        <v>269</v>
      </c>
      <c r="G171" s="12" t="s">
        <v>86</v>
      </c>
      <c r="H171" s="12" t="s">
        <v>323</v>
      </c>
      <c r="I171" s="12">
        <v>48.833696000000003</v>
      </c>
      <c r="J171" s="12">
        <v>-87.517557999999994</v>
      </c>
      <c r="K171" s="12" t="s">
        <v>138</v>
      </c>
      <c r="L171" s="12" t="s">
        <v>28</v>
      </c>
      <c r="M171" s="12" t="s">
        <v>272</v>
      </c>
      <c r="N171" s="12">
        <v>100.9</v>
      </c>
      <c r="O171" s="12" t="s">
        <v>273</v>
      </c>
      <c r="P171" s="12">
        <v>100.9</v>
      </c>
      <c r="Q171" s="12" t="s">
        <v>144</v>
      </c>
    </row>
    <row r="172" spans="1:17" x14ac:dyDescent="0.35">
      <c r="A172" s="12">
        <v>15</v>
      </c>
      <c r="B172" s="12" t="s">
        <v>266</v>
      </c>
      <c r="C172" s="12">
        <v>2022</v>
      </c>
      <c r="D172" s="12" t="s">
        <v>267</v>
      </c>
      <c r="E172" s="13" t="s">
        <v>268</v>
      </c>
      <c r="F172" s="14" t="s">
        <v>269</v>
      </c>
      <c r="G172" s="12" t="s">
        <v>86</v>
      </c>
      <c r="H172" s="12" t="s">
        <v>324</v>
      </c>
      <c r="I172" s="12">
        <v>47.441200000000002</v>
      </c>
      <c r="J172" s="12">
        <v>-84.749448000000001</v>
      </c>
      <c r="K172" s="12" t="s">
        <v>138</v>
      </c>
      <c r="L172" s="12" t="s">
        <v>28</v>
      </c>
      <c r="M172" s="12" t="s">
        <v>272</v>
      </c>
      <c r="N172" s="12">
        <v>19.2</v>
      </c>
      <c r="O172" s="12" t="s">
        <v>273</v>
      </c>
      <c r="P172" s="12">
        <v>19.2</v>
      </c>
      <c r="Q172" s="12" t="s">
        <v>144</v>
      </c>
    </row>
    <row r="173" spans="1:17" x14ac:dyDescent="0.35">
      <c r="A173" s="12">
        <v>15</v>
      </c>
      <c r="B173" s="12" t="s">
        <v>266</v>
      </c>
      <c r="C173" s="12">
        <v>2022</v>
      </c>
      <c r="D173" s="12" t="s">
        <v>267</v>
      </c>
      <c r="E173" s="13" t="s">
        <v>268</v>
      </c>
      <c r="F173" s="14" t="s">
        <v>269</v>
      </c>
      <c r="G173" s="14" t="s">
        <v>274</v>
      </c>
      <c r="H173" s="14" t="s">
        <v>325</v>
      </c>
      <c r="I173" s="12">
        <v>46.415249000000003</v>
      </c>
      <c r="J173" s="12">
        <v>-84.570626000000004</v>
      </c>
      <c r="K173" s="12" t="s">
        <v>138</v>
      </c>
      <c r="L173" s="12" t="s">
        <v>28</v>
      </c>
      <c r="M173" s="12" t="s">
        <v>272</v>
      </c>
      <c r="N173" s="12">
        <v>17.399999999999999</v>
      </c>
      <c r="O173" s="12" t="s">
        <v>273</v>
      </c>
      <c r="P173" s="12">
        <v>17.399999999999999</v>
      </c>
      <c r="Q173" s="12" t="s">
        <v>144</v>
      </c>
    </row>
    <row r="174" spans="1:17" x14ac:dyDescent="0.35">
      <c r="A174" s="12">
        <v>15</v>
      </c>
      <c r="B174" s="12" t="s">
        <v>266</v>
      </c>
      <c r="C174" s="12">
        <v>2022</v>
      </c>
      <c r="D174" s="12" t="s">
        <v>267</v>
      </c>
      <c r="E174" s="13" t="s">
        <v>268</v>
      </c>
      <c r="F174" s="14" t="s">
        <v>269</v>
      </c>
      <c r="G174" s="14" t="s">
        <v>274</v>
      </c>
      <c r="H174" s="14" t="s">
        <v>326</v>
      </c>
      <c r="I174" s="12">
        <v>46.416649999999997</v>
      </c>
      <c r="J174" s="12">
        <v>-86.647426999999993</v>
      </c>
      <c r="K174" s="12" t="s">
        <v>138</v>
      </c>
      <c r="L174" s="12" t="s">
        <v>28</v>
      </c>
      <c r="M174" s="12" t="s">
        <v>272</v>
      </c>
      <c r="N174" s="12">
        <v>16.2</v>
      </c>
      <c r="O174" s="12" t="s">
        <v>273</v>
      </c>
      <c r="P174" s="12">
        <v>16.2</v>
      </c>
      <c r="Q174" s="12" t="s">
        <v>144</v>
      </c>
    </row>
    <row r="175" spans="1:17" x14ac:dyDescent="0.35">
      <c r="A175" s="12">
        <v>15</v>
      </c>
      <c r="B175" s="12" t="s">
        <v>266</v>
      </c>
      <c r="C175" s="12">
        <v>2022</v>
      </c>
      <c r="D175" s="12" t="s">
        <v>267</v>
      </c>
      <c r="E175" s="13" t="s">
        <v>268</v>
      </c>
      <c r="F175" s="14" t="s">
        <v>269</v>
      </c>
      <c r="G175" s="14" t="s">
        <v>274</v>
      </c>
      <c r="H175" s="12" t="s">
        <v>327</v>
      </c>
      <c r="I175" s="12">
        <v>46.471012999999999</v>
      </c>
      <c r="J175" s="12">
        <v>-84.462573000000006</v>
      </c>
      <c r="K175" s="12" t="s">
        <v>138</v>
      </c>
      <c r="L175" s="12" t="s">
        <v>28</v>
      </c>
      <c r="M175" s="12" t="s">
        <v>272</v>
      </c>
      <c r="N175" s="12">
        <v>14.6</v>
      </c>
      <c r="O175" s="12" t="s">
        <v>273</v>
      </c>
      <c r="P175" s="12">
        <v>14.6</v>
      </c>
      <c r="Q175" s="12" t="s">
        <v>144</v>
      </c>
    </row>
    <row r="176" spans="1:17" x14ac:dyDescent="0.35">
      <c r="A176" s="12">
        <v>15</v>
      </c>
      <c r="B176" s="12" t="s">
        <v>266</v>
      </c>
      <c r="C176" s="12">
        <v>2022</v>
      </c>
      <c r="D176" s="12" t="s">
        <v>267</v>
      </c>
      <c r="E176" s="13" t="s">
        <v>268</v>
      </c>
      <c r="F176" s="14" t="s">
        <v>269</v>
      </c>
      <c r="G176" s="14" t="s">
        <v>274</v>
      </c>
      <c r="H176" s="14" t="s">
        <v>328</v>
      </c>
      <c r="I176" s="12">
        <v>46.864530999999999</v>
      </c>
      <c r="J176" s="12">
        <v>-88.364053999999996</v>
      </c>
      <c r="K176" s="12" t="s">
        <v>138</v>
      </c>
      <c r="L176" s="12" t="s">
        <v>28</v>
      </c>
      <c r="M176" s="12" t="s">
        <v>272</v>
      </c>
      <c r="N176" s="12">
        <v>14.5</v>
      </c>
      <c r="O176" s="12" t="s">
        <v>273</v>
      </c>
      <c r="P176" s="12">
        <v>14.5</v>
      </c>
      <c r="Q176" s="12" t="s">
        <v>144</v>
      </c>
    </row>
    <row r="177" spans="1:18" x14ac:dyDescent="0.35">
      <c r="A177" s="12">
        <v>15</v>
      </c>
      <c r="B177" s="12" t="s">
        <v>266</v>
      </c>
      <c r="C177" s="12">
        <v>2022</v>
      </c>
      <c r="D177" s="12" t="s">
        <v>267</v>
      </c>
      <c r="E177" s="13" t="s">
        <v>268</v>
      </c>
      <c r="F177" s="14" t="s">
        <v>269</v>
      </c>
      <c r="G177" s="12" t="s">
        <v>86</v>
      </c>
      <c r="H177" s="14" t="s">
        <v>329</v>
      </c>
      <c r="I177" s="12">
        <v>47.931103</v>
      </c>
      <c r="J177" s="12">
        <v>-84.896705999999995</v>
      </c>
      <c r="K177" s="12" t="s">
        <v>138</v>
      </c>
      <c r="L177" s="12" t="s">
        <v>28</v>
      </c>
      <c r="M177" s="12" t="s">
        <v>272</v>
      </c>
      <c r="N177" s="12">
        <v>4.9000000000000004</v>
      </c>
      <c r="O177" s="12" t="s">
        <v>273</v>
      </c>
      <c r="P177" s="12">
        <v>4.9000000000000004</v>
      </c>
      <c r="Q177" s="12" t="s">
        <v>144</v>
      </c>
    </row>
    <row r="178" spans="1:18" x14ac:dyDescent="0.35">
      <c r="A178" s="12">
        <v>15</v>
      </c>
      <c r="B178" s="12" t="s">
        <v>266</v>
      </c>
      <c r="C178" s="12">
        <v>2022</v>
      </c>
      <c r="D178" s="12" t="s">
        <v>267</v>
      </c>
      <c r="E178" s="13" t="s">
        <v>268</v>
      </c>
      <c r="F178" s="14" t="s">
        <v>269</v>
      </c>
      <c r="G178" s="14" t="s">
        <v>274</v>
      </c>
      <c r="H178" s="14" t="s">
        <v>330</v>
      </c>
      <c r="I178" s="12">
        <v>46.879444999999997</v>
      </c>
      <c r="J178" s="12">
        <v>-89.319040999999999</v>
      </c>
      <c r="K178" s="12" t="s">
        <v>138</v>
      </c>
      <c r="L178" s="12" t="s">
        <v>28</v>
      </c>
      <c r="M178" s="12" t="s">
        <v>272</v>
      </c>
      <c r="N178" s="12">
        <v>4.4000000000000004</v>
      </c>
      <c r="O178" s="12" t="s">
        <v>273</v>
      </c>
      <c r="P178" s="12">
        <v>4.4000000000000004</v>
      </c>
      <c r="Q178" s="12" t="s">
        <v>144</v>
      </c>
    </row>
    <row r="179" spans="1:18" x14ac:dyDescent="0.35">
      <c r="A179" s="12">
        <v>15</v>
      </c>
      <c r="B179" s="12" t="s">
        <v>266</v>
      </c>
      <c r="C179" s="12">
        <v>2022</v>
      </c>
      <c r="D179" s="12" t="s">
        <v>267</v>
      </c>
      <c r="E179" s="13" t="s">
        <v>268</v>
      </c>
      <c r="F179" s="14" t="s">
        <v>269</v>
      </c>
      <c r="G179" s="14" t="s">
        <v>274</v>
      </c>
      <c r="H179" s="14" t="s">
        <v>331</v>
      </c>
      <c r="I179" s="12">
        <v>46.744911999999999</v>
      </c>
      <c r="J179" s="12">
        <v>-92.058916999999994</v>
      </c>
      <c r="K179" s="12" t="s">
        <v>138</v>
      </c>
      <c r="L179" s="12" t="s">
        <v>28</v>
      </c>
      <c r="M179" s="12" t="s">
        <v>272</v>
      </c>
      <c r="N179" s="12">
        <v>4.4000000000000004</v>
      </c>
      <c r="O179" s="12" t="s">
        <v>273</v>
      </c>
      <c r="P179" s="12">
        <v>4.4000000000000004</v>
      </c>
      <c r="Q179" s="12" t="s">
        <v>144</v>
      </c>
    </row>
    <row r="180" spans="1:18" x14ac:dyDescent="0.35">
      <c r="A180" s="12">
        <v>15</v>
      </c>
      <c r="B180" s="12" t="s">
        <v>266</v>
      </c>
      <c r="C180" s="12">
        <v>2022</v>
      </c>
      <c r="D180" s="12" t="s">
        <v>267</v>
      </c>
      <c r="E180" s="13" t="s">
        <v>268</v>
      </c>
      <c r="F180" s="14" t="s">
        <v>269</v>
      </c>
      <c r="G180" s="14" t="s">
        <v>274</v>
      </c>
      <c r="H180" s="14" t="s">
        <v>332</v>
      </c>
      <c r="I180" s="12">
        <v>47.747363999999997</v>
      </c>
      <c r="J180" s="12">
        <v>-90.337182999999996</v>
      </c>
      <c r="K180" s="12" t="s">
        <v>138</v>
      </c>
      <c r="L180" s="12" t="s">
        <v>28</v>
      </c>
      <c r="M180" s="12" t="s">
        <v>272</v>
      </c>
      <c r="N180" s="12">
        <v>3.8</v>
      </c>
      <c r="O180" s="12" t="s">
        <v>273</v>
      </c>
      <c r="P180" s="12">
        <v>3.8</v>
      </c>
      <c r="Q180" s="12" t="s">
        <v>144</v>
      </c>
    </row>
    <row r="181" spans="1:18" x14ac:dyDescent="0.35">
      <c r="A181" s="12">
        <v>15</v>
      </c>
      <c r="B181" s="12" t="s">
        <v>266</v>
      </c>
      <c r="C181" s="12">
        <v>2022</v>
      </c>
      <c r="D181" s="12" t="s">
        <v>267</v>
      </c>
      <c r="E181" s="13" t="s">
        <v>268</v>
      </c>
      <c r="F181" s="14" t="s">
        <v>269</v>
      </c>
      <c r="G181" s="12" t="s">
        <v>86</v>
      </c>
      <c r="H181" s="12" t="s">
        <v>333</v>
      </c>
      <c r="I181" s="12">
        <v>48.504961000000002</v>
      </c>
      <c r="J181" s="12">
        <v>-88.865020999999999</v>
      </c>
      <c r="K181" s="12" t="s">
        <v>138</v>
      </c>
      <c r="L181" s="12" t="s">
        <v>28</v>
      </c>
      <c r="M181" s="12" t="s">
        <v>272</v>
      </c>
      <c r="N181" s="12">
        <v>2.7</v>
      </c>
      <c r="O181" s="12" t="s">
        <v>273</v>
      </c>
      <c r="P181" s="12">
        <v>2.7</v>
      </c>
      <c r="Q181" s="12" t="s">
        <v>144</v>
      </c>
    </row>
    <row r="182" spans="1:18" x14ac:dyDescent="0.35">
      <c r="A182" s="12">
        <v>15</v>
      </c>
      <c r="B182" s="12" t="s">
        <v>266</v>
      </c>
      <c r="C182" s="12">
        <v>2022</v>
      </c>
      <c r="D182" s="12" t="s">
        <v>267</v>
      </c>
      <c r="E182" s="13" t="s">
        <v>268</v>
      </c>
      <c r="F182" s="14" t="s">
        <v>269</v>
      </c>
      <c r="G182" s="14" t="s">
        <v>274</v>
      </c>
      <c r="H182" s="12" t="s">
        <v>334</v>
      </c>
      <c r="I182" s="12">
        <v>46.665064999999998</v>
      </c>
      <c r="J182" s="12">
        <v>-86.057647000000003</v>
      </c>
      <c r="K182" s="12" t="s">
        <v>138</v>
      </c>
      <c r="L182" s="12" t="s">
        <v>28</v>
      </c>
      <c r="M182" s="12" t="s">
        <v>272</v>
      </c>
      <c r="N182" s="12">
        <v>2.1</v>
      </c>
      <c r="O182" s="12" t="s">
        <v>273</v>
      </c>
      <c r="P182" s="12">
        <v>2.1</v>
      </c>
      <c r="Q182" s="12" t="s">
        <v>144</v>
      </c>
    </row>
    <row r="183" spans="1:18" x14ac:dyDescent="0.35">
      <c r="A183" s="12">
        <v>15</v>
      </c>
      <c r="B183" s="12" t="s">
        <v>266</v>
      </c>
      <c r="C183" s="12">
        <v>2022</v>
      </c>
      <c r="D183" s="12" t="s">
        <v>267</v>
      </c>
      <c r="E183" s="13" t="s">
        <v>268</v>
      </c>
      <c r="F183" s="14" t="s">
        <v>269</v>
      </c>
      <c r="G183" s="12" t="s">
        <v>86</v>
      </c>
      <c r="H183" s="12" t="s">
        <v>335</v>
      </c>
      <c r="I183" s="12">
        <v>46.925668999999999</v>
      </c>
      <c r="J183" s="12">
        <v>-84.601018999999994</v>
      </c>
      <c r="K183" s="12" t="s">
        <v>138</v>
      </c>
      <c r="L183" s="12" t="s">
        <v>28</v>
      </c>
      <c r="M183" s="12" t="s">
        <v>272</v>
      </c>
      <c r="N183" s="12">
        <v>1.2</v>
      </c>
      <c r="O183" s="12" t="s">
        <v>273</v>
      </c>
      <c r="P183" s="12">
        <v>1.2</v>
      </c>
      <c r="Q183" s="12" t="s">
        <v>144</v>
      </c>
    </row>
    <row r="184" spans="1:18" x14ac:dyDescent="0.35">
      <c r="A184" s="12">
        <v>15</v>
      </c>
      <c r="B184" s="12" t="s">
        <v>266</v>
      </c>
      <c r="C184" s="12">
        <v>2022</v>
      </c>
      <c r="D184" s="12" t="s">
        <v>267</v>
      </c>
      <c r="E184" s="13" t="s">
        <v>268</v>
      </c>
      <c r="F184" s="14" t="s">
        <v>269</v>
      </c>
      <c r="G184" s="14" t="s">
        <v>274</v>
      </c>
      <c r="H184" s="12" t="s">
        <v>336</v>
      </c>
      <c r="I184" s="12">
        <v>46.564995000000003</v>
      </c>
      <c r="J184" s="12">
        <v>-87.386804999999995</v>
      </c>
      <c r="K184" s="12" t="s">
        <v>138</v>
      </c>
      <c r="L184" s="12" t="s">
        <v>28</v>
      </c>
      <c r="M184" s="12" t="s">
        <v>272</v>
      </c>
      <c r="N184" s="12">
        <v>1.2</v>
      </c>
      <c r="O184" s="12" t="s">
        <v>273</v>
      </c>
      <c r="P184" s="12">
        <v>1.2</v>
      </c>
      <c r="Q184" s="12" t="s">
        <v>144</v>
      </c>
    </row>
    <row r="185" spans="1:18" x14ac:dyDescent="0.35">
      <c r="A185" s="12">
        <v>15</v>
      </c>
      <c r="B185" s="12" t="s">
        <v>266</v>
      </c>
      <c r="C185" s="12">
        <v>2022</v>
      </c>
      <c r="D185" s="12" t="s">
        <v>267</v>
      </c>
      <c r="E185" s="13" t="s">
        <v>268</v>
      </c>
      <c r="F185" s="14" t="s">
        <v>269</v>
      </c>
      <c r="G185" s="14" t="s">
        <v>274</v>
      </c>
      <c r="H185" s="12" t="s">
        <v>337</v>
      </c>
      <c r="I185" s="12">
        <v>47.549489999999999</v>
      </c>
      <c r="J185" s="12">
        <v>-90.864504999999994</v>
      </c>
      <c r="K185" s="12" t="s">
        <v>138</v>
      </c>
      <c r="L185" s="12" t="s">
        <v>28</v>
      </c>
      <c r="M185" s="12" t="s">
        <v>272</v>
      </c>
      <c r="N185" s="12">
        <v>0.9</v>
      </c>
      <c r="O185" s="12" t="s">
        <v>273</v>
      </c>
      <c r="P185" s="12">
        <v>0.9</v>
      </c>
      <c r="Q185" s="12" t="s">
        <v>144</v>
      </c>
    </row>
    <row r="186" spans="1:18" x14ac:dyDescent="0.35">
      <c r="A186" s="12">
        <v>15</v>
      </c>
      <c r="B186" s="12" t="s">
        <v>266</v>
      </c>
      <c r="C186" s="12">
        <v>2022</v>
      </c>
      <c r="D186" s="12" t="s">
        <v>267</v>
      </c>
      <c r="E186" s="13" t="s">
        <v>268</v>
      </c>
      <c r="F186" s="14" t="s">
        <v>269</v>
      </c>
      <c r="G186" s="12" t="s">
        <v>86</v>
      </c>
      <c r="H186" s="12" t="s">
        <v>338</v>
      </c>
      <c r="I186" s="12">
        <v>47.990954000000002</v>
      </c>
      <c r="J186" s="12">
        <v>-89.624223999999998</v>
      </c>
      <c r="K186" s="12" t="s">
        <v>138</v>
      </c>
      <c r="L186" s="12" t="s">
        <v>28</v>
      </c>
      <c r="M186" s="12" t="s">
        <v>272</v>
      </c>
      <c r="N186" s="12">
        <v>0.7</v>
      </c>
      <c r="O186" s="12" t="s">
        <v>273</v>
      </c>
      <c r="P186" s="12">
        <v>0.7</v>
      </c>
      <c r="Q186" s="12" t="s">
        <v>144</v>
      </c>
    </row>
    <row r="187" spans="1:18" x14ac:dyDescent="0.35">
      <c r="A187" s="12">
        <v>15</v>
      </c>
      <c r="B187" s="12" t="s">
        <v>266</v>
      </c>
      <c r="C187" s="12">
        <v>2022</v>
      </c>
      <c r="D187" s="12" t="s">
        <v>267</v>
      </c>
      <c r="E187" s="13" t="s">
        <v>268</v>
      </c>
      <c r="F187" s="14" t="s">
        <v>269</v>
      </c>
      <c r="G187" s="14" t="s">
        <v>274</v>
      </c>
      <c r="H187" s="12" t="s">
        <v>339</v>
      </c>
      <c r="I187" s="12">
        <v>47.106681000000002</v>
      </c>
      <c r="J187" s="12">
        <v>-88.505419000000003</v>
      </c>
      <c r="K187" s="12" t="s">
        <v>138</v>
      </c>
      <c r="L187" s="12" t="s">
        <v>28</v>
      </c>
      <c r="M187" s="12" t="s">
        <v>272</v>
      </c>
      <c r="N187" s="12">
        <v>0.2</v>
      </c>
      <c r="O187" s="12" t="s">
        <v>273</v>
      </c>
      <c r="P187" s="12">
        <v>0.2</v>
      </c>
      <c r="Q187" s="12" t="s">
        <v>144</v>
      </c>
    </row>
    <row r="188" spans="1:18" x14ac:dyDescent="0.35">
      <c r="A188" s="12">
        <v>15</v>
      </c>
      <c r="B188" s="12" t="s">
        <v>266</v>
      </c>
      <c r="C188" s="12">
        <v>2022</v>
      </c>
      <c r="D188" s="12" t="s">
        <v>267</v>
      </c>
      <c r="E188" s="13" t="s">
        <v>268</v>
      </c>
      <c r="F188" s="14" t="s">
        <v>269</v>
      </c>
      <c r="G188" s="12" t="s">
        <v>86</v>
      </c>
      <c r="H188" s="12" t="s">
        <v>340</v>
      </c>
      <c r="I188" s="12">
        <v>48.705826999999999</v>
      </c>
      <c r="J188" s="12">
        <v>-86.393902999999995</v>
      </c>
      <c r="K188" s="12" t="s">
        <v>138</v>
      </c>
      <c r="L188" s="12" t="s">
        <v>28</v>
      </c>
      <c r="M188" s="12" t="s">
        <v>272</v>
      </c>
      <c r="N188" s="12">
        <v>0</v>
      </c>
      <c r="O188" s="12" t="s">
        <v>273</v>
      </c>
      <c r="P188" s="12">
        <v>0</v>
      </c>
      <c r="Q188" s="12" t="s">
        <v>144</v>
      </c>
    </row>
    <row r="189" spans="1:18" x14ac:dyDescent="0.35">
      <c r="A189" s="12">
        <v>16</v>
      </c>
      <c r="B189" s="12" t="s">
        <v>341</v>
      </c>
      <c r="C189" s="12">
        <v>2020</v>
      </c>
      <c r="D189" s="12" t="s">
        <v>178</v>
      </c>
      <c r="E189" s="12" t="s">
        <v>342</v>
      </c>
      <c r="F189" s="12" t="s">
        <v>343</v>
      </c>
      <c r="G189" s="12" t="s">
        <v>86</v>
      </c>
      <c r="H189" s="12" t="s">
        <v>344</v>
      </c>
      <c r="I189" s="12">
        <v>43.483263000000001</v>
      </c>
      <c r="J189" s="16">
        <v>-81.190910000000002</v>
      </c>
      <c r="K189" s="12" t="s">
        <v>103</v>
      </c>
      <c r="L189" s="12" t="s">
        <v>223</v>
      </c>
      <c r="N189" s="12">
        <v>8</v>
      </c>
      <c r="O189" s="12" t="s">
        <v>346</v>
      </c>
      <c r="P189" s="12">
        <f t="shared" ref="P189:P220" si="3">N189</f>
        <v>8</v>
      </c>
      <c r="Q189" s="12" t="s">
        <v>107</v>
      </c>
      <c r="R189" s="12" t="s">
        <v>347</v>
      </c>
    </row>
    <row r="190" spans="1:18" x14ac:dyDescent="0.35">
      <c r="A190" s="12">
        <v>16</v>
      </c>
      <c r="B190" s="12" t="s">
        <v>341</v>
      </c>
      <c r="C190" s="12">
        <v>2020</v>
      </c>
      <c r="D190" s="12" t="s">
        <v>178</v>
      </c>
      <c r="E190" s="12" t="s">
        <v>342</v>
      </c>
      <c r="F190" s="12" t="s">
        <v>343</v>
      </c>
      <c r="G190" s="12" t="s">
        <v>86</v>
      </c>
      <c r="H190" s="12" t="s">
        <v>348</v>
      </c>
      <c r="I190" s="12">
        <v>43.462809999999998</v>
      </c>
      <c r="J190" s="16">
        <v>-81.202703</v>
      </c>
      <c r="K190" s="12" t="s">
        <v>103</v>
      </c>
      <c r="L190" s="12" t="s">
        <v>223</v>
      </c>
      <c r="N190" s="12">
        <v>669</v>
      </c>
      <c r="O190" s="12" t="s">
        <v>346</v>
      </c>
      <c r="P190" s="12">
        <f t="shared" si="3"/>
        <v>669</v>
      </c>
      <c r="Q190" s="12" t="s">
        <v>107</v>
      </c>
      <c r="R190" s="12" t="s">
        <v>347</v>
      </c>
    </row>
    <row r="191" spans="1:18" x14ac:dyDescent="0.35">
      <c r="A191" s="12">
        <v>16</v>
      </c>
      <c r="B191" s="12" t="s">
        <v>341</v>
      </c>
      <c r="C191" s="12">
        <v>2020</v>
      </c>
      <c r="D191" s="12" t="s">
        <v>178</v>
      </c>
      <c r="E191" s="12" t="s">
        <v>342</v>
      </c>
      <c r="F191" s="12" t="s">
        <v>343</v>
      </c>
      <c r="G191" s="12" t="s">
        <v>86</v>
      </c>
      <c r="H191" s="12" t="s">
        <v>349</v>
      </c>
      <c r="I191" s="12">
        <v>43.450996000000004</v>
      </c>
      <c r="J191" s="16">
        <v>-81.206593999999996</v>
      </c>
      <c r="K191" s="12" t="s">
        <v>103</v>
      </c>
      <c r="L191" s="12" t="s">
        <v>223</v>
      </c>
      <c r="N191" s="12">
        <v>30</v>
      </c>
      <c r="O191" s="12" t="s">
        <v>346</v>
      </c>
      <c r="P191" s="12">
        <f t="shared" si="3"/>
        <v>30</v>
      </c>
      <c r="Q191" s="12" t="s">
        <v>107</v>
      </c>
      <c r="R191" s="12" t="s">
        <v>347</v>
      </c>
    </row>
    <row r="192" spans="1:18" x14ac:dyDescent="0.35">
      <c r="A192" s="12">
        <v>16</v>
      </c>
      <c r="B192" s="12" t="s">
        <v>341</v>
      </c>
      <c r="C192" s="12">
        <v>2020</v>
      </c>
      <c r="D192" s="12" t="s">
        <v>178</v>
      </c>
      <c r="E192" s="12" t="s">
        <v>342</v>
      </c>
      <c r="F192" s="12" t="s">
        <v>343</v>
      </c>
      <c r="G192" s="12" t="s">
        <v>86</v>
      </c>
      <c r="H192" s="12" t="s">
        <v>350</v>
      </c>
      <c r="I192" s="12">
        <v>42.374299999999998</v>
      </c>
      <c r="J192" s="16">
        <v>-82.278872000000007</v>
      </c>
      <c r="K192" s="12" t="s">
        <v>103</v>
      </c>
      <c r="L192" s="12" t="s">
        <v>223</v>
      </c>
      <c r="N192" s="12">
        <v>247</v>
      </c>
      <c r="O192" s="12" t="s">
        <v>346</v>
      </c>
      <c r="P192" s="12">
        <f t="shared" si="3"/>
        <v>247</v>
      </c>
      <c r="Q192" s="12" t="s">
        <v>107</v>
      </c>
      <c r="R192" s="12" t="s">
        <v>347</v>
      </c>
    </row>
    <row r="193" spans="1:18" x14ac:dyDescent="0.35">
      <c r="A193" s="12">
        <v>16</v>
      </c>
      <c r="B193" s="12" t="s">
        <v>341</v>
      </c>
      <c r="C193" s="12">
        <v>2020</v>
      </c>
      <c r="D193" s="12" t="s">
        <v>178</v>
      </c>
      <c r="E193" s="12" t="s">
        <v>342</v>
      </c>
      <c r="F193" s="12" t="s">
        <v>343</v>
      </c>
      <c r="G193" s="12" t="s">
        <v>86</v>
      </c>
      <c r="H193" s="12" t="s">
        <v>351</v>
      </c>
      <c r="I193" s="12">
        <v>42.393312000000002</v>
      </c>
      <c r="J193" s="16">
        <v>-82.210854999999995</v>
      </c>
      <c r="K193" s="12" t="s">
        <v>103</v>
      </c>
      <c r="L193" s="12" t="s">
        <v>223</v>
      </c>
      <c r="N193" s="12">
        <v>704</v>
      </c>
      <c r="O193" s="12" t="s">
        <v>346</v>
      </c>
      <c r="P193" s="12">
        <f t="shared" si="3"/>
        <v>704</v>
      </c>
      <c r="Q193" s="12" t="s">
        <v>107</v>
      </c>
      <c r="R193" s="12" t="s">
        <v>347</v>
      </c>
    </row>
    <row r="194" spans="1:18" x14ac:dyDescent="0.35">
      <c r="A194" s="12">
        <v>16</v>
      </c>
      <c r="B194" s="12" t="s">
        <v>341</v>
      </c>
      <c r="C194" s="12">
        <v>2020</v>
      </c>
      <c r="D194" s="12" t="s">
        <v>178</v>
      </c>
      <c r="E194" s="12" t="s">
        <v>342</v>
      </c>
      <c r="F194" s="12" t="s">
        <v>343</v>
      </c>
      <c r="G194" s="12" t="s">
        <v>86</v>
      </c>
      <c r="H194" s="12" t="s">
        <v>352</v>
      </c>
      <c r="I194" s="12">
        <v>42.977558999999999</v>
      </c>
      <c r="J194" s="16">
        <v>-81.276173999999997</v>
      </c>
      <c r="K194" s="12" t="s">
        <v>103</v>
      </c>
      <c r="L194" s="12" t="s">
        <v>223</v>
      </c>
      <c r="N194" s="12">
        <v>31</v>
      </c>
      <c r="O194" s="12" t="s">
        <v>346</v>
      </c>
      <c r="P194" s="12">
        <f t="shared" si="3"/>
        <v>31</v>
      </c>
      <c r="Q194" s="12" t="s">
        <v>107</v>
      </c>
      <c r="R194" s="12" t="s">
        <v>347</v>
      </c>
    </row>
    <row r="195" spans="1:18" x14ac:dyDescent="0.35">
      <c r="A195" s="12">
        <v>16</v>
      </c>
      <c r="B195" s="12" t="s">
        <v>341</v>
      </c>
      <c r="C195" s="12">
        <v>2020</v>
      </c>
      <c r="D195" s="12" t="s">
        <v>178</v>
      </c>
      <c r="E195" s="12" t="s">
        <v>342</v>
      </c>
      <c r="F195" s="12" t="s">
        <v>343</v>
      </c>
      <c r="G195" s="12" t="s">
        <v>86</v>
      </c>
      <c r="H195" s="12" t="s">
        <v>353</v>
      </c>
      <c r="I195" s="12">
        <v>43.153412000000003</v>
      </c>
      <c r="J195" s="16">
        <v>-80.748754000000005</v>
      </c>
      <c r="K195" s="12" t="s">
        <v>103</v>
      </c>
      <c r="L195" s="12" t="s">
        <v>223</v>
      </c>
      <c r="N195" s="12">
        <v>262</v>
      </c>
      <c r="O195" s="12" t="s">
        <v>346</v>
      </c>
      <c r="P195" s="12">
        <f t="shared" si="3"/>
        <v>262</v>
      </c>
      <c r="Q195" s="12" t="s">
        <v>107</v>
      </c>
      <c r="R195" s="12" t="s">
        <v>347</v>
      </c>
    </row>
    <row r="196" spans="1:18" x14ac:dyDescent="0.35">
      <c r="A196" s="12">
        <v>16</v>
      </c>
      <c r="B196" s="12" t="s">
        <v>341</v>
      </c>
      <c r="C196" s="12">
        <v>2020</v>
      </c>
      <c r="D196" s="12" t="s">
        <v>178</v>
      </c>
      <c r="E196" s="12" t="s">
        <v>342</v>
      </c>
      <c r="F196" s="12" t="s">
        <v>343</v>
      </c>
      <c r="G196" s="12" t="s">
        <v>86</v>
      </c>
      <c r="H196" s="12" t="s">
        <v>354</v>
      </c>
      <c r="I196" s="12">
        <v>43.111448000000003</v>
      </c>
      <c r="J196" s="16">
        <v>-80.796115</v>
      </c>
      <c r="K196" s="12" t="s">
        <v>103</v>
      </c>
      <c r="L196" s="12" t="s">
        <v>223</v>
      </c>
      <c r="N196" s="12">
        <v>271</v>
      </c>
      <c r="O196" s="12" t="s">
        <v>346</v>
      </c>
      <c r="P196" s="12">
        <f t="shared" si="3"/>
        <v>271</v>
      </c>
      <c r="Q196" s="12" t="s">
        <v>107</v>
      </c>
      <c r="R196" s="12" t="s">
        <v>347</v>
      </c>
    </row>
    <row r="197" spans="1:18" x14ac:dyDescent="0.35">
      <c r="A197" s="12">
        <v>16</v>
      </c>
      <c r="B197" s="12" t="s">
        <v>341</v>
      </c>
      <c r="C197" s="12">
        <v>2020</v>
      </c>
      <c r="D197" s="12" t="s">
        <v>178</v>
      </c>
      <c r="E197" s="12" t="s">
        <v>342</v>
      </c>
      <c r="F197" s="12" t="s">
        <v>343</v>
      </c>
      <c r="G197" s="12" t="s">
        <v>86</v>
      </c>
      <c r="H197" s="12" t="s">
        <v>355</v>
      </c>
      <c r="I197" s="12">
        <v>43.120449000000001</v>
      </c>
      <c r="J197" s="16">
        <v>-80.750353000000004</v>
      </c>
      <c r="K197" s="12" t="s">
        <v>103</v>
      </c>
      <c r="L197" s="12" t="s">
        <v>223</v>
      </c>
      <c r="N197" s="12">
        <v>97</v>
      </c>
      <c r="O197" s="12" t="s">
        <v>346</v>
      </c>
      <c r="P197" s="12">
        <f t="shared" si="3"/>
        <v>97</v>
      </c>
      <c r="Q197" s="12" t="s">
        <v>107</v>
      </c>
      <c r="R197" s="12" t="s">
        <v>347</v>
      </c>
    </row>
    <row r="198" spans="1:18" x14ac:dyDescent="0.35">
      <c r="A198" s="12">
        <v>16</v>
      </c>
      <c r="B198" s="12" t="s">
        <v>341</v>
      </c>
      <c r="C198" s="12">
        <v>2020</v>
      </c>
      <c r="D198" s="12" t="s">
        <v>178</v>
      </c>
      <c r="E198" s="12" t="s">
        <v>342</v>
      </c>
      <c r="F198" s="12" t="s">
        <v>343</v>
      </c>
      <c r="G198" s="12" t="s">
        <v>86</v>
      </c>
      <c r="H198" s="12" t="s">
        <v>356</v>
      </c>
      <c r="I198" s="12">
        <v>43.063138000000002</v>
      </c>
      <c r="J198" s="16">
        <v>-80.854614999999995</v>
      </c>
      <c r="K198" s="12" t="s">
        <v>103</v>
      </c>
      <c r="L198" s="12" t="s">
        <v>223</v>
      </c>
      <c r="N198" s="12">
        <v>140</v>
      </c>
      <c r="O198" s="12" t="s">
        <v>346</v>
      </c>
      <c r="P198" s="12">
        <f t="shared" si="3"/>
        <v>140</v>
      </c>
      <c r="Q198" s="12" t="s">
        <v>107</v>
      </c>
      <c r="R198" s="12" t="s">
        <v>347</v>
      </c>
    </row>
    <row r="199" spans="1:18" x14ac:dyDescent="0.35">
      <c r="A199" s="12">
        <v>16</v>
      </c>
      <c r="B199" s="12" t="s">
        <v>341</v>
      </c>
      <c r="C199" s="12">
        <v>2020</v>
      </c>
      <c r="D199" s="12" t="s">
        <v>178</v>
      </c>
      <c r="E199" s="12" t="s">
        <v>342</v>
      </c>
      <c r="F199" s="12" t="s">
        <v>343</v>
      </c>
      <c r="G199" s="12" t="s">
        <v>86</v>
      </c>
      <c r="H199" s="12" t="s">
        <v>357</v>
      </c>
      <c r="I199" s="12">
        <v>43.025058999999999</v>
      </c>
      <c r="J199" s="16">
        <v>-80.914713000000006</v>
      </c>
      <c r="K199" s="12" t="s">
        <v>103</v>
      </c>
      <c r="L199" s="12" t="s">
        <v>223</v>
      </c>
      <c r="N199" s="12">
        <v>53</v>
      </c>
      <c r="O199" s="12" t="s">
        <v>346</v>
      </c>
      <c r="P199" s="12">
        <f t="shared" si="3"/>
        <v>53</v>
      </c>
      <c r="Q199" s="12" t="s">
        <v>107</v>
      </c>
      <c r="R199" s="12" t="s">
        <v>347</v>
      </c>
    </row>
    <row r="200" spans="1:18" x14ac:dyDescent="0.35">
      <c r="A200" s="12">
        <v>16</v>
      </c>
      <c r="B200" s="12" t="s">
        <v>341</v>
      </c>
      <c r="C200" s="12">
        <v>2020</v>
      </c>
      <c r="D200" s="12" t="s">
        <v>178</v>
      </c>
      <c r="E200" s="12" t="s">
        <v>342</v>
      </c>
      <c r="F200" s="12" t="s">
        <v>343</v>
      </c>
      <c r="G200" s="12" t="s">
        <v>86</v>
      </c>
      <c r="H200" s="12" t="s">
        <v>358</v>
      </c>
      <c r="I200" s="12">
        <v>43.061110999999997</v>
      </c>
      <c r="J200" s="16">
        <v>-80.996205000000003</v>
      </c>
      <c r="K200" s="12" t="s">
        <v>103</v>
      </c>
      <c r="L200" s="12" t="s">
        <v>223</v>
      </c>
      <c r="N200" s="12">
        <v>176</v>
      </c>
      <c r="O200" s="12" t="s">
        <v>346</v>
      </c>
      <c r="P200" s="12">
        <f t="shared" si="3"/>
        <v>176</v>
      </c>
      <c r="Q200" s="12" t="s">
        <v>107</v>
      </c>
      <c r="R200" s="12" t="s">
        <v>347</v>
      </c>
    </row>
    <row r="201" spans="1:18" x14ac:dyDescent="0.35">
      <c r="A201" s="12">
        <v>16</v>
      </c>
      <c r="B201" s="12" t="s">
        <v>341</v>
      </c>
      <c r="C201" s="12">
        <v>2020</v>
      </c>
      <c r="D201" s="12" t="s">
        <v>178</v>
      </c>
      <c r="E201" s="12" t="s">
        <v>342</v>
      </c>
      <c r="F201" s="12" t="s">
        <v>343</v>
      </c>
      <c r="G201" s="12" t="s">
        <v>86</v>
      </c>
      <c r="H201" s="12" t="s">
        <v>359</v>
      </c>
      <c r="I201" s="12">
        <v>42.991491000000003</v>
      </c>
      <c r="J201" s="16">
        <v>-80.954795000000004</v>
      </c>
      <c r="K201" s="12" t="s">
        <v>103</v>
      </c>
      <c r="L201" s="12" t="s">
        <v>223</v>
      </c>
      <c r="N201" s="12">
        <v>50</v>
      </c>
      <c r="O201" s="12" t="s">
        <v>346</v>
      </c>
      <c r="P201" s="12">
        <f t="shared" si="3"/>
        <v>50</v>
      </c>
      <c r="Q201" s="12" t="s">
        <v>107</v>
      </c>
      <c r="R201" s="12" t="s">
        <v>347</v>
      </c>
    </row>
    <row r="202" spans="1:18" x14ac:dyDescent="0.35">
      <c r="A202" s="12">
        <v>16</v>
      </c>
      <c r="B202" s="12" t="s">
        <v>341</v>
      </c>
      <c r="C202" s="12">
        <v>2020</v>
      </c>
      <c r="D202" s="12" t="s">
        <v>178</v>
      </c>
      <c r="E202" s="12" t="s">
        <v>342</v>
      </c>
      <c r="F202" s="12" t="s">
        <v>343</v>
      </c>
      <c r="G202" s="12" t="s">
        <v>86</v>
      </c>
      <c r="H202" s="12" t="s">
        <v>360</v>
      </c>
      <c r="I202" s="12">
        <v>43.317821000000002</v>
      </c>
      <c r="J202" s="16">
        <v>-81.231727000000006</v>
      </c>
      <c r="K202" s="12" t="s">
        <v>103</v>
      </c>
      <c r="L202" s="12" t="s">
        <v>223</v>
      </c>
      <c r="N202" s="12">
        <v>39</v>
      </c>
      <c r="O202" s="12" t="s">
        <v>346</v>
      </c>
      <c r="P202" s="12">
        <f t="shared" si="3"/>
        <v>39</v>
      </c>
      <c r="Q202" s="12" t="s">
        <v>107</v>
      </c>
      <c r="R202" s="12" t="s">
        <v>347</v>
      </c>
    </row>
    <row r="203" spans="1:18" x14ac:dyDescent="0.35">
      <c r="A203" s="12">
        <v>16</v>
      </c>
      <c r="B203" s="12" t="s">
        <v>341</v>
      </c>
      <c r="C203" s="12">
        <v>2020</v>
      </c>
      <c r="D203" s="12" t="s">
        <v>178</v>
      </c>
      <c r="E203" s="12" t="s">
        <v>342</v>
      </c>
      <c r="F203" s="12" t="s">
        <v>343</v>
      </c>
      <c r="G203" s="12" t="s">
        <v>86</v>
      </c>
      <c r="H203" s="12" t="s">
        <v>361</v>
      </c>
      <c r="I203" s="12">
        <v>43.268331000000003</v>
      </c>
      <c r="J203" s="16">
        <v>-81.169905</v>
      </c>
      <c r="K203" s="12" t="s">
        <v>103</v>
      </c>
      <c r="L203" s="12" t="s">
        <v>223</v>
      </c>
      <c r="N203" s="12">
        <v>46</v>
      </c>
      <c r="O203" s="12" t="s">
        <v>346</v>
      </c>
      <c r="P203" s="12">
        <f t="shared" si="3"/>
        <v>46</v>
      </c>
      <c r="Q203" s="12" t="s">
        <v>107</v>
      </c>
      <c r="R203" s="12" t="s">
        <v>347</v>
      </c>
    </row>
    <row r="204" spans="1:18" x14ac:dyDescent="0.35">
      <c r="A204" s="12">
        <v>16</v>
      </c>
      <c r="B204" s="12" t="s">
        <v>341</v>
      </c>
      <c r="C204" s="12">
        <v>2020</v>
      </c>
      <c r="D204" s="12" t="s">
        <v>178</v>
      </c>
      <c r="E204" s="12" t="s">
        <v>342</v>
      </c>
      <c r="F204" s="12" t="s">
        <v>343</v>
      </c>
      <c r="G204" s="12" t="s">
        <v>86</v>
      </c>
      <c r="H204" s="12" t="s">
        <v>362</v>
      </c>
      <c r="I204" s="12">
        <v>43.238950000000003</v>
      </c>
      <c r="J204" s="16">
        <v>-81.162694999999999</v>
      </c>
      <c r="K204" s="12" t="s">
        <v>103</v>
      </c>
      <c r="L204" s="12" t="s">
        <v>223</v>
      </c>
      <c r="N204" s="12">
        <v>21</v>
      </c>
      <c r="O204" s="12" t="s">
        <v>346</v>
      </c>
      <c r="P204" s="12">
        <f t="shared" si="3"/>
        <v>21</v>
      </c>
      <c r="Q204" s="12" t="s">
        <v>107</v>
      </c>
      <c r="R204" s="12" t="s">
        <v>347</v>
      </c>
    </row>
    <row r="205" spans="1:18" x14ac:dyDescent="0.35">
      <c r="A205" s="12">
        <v>16</v>
      </c>
      <c r="B205" s="12" t="s">
        <v>341</v>
      </c>
      <c r="C205" s="12">
        <v>2020</v>
      </c>
      <c r="D205" s="12" t="s">
        <v>178</v>
      </c>
      <c r="E205" s="12" t="s">
        <v>342</v>
      </c>
      <c r="F205" s="12" t="s">
        <v>343</v>
      </c>
      <c r="G205" s="12" t="s">
        <v>86</v>
      </c>
      <c r="H205" s="12" t="s">
        <v>363</v>
      </c>
      <c r="I205" s="12">
        <v>43.149239000000001</v>
      </c>
      <c r="J205" s="16">
        <v>-81.191500000000005</v>
      </c>
      <c r="K205" s="12" t="s">
        <v>103</v>
      </c>
      <c r="L205" s="12" t="s">
        <v>223</v>
      </c>
      <c r="N205" s="12">
        <v>352</v>
      </c>
      <c r="O205" s="12" t="s">
        <v>346</v>
      </c>
      <c r="P205" s="12">
        <f t="shared" si="3"/>
        <v>352</v>
      </c>
      <c r="Q205" s="12" t="s">
        <v>107</v>
      </c>
      <c r="R205" s="12" t="s">
        <v>347</v>
      </c>
    </row>
    <row r="206" spans="1:18" x14ac:dyDescent="0.35">
      <c r="A206" s="12">
        <v>16</v>
      </c>
      <c r="B206" s="12" t="s">
        <v>341</v>
      </c>
      <c r="C206" s="12">
        <v>2020</v>
      </c>
      <c r="D206" s="12" t="s">
        <v>178</v>
      </c>
      <c r="E206" s="12" t="s">
        <v>342</v>
      </c>
      <c r="F206" s="12" t="s">
        <v>343</v>
      </c>
      <c r="G206" s="12" t="s">
        <v>86</v>
      </c>
      <c r="H206" s="12" t="s">
        <v>364</v>
      </c>
      <c r="I206" s="12">
        <v>43.039906999999999</v>
      </c>
      <c r="J206" s="16">
        <v>-81.213483999999994</v>
      </c>
      <c r="K206" s="12" t="s">
        <v>103</v>
      </c>
      <c r="L206" s="12" t="s">
        <v>223</v>
      </c>
      <c r="N206" s="12">
        <v>6</v>
      </c>
      <c r="O206" s="12" t="s">
        <v>346</v>
      </c>
      <c r="P206" s="12">
        <f t="shared" si="3"/>
        <v>6</v>
      </c>
      <c r="Q206" s="12" t="s">
        <v>107</v>
      </c>
      <c r="R206" s="12" t="s">
        <v>347</v>
      </c>
    </row>
    <row r="207" spans="1:18" x14ac:dyDescent="0.35">
      <c r="A207" s="12">
        <v>16</v>
      </c>
      <c r="B207" s="12" t="s">
        <v>341</v>
      </c>
      <c r="C207" s="12">
        <v>2020</v>
      </c>
      <c r="D207" s="12" t="s">
        <v>178</v>
      </c>
      <c r="E207" s="12" t="s">
        <v>342</v>
      </c>
      <c r="F207" s="12" t="s">
        <v>343</v>
      </c>
      <c r="G207" s="12" t="s">
        <v>86</v>
      </c>
      <c r="H207" s="12" t="s">
        <v>365</v>
      </c>
      <c r="I207" s="12">
        <v>43.106349999999999</v>
      </c>
      <c r="J207" s="16">
        <v>-81.14864</v>
      </c>
      <c r="K207" s="12" t="s">
        <v>103</v>
      </c>
      <c r="L207" s="12" t="s">
        <v>223</v>
      </c>
      <c r="N207" s="12">
        <v>140</v>
      </c>
      <c r="O207" s="12" t="s">
        <v>346</v>
      </c>
      <c r="P207" s="12">
        <f t="shared" si="3"/>
        <v>140</v>
      </c>
      <c r="Q207" s="12" t="s">
        <v>107</v>
      </c>
      <c r="R207" s="12" t="s">
        <v>347</v>
      </c>
    </row>
    <row r="208" spans="1:18" x14ac:dyDescent="0.35">
      <c r="A208" s="12">
        <v>16</v>
      </c>
      <c r="B208" s="12" t="s">
        <v>341</v>
      </c>
      <c r="C208" s="12">
        <v>2020</v>
      </c>
      <c r="D208" s="12" t="s">
        <v>178</v>
      </c>
      <c r="E208" s="12" t="s">
        <v>342</v>
      </c>
      <c r="F208" s="12" t="s">
        <v>343</v>
      </c>
      <c r="G208" s="12" t="s">
        <v>86</v>
      </c>
      <c r="H208" s="12" t="s">
        <v>366</v>
      </c>
      <c r="I208" s="12">
        <v>42.823331000000003</v>
      </c>
      <c r="J208" s="16">
        <v>-81.432798000000005</v>
      </c>
      <c r="K208" s="12" t="s">
        <v>103</v>
      </c>
      <c r="L208" s="12" t="s">
        <v>223</v>
      </c>
      <c r="N208" s="12">
        <v>340</v>
      </c>
      <c r="O208" s="12" t="s">
        <v>346</v>
      </c>
      <c r="P208" s="12">
        <f t="shared" si="3"/>
        <v>340</v>
      </c>
      <c r="Q208" s="12" t="s">
        <v>107</v>
      </c>
      <c r="R208" s="12" t="s">
        <v>347</v>
      </c>
    </row>
    <row r="209" spans="1:18" x14ac:dyDescent="0.35">
      <c r="A209" s="12">
        <v>16</v>
      </c>
      <c r="B209" s="12" t="s">
        <v>341</v>
      </c>
      <c r="C209" s="12">
        <v>2020</v>
      </c>
      <c r="D209" s="12" t="s">
        <v>178</v>
      </c>
      <c r="E209" s="12" t="s">
        <v>342</v>
      </c>
      <c r="F209" s="12" t="s">
        <v>343</v>
      </c>
      <c r="G209" s="12" t="s">
        <v>86</v>
      </c>
      <c r="H209" s="12" t="s">
        <v>367</v>
      </c>
      <c r="I209" s="12">
        <v>42.765011999999999</v>
      </c>
      <c r="J209" s="16">
        <v>-81.513762</v>
      </c>
      <c r="K209" s="12" t="s">
        <v>103</v>
      </c>
      <c r="L209" s="12" t="s">
        <v>223</v>
      </c>
      <c r="N209" s="12">
        <v>105</v>
      </c>
      <c r="O209" s="12" t="s">
        <v>346</v>
      </c>
      <c r="P209" s="12">
        <f t="shared" si="3"/>
        <v>105</v>
      </c>
      <c r="Q209" s="12" t="s">
        <v>107</v>
      </c>
      <c r="R209" s="12" t="s">
        <v>347</v>
      </c>
    </row>
    <row r="210" spans="1:18" x14ac:dyDescent="0.35">
      <c r="A210" s="12">
        <v>16</v>
      </c>
      <c r="B210" s="12" t="s">
        <v>341</v>
      </c>
      <c r="C210" s="12">
        <v>2020</v>
      </c>
      <c r="D210" s="12" t="s">
        <v>178</v>
      </c>
      <c r="E210" s="12" t="s">
        <v>342</v>
      </c>
      <c r="F210" s="12" t="s">
        <v>343</v>
      </c>
      <c r="G210" s="12" t="s">
        <v>86</v>
      </c>
      <c r="H210" s="12" t="s">
        <v>368</v>
      </c>
      <c r="I210" s="12">
        <v>42.911074999999997</v>
      </c>
      <c r="J210" s="16">
        <v>-81.260900000000007</v>
      </c>
      <c r="K210" s="12" t="s">
        <v>103</v>
      </c>
      <c r="L210" s="12" t="s">
        <v>223</v>
      </c>
      <c r="N210" s="12">
        <v>462</v>
      </c>
      <c r="O210" s="12" t="s">
        <v>346</v>
      </c>
      <c r="P210" s="12">
        <f t="shared" si="3"/>
        <v>462</v>
      </c>
      <c r="Q210" s="12" t="s">
        <v>107</v>
      </c>
      <c r="R210" s="12" t="s">
        <v>347</v>
      </c>
    </row>
    <row r="211" spans="1:18" x14ac:dyDescent="0.35">
      <c r="A211" s="12">
        <v>16</v>
      </c>
      <c r="B211" s="12" t="s">
        <v>341</v>
      </c>
      <c r="C211" s="12">
        <v>2020</v>
      </c>
      <c r="D211" s="12" t="s">
        <v>178</v>
      </c>
      <c r="E211" s="12" t="s">
        <v>342</v>
      </c>
      <c r="F211" s="12" t="s">
        <v>343</v>
      </c>
      <c r="G211" s="12" t="s">
        <v>86</v>
      </c>
      <c r="H211" s="12" t="s">
        <v>369</v>
      </c>
      <c r="I211" s="12">
        <v>43.039906999999999</v>
      </c>
      <c r="J211" s="16">
        <v>-81.213483999999994</v>
      </c>
      <c r="K211" s="12" t="s">
        <v>103</v>
      </c>
      <c r="L211" s="12" t="s">
        <v>223</v>
      </c>
      <c r="N211" s="12">
        <v>87</v>
      </c>
      <c r="O211" s="12" t="s">
        <v>346</v>
      </c>
      <c r="P211" s="12">
        <f t="shared" si="3"/>
        <v>87</v>
      </c>
      <c r="Q211" s="12" t="s">
        <v>107</v>
      </c>
      <c r="R211" s="12" t="s">
        <v>347</v>
      </c>
    </row>
    <row r="212" spans="1:18" x14ac:dyDescent="0.35">
      <c r="A212" s="12">
        <v>16</v>
      </c>
      <c r="B212" s="12" t="s">
        <v>341</v>
      </c>
      <c r="C212" s="12">
        <v>2020</v>
      </c>
      <c r="D212" s="12" t="s">
        <v>178</v>
      </c>
      <c r="E212" s="12" t="s">
        <v>342</v>
      </c>
      <c r="F212" s="12" t="s">
        <v>343</v>
      </c>
      <c r="G212" s="12" t="s">
        <v>86</v>
      </c>
      <c r="H212" s="12" t="s">
        <v>370</v>
      </c>
      <c r="I212" s="12">
        <v>42.600403999999997</v>
      </c>
      <c r="J212" s="16">
        <v>-81.863322999999994</v>
      </c>
      <c r="K212" s="12" t="s">
        <v>103</v>
      </c>
      <c r="L212" s="12" t="s">
        <v>223</v>
      </c>
      <c r="N212" s="12">
        <v>269</v>
      </c>
      <c r="O212" s="12" t="s">
        <v>346</v>
      </c>
      <c r="P212" s="12">
        <f t="shared" si="3"/>
        <v>269</v>
      </c>
      <c r="Q212" s="12" t="s">
        <v>107</v>
      </c>
      <c r="R212" s="12" t="s">
        <v>347</v>
      </c>
    </row>
    <row r="213" spans="1:18" x14ac:dyDescent="0.35">
      <c r="A213" s="12">
        <v>16</v>
      </c>
      <c r="B213" s="12" t="s">
        <v>341</v>
      </c>
      <c r="C213" s="12">
        <v>2020</v>
      </c>
      <c r="D213" s="12" t="s">
        <v>178</v>
      </c>
      <c r="E213" s="12" t="s">
        <v>342</v>
      </c>
      <c r="F213" s="12" t="s">
        <v>343</v>
      </c>
      <c r="G213" s="12" t="s">
        <v>86</v>
      </c>
      <c r="H213" s="12" t="s">
        <v>371</v>
      </c>
      <c r="I213" s="12">
        <v>42.546309999999998</v>
      </c>
      <c r="J213" s="16">
        <v>-81.966395000000006</v>
      </c>
      <c r="K213" s="12" t="s">
        <v>103</v>
      </c>
      <c r="L213" s="12" t="s">
        <v>223</v>
      </c>
      <c r="N213" s="12">
        <v>86</v>
      </c>
      <c r="O213" s="12" t="s">
        <v>346</v>
      </c>
      <c r="P213" s="12">
        <f t="shared" si="3"/>
        <v>86</v>
      </c>
      <c r="Q213" s="12" t="s">
        <v>107</v>
      </c>
      <c r="R213" s="12" t="s">
        <v>347</v>
      </c>
    </row>
    <row r="214" spans="1:18" x14ac:dyDescent="0.35">
      <c r="A214" s="12">
        <v>16</v>
      </c>
      <c r="B214" s="12" t="s">
        <v>341</v>
      </c>
      <c r="C214" s="12">
        <v>2020</v>
      </c>
      <c r="D214" s="12" t="s">
        <v>178</v>
      </c>
      <c r="E214" s="12" t="s">
        <v>342</v>
      </c>
      <c r="F214" s="12" t="s">
        <v>343</v>
      </c>
      <c r="G214" s="12" t="s">
        <v>86</v>
      </c>
      <c r="H214" s="12" t="s">
        <v>372</v>
      </c>
      <c r="I214" s="12">
        <v>42.456665999999998</v>
      </c>
      <c r="J214" s="16">
        <v>-82.122613000000001</v>
      </c>
      <c r="K214" s="12" t="s">
        <v>103</v>
      </c>
      <c r="L214" s="12" t="s">
        <v>223</v>
      </c>
      <c r="N214" s="12">
        <v>97</v>
      </c>
      <c r="O214" s="12" t="s">
        <v>346</v>
      </c>
      <c r="P214" s="12">
        <f t="shared" si="3"/>
        <v>97</v>
      </c>
      <c r="Q214" s="12" t="s">
        <v>107</v>
      </c>
      <c r="R214" s="12" t="s">
        <v>347</v>
      </c>
    </row>
    <row r="215" spans="1:18" x14ac:dyDescent="0.35">
      <c r="A215" s="12">
        <v>16</v>
      </c>
      <c r="B215" s="12" t="s">
        <v>341</v>
      </c>
      <c r="C215" s="12">
        <v>2020</v>
      </c>
      <c r="D215" s="12" t="s">
        <v>178</v>
      </c>
      <c r="E215" s="12" t="s">
        <v>342</v>
      </c>
      <c r="F215" s="12" t="s">
        <v>343</v>
      </c>
      <c r="G215" s="12" t="s">
        <v>86</v>
      </c>
      <c r="H215" s="12" t="s">
        <v>373</v>
      </c>
      <c r="I215" s="12">
        <v>42.414619000000002</v>
      </c>
      <c r="J215" s="16">
        <v>-82.169062999999994</v>
      </c>
      <c r="K215" s="12" t="s">
        <v>103</v>
      </c>
      <c r="L215" s="12" t="s">
        <v>223</v>
      </c>
      <c r="N215" s="12">
        <v>141</v>
      </c>
      <c r="O215" s="12" t="s">
        <v>346</v>
      </c>
      <c r="P215" s="12">
        <f t="shared" si="3"/>
        <v>141</v>
      </c>
      <c r="Q215" s="12" t="s">
        <v>107</v>
      </c>
      <c r="R215" s="12" t="s">
        <v>347</v>
      </c>
    </row>
    <row r="216" spans="1:18" x14ac:dyDescent="0.35">
      <c r="A216" s="12">
        <v>16</v>
      </c>
      <c r="B216" s="12" t="s">
        <v>341</v>
      </c>
      <c r="C216" s="12">
        <v>2020</v>
      </c>
      <c r="D216" s="12" t="s">
        <v>178</v>
      </c>
      <c r="E216" s="12" t="s">
        <v>342</v>
      </c>
      <c r="F216" s="12" t="s">
        <v>343</v>
      </c>
      <c r="G216" s="12" t="s">
        <v>86</v>
      </c>
      <c r="H216" s="12" t="s">
        <v>374</v>
      </c>
      <c r="I216" s="12">
        <v>42.344534000000003</v>
      </c>
      <c r="J216" s="16">
        <v>-82.358630000000005</v>
      </c>
      <c r="K216" s="12" t="s">
        <v>103</v>
      </c>
      <c r="L216" s="12" t="s">
        <v>223</v>
      </c>
      <c r="N216" s="12">
        <v>770</v>
      </c>
      <c r="O216" s="12" t="s">
        <v>346</v>
      </c>
      <c r="P216" s="12">
        <f t="shared" si="3"/>
        <v>770</v>
      </c>
      <c r="Q216" s="12" t="s">
        <v>107</v>
      </c>
      <c r="R216" s="12" t="s">
        <v>347</v>
      </c>
    </row>
    <row r="217" spans="1:18" x14ac:dyDescent="0.35">
      <c r="A217" s="12">
        <v>16</v>
      </c>
      <c r="B217" s="12" t="s">
        <v>341</v>
      </c>
      <c r="C217" s="12">
        <v>2020</v>
      </c>
      <c r="D217" s="12" t="s">
        <v>178</v>
      </c>
      <c r="E217" s="12" t="s">
        <v>342</v>
      </c>
      <c r="F217" s="12" t="s">
        <v>343</v>
      </c>
      <c r="G217" s="12" t="s">
        <v>86</v>
      </c>
      <c r="H217" s="12" t="s">
        <v>375</v>
      </c>
      <c r="I217" s="12">
        <v>42.340349000000003</v>
      </c>
      <c r="J217" s="16">
        <v>-82.410702999999998</v>
      </c>
      <c r="K217" s="12" t="s">
        <v>103</v>
      </c>
      <c r="L217" s="12" t="s">
        <v>223</v>
      </c>
      <c r="N217" s="12">
        <v>190</v>
      </c>
      <c r="O217" s="12" t="s">
        <v>346</v>
      </c>
      <c r="P217" s="12">
        <f t="shared" si="3"/>
        <v>190</v>
      </c>
      <c r="Q217" s="12" t="s">
        <v>107</v>
      </c>
      <c r="R217" s="12" t="s">
        <v>347</v>
      </c>
    </row>
    <row r="218" spans="1:18" x14ac:dyDescent="0.35">
      <c r="A218" s="12">
        <v>16</v>
      </c>
      <c r="B218" s="12" t="s">
        <v>341</v>
      </c>
      <c r="C218" s="12">
        <v>2020</v>
      </c>
      <c r="D218" s="12" t="s">
        <v>178</v>
      </c>
      <c r="E218" s="12" t="s">
        <v>342</v>
      </c>
      <c r="F218" s="12" t="s">
        <v>343</v>
      </c>
      <c r="G218" s="12" t="s">
        <v>86</v>
      </c>
      <c r="H218" s="12" t="s">
        <v>376</v>
      </c>
      <c r="I218" s="12">
        <v>42.989403000000003</v>
      </c>
      <c r="J218" s="16">
        <v>-81.054699999999997</v>
      </c>
      <c r="K218" s="12" t="s">
        <v>103</v>
      </c>
      <c r="L218" s="12" t="s">
        <v>223</v>
      </c>
      <c r="N218" s="12">
        <v>763</v>
      </c>
      <c r="O218" s="12" t="s">
        <v>346</v>
      </c>
      <c r="P218" s="12">
        <f t="shared" si="3"/>
        <v>763</v>
      </c>
      <c r="Q218" s="12" t="s">
        <v>107</v>
      </c>
      <c r="R218" s="12" t="s">
        <v>347</v>
      </c>
    </row>
    <row r="219" spans="1:18" x14ac:dyDescent="0.35">
      <c r="A219" s="12">
        <v>16</v>
      </c>
      <c r="B219" s="12" t="s">
        <v>341</v>
      </c>
      <c r="C219" s="12">
        <v>2020</v>
      </c>
      <c r="D219" s="12" t="s">
        <v>178</v>
      </c>
      <c r="E219" s="12" t="s">
        <v>342</v>
      </c>
      <c r="F219" s="12" t="s">
        <v>343</v>
      </c>
      <c r="G219" s="12" t="s">
        <v>86</v>
      </c>
      <c r="H219" s="12" t="s">
        <v>377</v>
      </c>
      <c r="I219" s="12">
        <v>42.960807000000003</v>
      </c>
      <c r="J219" s="16">
        <v>-81.302605</v>
      </c>
      <c r="K219" s="12" t="s">
        <v>103</v>
      </c>
      <c r="L219" s="12" t="s">
        <v>223</v>
      </c>
      <c r="N219" s="12">
        <v>258</v>
      </c>
      <c r="O219" s="12" t="s">
        <v>346</v>
      </c>
      <c r="P219" s="12">
        <f t="shared" si="3"/>
        <v>258</v>
      </c>
      <c r="Q219" s="12" t="s">
        <v>107</v>
      </c>
      <c r="R219" s="12" t="s">
        <v>347</v>
      </c>
    </row>
    <row r="220" spans="1:18" x14ac:dyDescent="0.35">
      <c r="A220" s="12">
        <v>16</v>
      </c>
      <c r="B220" s="12" t="s">
        <v>341</v>
      </c>
      <c r="C220" s="12">
        <v>2020</v>
      </c>
      <c r="D220" s="12" t="s">
        <v>178</v>
      </c>
      <c r="E220" s="12" t="s">
        <v>342</v>
      </c>
      <c r="F220" s="12" t="s">
        <v>343</v>
      </c>
      <c r="G220" s="12" t="s">
        <v>86</v>
      </c>
      <c r="H220" s="12" t="s">
        <v>378</v>
      </c>
      <c r="I220" s="12">
        <v>42.981498999999999</v>
      </c>
      <c r="J220" s="16">
        <v>-81.257435000000001</v>
      </c>
      <c r="K220" s="12" t="s">
        <v>103</v>
      </c>
      <c r="L220" s="12" t="s">
        <v>223</v>
      </c>
      <c r="N220" s="12">
        <v>2444</v>
      </c>
      <c r="O220" s="12" t="s">
        <v>346</v>
      </c>
      <c r="P220" s="12">
        <f t="shared" si="3"/>
        <v>2444</v>
      </c>
      <c r="Q220" s="12" t="s">
        <v>107</v>
      </c>
      <c r="R220" s="12" t="s">
        <v>347</v>
      </c>
    </row>
    <row r="221" spans="1:18" x14ac:dyDescent="0.35">
      <c r="A221" s="12">
        <v>16</v>
      </c>
      <c r="B221" s="12" t="s">
        <v>341</v>
      </c>
      <c r="C221" s="12">
        <v>2020</v>
      </c>
      <c r="D221" s="12" t="s">
        <v>178</v>
      </c>
      <c r="E221" s="12" t="s">
        <v>342</v>
      </c>
      <c r="F221" s="12" t="s">
        <v>343</v>
      </c>
      <c r="G221" s="12" t="s">
        <v>86</v>
      </c>
      <c r="H221" s="12" t="s">
        <v>379</v>
      </c>
      <c r="I221" s="12">
        <v>43.039906999999999</v>
      </c>
      <c r="J221" s="16">
        <v>-81.213483999999994</v>
      </c>
      <c r="K221" s="12" t="s">
        <v>103</v>
      </c>
      <c r="L221" s="12" t="s">
        <v>223</v>
      </c>
      <c r="N221" s="12">
        <v>343</v>
      </c>
      <c r="O221" s="12" t="s">
        <v>346</v>
      </c>
      <c r="P221" s="12">
        <f t="shared" ref="P221:P246" si="4">N221</f>
        <v>343</v>
      </c>
      <c r="Q221" s="12" t="s">
        <v>107</v>
      </c>
      <c r="R221" s="12" t="s">
        <v>347</v>
      </c>
    </row>
    <row r="222" spans="1:18" x14ac:dyDescent="0.35">
      <c r="A222" s="12">
        <v>16</v>
      </c>
      <c r="B222" s="12" t="s">
        <v>341</v>
      </c>
      <c r="C222" s="12">
        <v>2020</v>
      </c>
      <c r="D222" s="12" t="s">
        <v>178</v>
      </c>
      <c r="E222" s="12" t="s">
        <v>342</v>
      </c>
      <c r="F222" s="12" t="s">
        <v>343</v>
      </c>
      <c r="G222" s="12" t="s">
        <v>86</v>
      </c>
      <c r="H222" s="12" t="s">
        <v>380</v>
      </c>
      <c r="I222" s="12">
        <v>42.981498999999999</v>
      </c>
      <c r="J222" s="16">
        <v>-81.257435000000001</v>
      </c>
      <c r="K222" s="12" t="s">
        <v>103</v>
      </c>
      <c r="L222" s="12" t="s">
        <v>223</v>
      </c>
      <c r="N222" s="12">
        <v>628</v>
      </c>
      <c r="O222" s="12" t="s">
        <v>346</v>
      </c>
      <c r="P222" s="12">
        <f t="shared" si="4"/>
        <v>628</v>
      </c>
      <c r="Q222" s="12" t="s">
        <v>107</v>
      </c>
      <c r="R222" s="12" t="s">
        <v>347</v>
      </c>
    </row>
    <row r="223" spans="1:18" x14ac:dyDescent="0.35">
      <c r="A223" s="12">
        <v>17</v>
      </c>
      <c r="B223" s="12" t="s">
        <v>381</v>
      </c>
      <c r="C223" s="12">
        <v>2018</v>
      </c>
      <c r="D223" s="12" t="s">
        <v>382</v>
      </c>
      <c r="E223" s="12" t="s">
        <v>383</v>
      </c>
      <c r="F223" s="12" t="s">
        <v>384</v>
      </c>
      <c r="G223" s="12" t="s">
        <v>54</v>
      </c>
      <c r="H223" s="12" t="s">
        <v>385</v>
      </c>
      <c r="I223" s="12">
        <v>49.682892000000002</v>
      </c>
      <c r="J223" s="16">
        <v>-124.98348799999999</v>
      </c>
      <c r="K223" s="12" t="s">
        <v>103</v>
      </c>
      <c r="L223" s="12" t="s">
        <v>163</v>
      </c>
      <c r="N223" s="12">
        <v>2736</v>
      </c>
      <c r="O223" s="12" t="s">
        <v>387</v>
      </c>
      <c r="P223" s="12">
        <f t="shared" si="4"/>
        <v>2736</v>
      </c>
      <c r="Q223" s="12" t="s">
        <v>107</v>
      </c>
      <c r="R223" s="12" t="s">
        <v>2194</v>
      </c>
    </row>
    <row r="224" spans="1:18" x14ac:dyDescent="0.35">
      <c r="A224" s="12">
        <v>17</v>
      </c>
      <c r="B224" s="12" t="s">
        <v>381</v>
      </c>
      <c r="C224" s="12">
        <v>2018</v>
      </c>
      <c r="D224" s="12" t="s">
        <v>382</v>
      </c>
      <c r="E224" s="12" t="s">
        <v>383</v>
      </c>
      <c r="F224" s="12" t="s">
        <v>384</v>
      </c>
      <c r="G224" s="12" t="s">
        <v>54</v>
      </c>
      <c r="H224" s="12" t="s">
        <v>389</v>
      </c>
      <c r="I224" s="12">
        <v>49.469099</v>
      </c>
      <c r="J224" s="16">
        <v>-124.70455800000001</v>
      </c>
      <c r="K224" s="12" t="s">
        <v>103</v>
      </c>
      <c r="L224" s="12" t="s">
        <v>163</v>
      </c>
      <c r="N224" s="12">
        <v>2011</v>
      </c>
      <c r="O224" s="12" t="s">
        <v>387</v>
      </c>
      <c r="P224" s="12">
        <f t="shared" si="4"/>
        <v>2011</v>
      </c>
      <c r="Q224" s="12" t="s">
        <v>107</v>
      </c>
      <c r="R224" s="12" t="s">
        <v>2195</v>
      </c>
    </row>
    <row r="225" spans="1:18" x14ac:dyDescent="0.35">
      <c r="A225" s="12">
        <v>17</v>
      </c>
      <c r="B225" s="12" t="s">
        <v>381</v>
      </c>
      <c r="C225" s="12">
        <v>2018</v>
      </c>
      <c r="D225" s="12" t="s">
        <v>382</v>
      </c>
      <c r="E225" s="12" t="s">
        <v>383</v>
      </c>
      <c r="F225" s="12" t="s">
        <v>384</v>
      </c>
      <c r="G225" s="12" t="s">
        <v>54</v>
      </c>
      <c r="H225" s="12" t="s">
        <v>390</v>
      </c>
      <c r="I225" s="12">
        <v>49.193823999999999</v>
      </c>
      <c r="J225" s="16">
        <v>-123.955344</v>
      </c>
      <c r="K225" s="12" t="s">
        <v>103</v>
      </c>
      <c r="L225" s="12" t="s">
        <v>163</v>
      </c>
      <c r="N225" s="12">
        <v>10625</v>
      </c>
      <c r="O225" s="12" t="s">
        <v>387</v>
      </c>
      <c r="P225" s="12">
        <f t="shared" si="4"/>
        <v>10625</v>
      </c>
      <c r="Q225" s="12" t="s">
        <v>107</v>
      </c>
      <c r="R225" s="12" t="s">
        <v>2196</v>
      </c>
    </row>
    <row r="226" spans="1:18" x14ac:dyDescent="0.35">
      <c r="A226" s="12">
        <v>17</v>
      </c>
      <c r="B226" s="12" t="s">
        <v>381</v>
      </c>
      <c r="C226" s="12">
        <v>2018</v>
      </c>
      <c r="D226" s="12" t="s">
        <v>382</v>
      </c>
      <c r="E226" s="12" t="s">
        <v>383</v>
      </c>
      <c r="F226" s="12" t="s">
        <v>384</v>
      </c>
      <c r="G226" s="12" t="s">
        <v>54</v>
      </c>
      <c r="H226" s="12" t="s">
        <v>391</v>
      </c>
      <c r="I226" s="12">
        <v>49.545563999999999</v>
      </c>
      <c r="J226" s="16">
        <v>-124.749488</v>
      </c>
      <c r="K226" s="12" t="s">
        <v>103</v>
      </c>
      <c r="L226" s="12" t="s">
        <v>163</v>
      </c>
      <c r="N226" s="12">
        <v>2557</v>
      </c>
      <c r="O226" s="12" t="s">
        <v>387</v>
      </c>
      <c r="P226" s="12">
        <f t="shared" si="4"/>
        <v>2557</v>
      </c>
      <c r="Q226" s="12" t="s">
        <v>107</v>
      </c>
      <c r="R226" s="12" t="s">
        <v>2197</v>
      </c>
    </row>
    <row r="227" spans="1:18" x14ac:dyDescent="0.35">
      <c r="A227" s="12">
        <v>17</v>
      </c>
      <c r="B227" s="12" t="s">
        <v>381</v>
      </c>
      <c r="C227" s="12">
        <v>2018</v>
      </c>
      <c r="D227" s="12" t="s">
        <v>382</v>
      </c>
      <c r="E227" s="12" t="s">
        <v>383</v>
      </c>
      <c r="F227" s="12" t="s">
        <v>384</v>
      </c>
      <c r="G227" s="12" t="s">
        <v>54</v>
      </c>
      <c r="H227" s="12" t="s">
        <v>393</v>
      </c>
      <c r="I227" s="12">
        <v>49.497588999999998</v>
      </c>
      <c r="J227" s="16">
        <v>-124.71007</v>
      </c>
      <c r="K227" s="12" t="s">
        <v>103</v>
      </c>
      <c r="L227" s="12" t="s">
        <v>163</v>
      </c>
      <c r="N227" s="12">
        <v>1852</v>
      </c>
      <c r="O227" s="12" t="s">
        <v>387</v>
      </c>
      <c r="P227" s="12">
        <f t="shared" si="4"/>
        <v>1852</v>
      </c>
      <c r="Q227" s="12" t="s">
        <v>107</v>
      </c>
      <c r="R227" s="12" t="s">
        <v>2198</v>
      </c>
    </row>
    <row r="228" spans="1:18" x14ac:dyDescent="0.35">
      <c r="A228" s="12">
        <v>17</v>
      </c>
      <c r="B228" s="12" t="s">
        <v>381</v>
      </c>
      <c r="C228" s="12">
        <v>2018</v>
      </c>
      <c r="D228" s="12" t="s">
        <v>382</v>
      </c>
      <c r="E228" s="12" t="s">
        <v>383</v>
      </c>
      <c r="F228" s="12" t="s">
        <v>384</v>
      </c>
      <c r="G228" s="12" t="s">
        <v>54</v>
      </c>
      <c r="H228" s="12" t="s">
        <v>394</v>
      </c>
      <c r="I228" s="12">
        <v>49.614386000000003</v>
      </c>
      <c r="J228" s="16">
        <v>-124.86168000000001</v>
      </c>
      <c r="K228" s="12" t="s">
        <v>103</v>
      </c>
      <c r="L228" s="12" t="s">
        <v>163</v>
      </c>
      <c r="N228" s="12">
        <v>14788</v>
      </c>
      <c r="O228" s="12" t="s">
        <v>387</v>
      </c>
      <c r="P228" s="12">
        <f t="shared" si="4"/>
        <v>14788</v>
      </c>
      <c r="Q228" s="12" t="s">
        <v>107</v>
      </c>
      <c r="R228" s="12" t="s">
        <v>2199</v>
      </c>
    </row>
    <row r="229" spans="1:18" x14ac:dyDescent="0.35">
      <c r="A229" s="12">
        <v>17</v>
      </c>
      <c r="B229" s="12" t="s">
        <v>381</v>
      </c>
      <c r="C229" s="12">
        <v>2018</v>
      </c>
      <c r="D229" s="12" t="s">
        <v>382</v>
      </c>
      <c r="E229" s="12" t="s">
        <v>383</v>
      </c>
      <c r="F229" s="12" t="s">
        <v>384</v>
      </c>
      <c r="G229" s="12" t="s">
        <v>54</v>
      </c>
      <c r="H229" s="12" t="s">
        <v>395</v>
      </c>
      <c r="I229" s="12">
        <v>50.282153999999998</v>
      </c>
      <c r="J229" s="16">
        <v>-125.382876</v>
      </c>
      <c r="K229" s="12" t="s">
        <v>103</v>
      </c>
      <c r="L229" s="12" t="s">
        <v>163</v>
      </c>
      <c r="N229" s="12">
        <v>7051</v>
      </c>
      <c r="O229" s="12" t="s">
        <v>387</v>
      </c>
      <c r="P229" s="12">
        <f t="shared" si="4"/>
        <v>7051</v>
      </c>
      <c r="Q229" s="12" t="s">
        <v>107</v>
      </c>
      <c r="R229" s="12" t="s">
        <v>2200</v>
      </c>
    </row>
    <row r="230" spans="1:18" x14ac:dyDescent="0.35">
      <c r="A230" s="12">
        <v>17</v>
      </c>
      <c r="B230" s="12" t="s">
        <v>381</v>
      </c>
      <c r="C230" s="12">
        <v>2018</v>
      </c>
      <c r="D230" s="12" t="s">
        <v>382</v>
      </c>
      <c r="E230" s="12" t="s">
        <v>383</v>
      </c>
      <c r="F230" s="12" t="s">
        <v>384</v>
      </c>
      <c r="G230" s="12" t="s">
        <v>54</v>
      </c>
      <c r="H230" s="12" t="s">
        <v>396</v>
      </c>
      <c r="I230" s="12">
        <v>49.252270000000003</v>
      </c>
      <c r="J230" s="16">
        <v>-123.972441</v>
      </c>
      <c r="K230" s="12" t="s">
        <v>103</v>
      </c>
      <c r="L230" s="12" t="s">
        <v>163</v>
      </c>
      <c r="N230" s="12">
        <v>3427</v>
      </c>
      <c r="O230" s="12" t="s">
        <v>387</v>
      </c>
      <c r="P230" s="12">
        <f t="shared" si="4"/>
        <v>3427</v>
      </c>
      <c r="Q230" s="12" t="s">
        <v>107</v>
      </c>
      <c r="R230" s="12" t="s">
        <v>2201</v>
      </c>
    </row>
    <row r="231" spans="1:18" x14ac:dyDescent="0.35">
      <c r="A231" s="12">
        <v>17</v>
      </c>
      <c r="B231" s="12" t="s">
        <v>381</v>
      </c>
      <c r="C231" s="12">
        <v>2018</v>
      </c>
      <c r="D231" s="12" t="s">
        <v>382</v>
      </c>
      <c r="E231" s="12" t="s">
        <v>383</v>
      </c>
      <c r="F231" s="12" t="s">
        <v>384</v>
      </c>
      <c r="G231" s="12" t="s">
        <v>54</v>
      </c>
      <c r="H231" s="12" t="s">
        <v>397</v>
      </c>
      <c r="I231" s="12">
        <v>49.480407</v>
      </c>
      <c r="J231" s="16">
        <v>-124.77525799999999</v>
      </c>
      <c r="K231" s="12" t="s">
        <v>103</v>
      </c>
      <c r="L231" s="12" t="s">
        <v>163</v>
      </c>
      <c r="N231" s="12">
        <v>556</v>
      </c>
      <c r="O231" s="12" t="s">
        <v>387</v>
      </c>
      <c r="P231" s="12">
        <f t="shared" si="4"/>
        <v>556</v>
      </c>
      <c r="Q231" s="12" t="s">
        <v>107</v>
      </c>
      <c r="R231" s="12" t="s">
        <v>2202</v>
      </c>
    </row>
    <row r="232" spans="1:18" x14ac:dyDescent="0.35">
      <c r="A232" s="12">
        <v>17</v>
      </c>
      <c r="B232" s="12" t="s">
        <v>381</v>
      </c>
      <c r="C232" s="12">
        <v>2018</v>
      </c>
      <c r="D232" s="12" t="s">
        <v>382</v>
      </c>
      <c r="E232" s="12" t="s">
        <v>383</v>
      </c>
      <c r="F232" s="12" t="s">
        <v>384</v>
      </c>
      <c r="G232" s="12" t="s">
        <v>54</v>
      </c>
      <c r="H232" s="12" t="s">
        <v>398</v>
      </c>
      <c r="I232" s="12">
        <v>49.656013000000002</v>
      </c>
      <c r="J232" s="16">
        <v>-124.93997299999999</v>
      </c>
      <c r="K232" s="12" t="s">
        <v>103</v>
      </c>
      <c r="L232" s="12" t="s">
        <v>163</v>
      </c>
      <c r="N232" s="12">
        <v>25429</v>
      </c>
      <c r="O232" s="12" t="s">
        <v>387</v>
      </c>
      <c r="P232" s="12">
        <f t="shared" si="4"/>
        <v>25429</v>
      </c>
      <c r="Q232" s="12" t="s">
        <v>107</v>
      </c>
      <c r="R232" s="12" t="s">
        <v>2203</v>
      </c>
    </row>
    <row r="233" spans="1:18" x14ac:dyDescent="0.35">
      <c r="A233" s="12">
        <v>18</v>
      </c>
      <c r="B233" s="12" t="s">
        <v>399</v>
      </c>
      <c r="C233" s="12">
        <v>2021</v>
      </c>
      <c r="D233" s="12" t="s">
        <v>400</v>
      </c>
      <c r="E233" s="12" t="s">
        <v>401</v>
      </c>
      <c r="F233" s="12" t="s">
        <v>402</v>
      </c>
      <c r="G233" s="12" t="s">
        <v>54</v>
      </c>
      <c r="H233" s="12" t="s">
        <v>403</v>
      </c>
      <c r="I233" s="12">
        <v>49.616691000000003</v>
      </c>
      <c r="J233" s="16">
        <v>-124.900291</v>
      </c>
      <c r="K233" s="12" t="s">
        <v>103</v>
      </c>
      <c r="L233" s="12" t="s">
        <v>163</v>
      </c>
      <c r="M233" s="12" t="s">
        <v>405</v>
      </c>
      <c r="N233" s="12">
        <v>74</v>
      </c>
      <c r="O233" s="12" t="s">
        <v>346</v>
      </c>
      <c r="P233" s="12">
        <f t="shared" si="4"/>
        <v>74</v>
      </c>
      <c r="Q233" s="12" t="s">
        <v>107</v>
      </c>
    </row>
    <row r="234" spans="1:18" x14ac:dyDescent="0.35">
      <c r="A234" s="12">
        <v>18</v>
      </c>
      <c r="B234" s="12" t="s">
        <v>399</v>
      </c>
      <c r="C234" s="12">
        <v>2021</v>
      </c>
      <c r="D234" s="12" t="s">
        <v>400</v>
      </c>
      <c r="E234" s="12" t="s">
        <v>401</v>
      </c>
      <c r="F234" s="12" t="s">
        <v>402</v>
      </c>
      <c r="G234" s="12" t="s">
        <v>54</v>
      </c>
      <c r="H234" s="12" t="s">
        <v>406</v>
      </c>
      <c r="I234" s="12">
        <v>49.55536</v>
      </c>
      <c r="J234" s="16">
        <v>-124.84799</v>
      </c>
      <c r="K234" s="12" t="s">
        <v>103</v>
      </c>
      <c r="L234" s="12" t="s">
        <v>163</v>
      </c>
      <c r="M234" s="12" t="s">
        <v>405</v>
      </c>
      <c r="N234" s="12">
        <v>70</v>
      </c>
      <c r="O234" s="12" t="s">
        <v>346</v>
      </c>
      <c r="P234" s="12">
        <f t="shared" si="4"/>
        <v>70</v>
      </c>
      <c r="Q234" s="12" t="s">
        <v>107</v>
      </c>
    </row>
    <row r="235" spans="1:18" x14ac:dyDescent="0.35">
      <c r="A235" s="12">
        <v>18</v>
      </c>
      <c r="B235" s="12" t="s">
        <v>399</v>
      </c>
      <c r="C235" s="12">
        <v>2021</v>
      </c>
      <c r="D235" s="12" t="s">
        <v>400</v>
      </c>
      <c r="E235" s="12" t="s">
        <v>401</v>
      </c>
      <c r="F235" s="12" t="s">
        <v>402</v>
      </c>
      <c r="G235" s="12" t="s">
        <v>54</v>
      </c>
      <c r="H235" s="12" t="s">
        <v>407</v>
      </c>
      <c r="I235" s="12">
        <v>49.572825999999999</v>
      </c>
      <c r="J235" s="16">
        <v>-124.843659</v>
      </c>
      <c r="K235" s="12" t="s">
        <v>103</v>
      </c>
      <c r="L235" s="12" t="s">
        <v>163</v>
      </c>
      <c r="M235" s="12" t="s">
        <v>405</v>
      </c>
      <c r="N235" s="12">
        <v>96</v>
      </c>
      <c r="O235" s="12" t="s">
        <v>346</v>
      </c>
      <c r="P235" s="12">
        <f t="shared" si="4"/>
        <v>96</v>
      </c>
      <c r="Q235" s="12" t="s">
        <v>107</v>
      </c>
    </row>
    <row r="236" spans="1:18" x14ac:dyDescent="0.35">
      <c r="A236" s="12">
        <v>18</v>
      </c>
      <c r="B236" s="12" t="s">
        <v>399</v>
      </c>
      <c r="C236" s="12">
        <v>2021</v>
      </c>
      <c r="D236" s="12" t="s">
        <v>400</v>
      </c>
      <c r="E236" s="12" t="s">
        <v>401</v>
      </c>
      <c r="F236" s="12" t="s">
        <v>402</v>
      </c>
      <c r="G236" s="12" t="s">
        <v>54</v>
      </c>
      <c r="H236" s="12" t="s">
        <v>408</v>
      </c>
      <c r="I236" s="12">
        <v>49.608964</v>
      </c>
      <c r="J236" s="16">
        <v>-124.845606</v>
      </c>
      <c r="K236" s="12" t="s">
        <v>103</v>
      </c>
      <c r="L236" s="12" t="s">
        <v>163</v>
      </c>
      <c r="M236" s="12" t="s">
        <v>405</v>
      </c>
      <c r="N236" s="12">
        <v>75</v>
      </c>
      <c r="O236" s="12" t="s">
        <v>346</v>
      </c>
      <c r="P236" s="12">
        <f t="shared" si="4"/>
        <v>75</v>
      </c>
      <c r="Q236" s="12" t="s">
        <v>107</v>
      </c>
    </row>
    <row r="237" spans="1:18" x14ac:dyDescent="0.35">
      <c r="A237" s="12">
        <v>18</v>
      </c>
      <c r="B237" s="12" t="s">
        <v>399</v>
      </c>
      <c r="C237" s="12">
        <v>2021</v>
      </c>
      <c r="D237" s="12" t="s">
        <v>400</v>
      </c>
      <c r="E237" s="12" t="s">
        <v>401</v>
      </c>
      <c r="F237" s="12" t="s">
        <v>402</v>
      </c>
      <c r="G237" s="12" t="s">
        <v>54</v>
      </c>
      <c r="H237" s="12" t="s">
        <v>409</v>
      </c>
      <c r="I237" s="12">
        <v>49.584235999999997</v>
      </c>
      <c r="J237" s="16">
        <v>-124.80220799999999</v>
      </c>
      <c r="K237" s="12" t="s">
        <v>103</v>
      </c>
      <c r="L237" s="12" t="s">
        <v>163</v>
      </c>
      <c r="M237" s="12" t="s">
        <v>405</v>
      </c>
      <c r="N237" s="12">
        <v>21</v>
      </c>
      <c r="O237" s="12" t="s">
        <v>346</v>
      </c>
      <c r="P237" s="12">
        <f t="shared" si="4"/>
        <v>21</v>
      </c>
      <c r="Q237" s="12" t="s">
        <v>107</v>
      </c>
    </row>
    <row r="238" spans="1:18" x14ac:dyDescent="0.35">
      <c r="A238" s="12">
        <v>18</v>
      </c>
      <c r="B238" s="12" t="s">
        <v>399</v>
      </c>
      <c r="C238" s="12">
        <v>2021</v>
      </c>
      <c r="D238" s="12" t="s">
        <v>400</v>
      </c>
      <c r="E238" s="12" t="s">
        <v>401</v>
      </c>
      <c r="F238" s="12" t="s">
        <v>402</v>
      </c>
      <c r="G238" s="12" t="s">
        <v>54</v>
      </c>
      <c r="H238" s="12" t="s">
        <v>410</v>
      </c>
      <c r="I238" s="12">
        <v>49.545062000000001</v>
      </c>
      <c r="J238" s="16">
        <v>-124.751144</v>
      </c>
      <c r="K238" s="12" t="s">
        <v>103</v>
      </c>
      <c r="L238" s="12" t="s">
        <v>163</v>
      </c>
      <c r="M238" s="12" t="s">
        <v>405</v>
      </c>
      <c r="N238" s="12">
        <v>48</v>
      </c>
      <c r="O238" s="12" t="s">
        <v>346</v>
      </c>
      <c r="P238" s="12">
        <f t="shared" si="4"/>
        <v>48</v>
      </c>
      <c r="Q238" s="12" t="s">
        <v>107</v>
      </c>
    </row>
    <row r="239" spans="1:18" x14ac:dyDescent="0.35">
      <c r="A239" s="12">
        <v>18</v>
      </c>
      <c r="B239" s="12" t="s">
        <v>399</v>
      </c>
      <c r="C239" s="12">
        <v>2021</v>
      </c>
      <c r="D239" s="12" t="s">
        <v>400</v>
      </c>
      <c r="E239" s="12" t="s">
        <v>401</v>
      </c>
      <c r="F239" s="12" t="s">
        <v>402</v>
      </c>
      <c r="G239" s="12" t="s">
        <v>54</v>
      </c>
      <c r="H239" s="12" t="s">
        <v>411</v>
      </c>
      <c r="I239" s="12">
        <v>49.592295999999997</v>
      </c>
      <c r="J239" s="16">
        <v>-124.879074</v>
      </c>
      <c r="K239" s="12" t="s">
        <v>103</v>
      </c>
      <c r="L239" s="12" t="s">
        <v>163</v>
      </c>
      <c r="M239" s="12" t="s">
        <v>405</v>
      </c>
      <c r="N239" s="12">
        <v>24</v>
      </c>
      <c r="O239" s="12" t="s">
        <v>346</v>
      </c>
      <c r="P239" s="12">
        <f t="shared" si="4"/>
        <v>24</v>
      </c>
      <c r="Q239" s="12" t="s">
        <v>107</v>
      </c>
    </row>
    <row r="240" spans="1:18" x14ac:dyDescent="0.35">
      <c r="A240" s="12">
        <v>18</v>
      </c>
      <c r="B240" s="12" t="s">
        <v>399</v>
      </c>
      <c r="C240" s="12">
        <v>2021</v>
      </c>
      <c r="D240" s="12" t="s">
        <v>400</v>
      </c>
      <c r="E240" s="12" t="s">
        <v>401</v>
      </c>
      <c r="F240" s="12" t="s">
        <v>402</v>
      </c>
      <c r="G240" s="12" t="s">
        <v>54</v>
      </c>
      <c r="H240" s="12" t="s">
        <v>412</v>
      </c>
      <c r="I240" s="12">
        <v>49.507238000000001</v>
      </c>
      <c r="J240" s="16">
        <v>-124.802665</v>
      </c>
      <c r="K240" s="12" t="s">
        <v>103</v>
      </c>
      <c r="L240" s="12" t="s">
        <v>163</v>
      </c>
      <c r="M240" s="12" t="s">
        <v>405</v>
      </c>
      <c r="N240" s="12">
        <v>28</v>
      </c>
      <c r="O240" s="12" t="s">
        <v>346</v>
      </c>
      <c r="P240" s="12">
        <f t="shared" si="4"/>
        <v>28</v>
      </c>
      <c r="Q240" s="12" t="s">
        <v>107</v>
      </c>
    </row>
    <row r="241" spans="1:18" x14ac:dyDescent="0.35">
      <c r="A241" s="12">
        <v>18</v>
      </c>
      <c r="B241" s="12" t="s">
        <v>399</v>
      </c>
      <c r="C241" s="12">
        <v>2021</v>
      </c>
      <c r="D241" s="12" t="s">
        <v>400</v>
      </c>
      <c r="E241" s="12" t="s">
        <v>401</v>
      </c>
      <c r="F241" s="12" t="s">
        <v>402</v>
      </c>
      <c r="G241" s="12" t="s">
        <v>54</v>
      </c>
      <c r="H241" s="12" t="s">
        <v>413</v>
      </c>
      <c r="I241" s="12">
        <v>49.485005999999998</v>
      </c>
      <c r="J241" s="16">
        <v>-124.78940299999999</v>
      </c>
      <c r="K241" s="12" t="s">
        <v>103</v>
      </c>
      <c r="L241" s="12" t="s">
        <v>163</v>
      </c>
      <c r="M241" s="12" t="s">
        <v>405</v>
      </c>
      <c r="N241" s="12">
        <v>25</v>
      </c>
      <c r="O241" s="12" t="s">
        <v>346</v>
      </c>
      <c r="P241" s="12">
        <f t="shared" si="4"/>
        <v>25</v>
      </c>
      <c r="Q241" s="12" t="s">
        <v>107</v>
      </c>
    </row>
    <row r="242" spans="1:18" x14ac:dyDescent="0.35">
      <c r="A242" s="12">
        <v>18</v>
      </c>
      <c r="B242" s="12" t="s">
        <v>399</v>
      </c>
      <c r="C242" s="12">
        <v>2021</v>
      </c>
      <c r="D242" s="12" t="s">
        <v>400</v>
      </c>
      <c r="E242" s="12" t="s">
        <v>401</v>
      </c>
      <c r="F242" s="12" t="s">
        <v>402</v>
      </c>
      <c r="G242" s="12" t="s">
        <v>54</v>
      </c>
      <c r="H242" s="12" t="s">
        <v>414</v>
      </c>
      <c r="I242" s="12">
        <v>49.463031999999998</v>
      </c>
      <c r="J242" s="16">
        <v>-124.74795</v>
      </c>
      <c r="K242" s="12" t="s">
        <v>103</v>
      </c>
      <c r="L242" s="12" t="s">
        <v>163</v>
      </c>
      <c r="M242" s="12" t="s">
        <v>405</v>
      </c>
      <c r="N242" s="12">
        <v>22</v>
      </c>
      <c r="O242" s="12" t="s">
        <v>346</v>
      </c>
      <c r="P242" s="12">
        <f t="shared" si="4"/>
        <v>22</v>
      </c>
      <c r="Q242" s="12" t="s">
        <v>107</v>
      </c>
    </row>
    <row r="243" spans="1:18" x14ac:dyDescent="0.35">
      <c r="A243" s="12">
        <v>18</v>
      </c>
      <c r="B243" s="12" t="s">
        <v>399</v>
      </c>
      <c r="C243" s="12">
        <v>2021</v>
      </c>
      <c r="D243" s="12" t="s">
        <v>400</v>
      </c>
      <c r="E243" s="12" t="s">
        <v>401</v>
      </c>
      <c r="F243" s="12" t="s">
        <v>402</v>
      </c>
      <c r="G243" s="12" t="s">
        <v>54</v>
      </c>
      <c r="H243" s="12" t="s">
        <v>415</v>
      </c>
      <c r="I243" s="12">
        <v>49.475783</v>
      </c>
      <c r="J243" s="16">
        <v>-124.698229</v>
      </c>
      <c r="K243" s="12" t="s">
        <v>103</v>
      </c>
      <c r="L243" s="12" t="s">
        <v>163</v>
      </c>
      <c r="M243" s="12" t="s">
        <v>405</v>
      </c>
      <c r="N243" s="12">
        <v>1</v>
      </c>
      <c r="O243" s="12" t="s">
        <v>346</v>
      </c>
      <c r="P243" s="12">
        <f t="shared" si="4"/>
        <v>1</v>
      </c>
      <c r="Q243" s="12" t="s">
        <v>107</v>
      </c>
    </row>
    <row r="244" spans="1:18" x14ac:dyDescent="0.35">
      <c r="A244" s="12">
        <v>18</v>
      </c>
      <c r="B244" s="12" t="s">
        <v>399</v>
      </c>
      <c r="C244" s="12">
        <v>2021</v>
      </c>
      <c r="D244" s="12" t="s">
        <v>400</v>
      </c>
      <c r="E244" s="12" t="s">
        <v>401</v>
      </c>
      <c r="F244" s="12" t="s">
        <v>402</v>
      </c>
      <c r="G244" s="12" t="s">
        <v>54</v>
      </c>
      <c r="H244" s="12" t="s">
        <v>416</v>
      </c>
      <c r="I244" s="12">
        <v>49.486469999999997</v>
      </c>
      <c r="J244" s="16">
        <v>-124.74876999999999</v>
      </c>
      <c r="K244" s="12" t="s">
        <v>103</v>
      </c>
      <c r="L244" s="12" t="s">
        <v>163</v>
      </c>
      <c r="M244" s="12" t="s">
        <v>405</v>
      </c>
      <c r="N244" s="12">
        <v>19</v>
      </c>
      <c r="O244" s="12" t="s">
        <v>346</v>
      </c>
      <c r="P244" s="12">
        <f t="shared" si="4"/>
        <v>19</v>
      </c>
      <c r="Q244" s="12" t="s">
        <v>107</v>
      </c>
    </row>
    <row r="245" spans="1:18" x14ac:dyDescent="0.35">
      <c r="A245" s="12">
        <v>18</v>
      </c>
      <c r="B245" s="12" t="s">
        <v>399</v>
      </c>
      <c r="C245" s="12">
        <v>2021</v>
      </c>
      <c r="D245" s="12" t="s">
        <v>400</v>
      </c>
      <c r="E245" s="12" t="s">
        <v>401</v>
      </c>
      <c r="F245" s="12" t="s">
        <v>402</v>
      </c>
      <c r="G245" s="12" t="s">
        <v>54</v>
      </c>
      <c r="H245" s="12" t="s">
        <v>417</v>
      </c>
      <c r="I245" s="12">
        <v>49.512542000000003</v>
      </c>
      <c r="J245" s="16">
        <v>-124.78612800000001</v>
      </c>
      <c r="K245" s="12" t="s">
        <v>103</v>
      </c>
      <c r="L245" s="12" t="s">
        <v>163</v>
      </c>
      <c r="M245" s="12" t="s">
        <v>405</v>
      </c>
      <c r="N245" s="12">
        <v>1</v>
      </c>
      <c r="O245" s="12" t="s">
        <v>346</v>
      </c>
      <c r="P245" s="12">
        <f t="shared" si="4"/>
        <v>1</v>
      </c>
      <c r="Q245" s="12" t="s">
        <v>107</v>
      </c>
    </row>
    <row r="246" spans="1:18" x14ac:dyDescent="0.35">
      <c r="A246" s="12">
        <v>18</v>
      </c>
      <c r="B246" s="12" t="s">
        <v>399</v>
      </c>
      <c r="C246" s="12">
        <v>2021</v>
      </c>
      <c r="D246" s="12" t="s">
        <v>400</v>
      </c>
      <c r="E246" s="12" t="s">
        <v>401</v>
      </c>
      <c r="F246" s="12" t="s">
        <v>402</v>
      </c>
      <c r="G246" s="12" t="s">
        <v>54</v>
      </c>
      <c r="H246" s="12" t="s">
        <v>418</v>
      </c>
      <c r="I246" s="12">
        <v>49.534460000000003</v>
      </c>
      <c r="J246" s="16">
        <v>-124.823497</v>
      </c>
      <c r="K246" s="12" t="s">
        <v>103</v>
      </c>
      <c r="L246" s="12" t="s">
        <v>163</v>
      </c>
      <c r="M246" s="12" t="s">
        <v>405</v>
      </c>
      <c r="N246" s="12">
        <v>98</v>
      </c>
      <c r="O246" s="12" t="s">
        <v>346</v>
      </c>
      <c r="P246" s="12">
        <f t="shared" si="4"/>
        <v>98</v>
      </c>
      <c r="Q246" s="12" t="s">
        <v>107</v>
      </c>
    </row>
    <row r="247" spans="1:18" x14ac:dyDescent="0.35">
      <c r="A247" s="12">
        <v>19</v>
      </c>
      <c r="B247" s="12" t="s">
        <v>419</v>
      </c>
      <c r="C247" s="12">
        <v>2025</v>
      </c>
      <c r="D247" s="12" t="s">
        <v>420</v>
      </c>
      <c r="E247" s="12" t="s">
        <v>421</v>
      </c>
      <c r="F247" s="12" t="s">
        <v>422</v>
      </c>
      <c r="G247" s="12" t="s">
        <v>54</v>
      </c>
      <c r="H247" s="12" t="s">
        <v>423</v>
      </c>
      <c r="I247" s="12">
        <v>48.760381000000002</v>
      </c>
      <c r="J247" s="16">
        <v>-123.62701199999999</v>
      </c>
      <c r="K247" s="12" t="s">
        <v>103</v>
      </c>
      <c r="L247" s="12" t="s">
        <v>163</v>
      </c>
      <c r="M247" s="12" t="s">
        <v>426</v>
      </c>
      <c r="N247" s="12">
        <v>14.37</v>
      </c>
      <c r="O247" s="12" t="s">
        <v>387</v>
      </c>
      <c r="P247" s="12">
        <v>14.37</v>
      </c>
      <c r="Q247" s="12" t="s">
        <v>107</v>
      </c>
      <c r="R247" s="12" t="s">
        <v>427</v>
      </c>
    </row>
    <row r="248" spans="1:18" x14ac:dyDescent="0.35">
      <c r="A248" s="12">
        <v>19</v>
      </c>
      <c r="B248" s="12" t="s">
        <v>419</v>
      </c>
      <c r="C248" s="12">
        <v>2025</v>
      </c>
      <c r="D248" s="12" t="s">
        <v>420</v>
      </c>
      <c r="E248" s="12" t="s">
        <v>421</v>
      </c>
      <c r="F248" s="12" t="s">
        <v>422</v>
      </c>
      <c r="G248" s="12" t="s">
        <v>54</v>
      </c>
      <c r="H248" s="12" t="s">
        <v>428</v>
      </c>
      <c r="I248" s="12">
        <v>49.660881000000003</v>
      </c>
      <c r="J248" s="16">
        <v>-124.94075100000001</v>
      </c>
      <c r="K248" s="12" t="s">
        <v>103</v>
      </c>
      <c r="L248" s="12" t="s">
        <v>163</v>
      </c>
      <c r="M248" s="12" t="s">
        <v>426</v>
      </c>
      <c r="N248" s="12">
        <v>30.96</v>
      </c>
      <c r="O248" s="12" t="s">
        <v>387</v>
      </c>
      <c r="P248" s="12">
        <v>30.96</v>
      </c>
      <c r="Q248" s="12" t="s">
        <v>107</v>
      </c>
      <c r="R248" s="12" t="s">
        <v>427</v>
      </c>
    </row>
    <row r="249" spans="1:18" x14ac:dyDescent="0.35">
      <c r="A249" s="12">
        <v>20</v>
      </c>
      <c r="B249" s="12" t="s">
        <v>429</v>
      </c>
      <c r="C249" s="12">
        <v>2024</v>
      </c>
      <c r="D249" s="12" t="s">
        <v>430</v>
      </c>
      <c r="E249" s="12" t="s">
        <v>431</v>
      </c>
      <c r="F249" s="12" t="s">
        <v>432</v>
      </c>
      <c r="G249" s="12" t="s">
        <v>161</v>
      </c>
      <c r="H249" s="12" t="s">
        <v>433</v>
      </c>
      <c r="I249" s="12">
        <v>46.715499999999999</v>
      </c>
      <c r="J249" s="12">
        <v>-71.391666999999998</v>
      </c>
      <c r="K249" s="12" t="s">
        <v>41</v>
      </c>
      <c r="L249" s="12" t="s">
        <v>163</v>
      </c>
      <c r="N249" s="12">
        <v>274.8</v>
      </c>
      <c r="O249" s="12" t="s">
        <v>436</v>
      </c>
      <c r="P249" s="12">
        <f t="shared" ref="P249:P282" si="5">N249/1000</f>
        <v>0.27479999999999999</v>
      </c>
      <c r="Q249" s="12" t="s">
        <v>59</v>
      </c>
    </row>
    <row r="250" spans="1:18" x14ac:dyDescent="0.35">
      <c r="A250" s="12">
        <v>20</v>
      </c>
      <c r="B250" s="12" t="s">
        <v>429</v>
      </c>
      <c r="C250" s="12">
        <v>2024</v>
      </c>
      <c r="D250" s="12" t="s">
        <v>430</v>
      </c>
      <c r="E250" s="12" t="s">
        <v>431</v>
      </c>
      <c r="F250" s="12" t="s">
        <v>432</v>
      </c>
      <c r="G250" s="12" t="s">
        <v>161</v>
      </c>
      <c r="H250" s="12" t="s">
        <v>437</v>
      </c>
      <c r="I250" s="12">
        <v>46.887166999999998</v>
      </c>
      <c r="J250" s="12">
        <v>-70.923500000000004</v>
      </c>
      <c r="K250" s="12" t="s">
        <v>41</v>
      </c>
      <c r="L250" s="12" t="s">
        <v>163</v>
      </c>
      <c r="N250" s="12">
        <v>136.69999999999999</v>
      </c>
      <c r="O250" s="12" t="s">
        <v>436</v>
      </c>
      <c r="P250" s="12">
        <f t="shared" si="5"/>
        <v>0.13669999999999999</v>
      </c>
      <c r="Q250" s="12" t="s">
        <v>59</v>
      </c>
    </row>
    <row r="251" spans="1:18" x14ac:dyDescent="0.35">
      <c r="A251" s="12">
        <v>20</v>
      </c>
      <c r="B251" s="12" t="s">
        <v>429</v>
      </c>
      <c r="C251" s="12">
        <v>2024</v>
      </c>
      <c r="D251" s="12" t="s">
        <v>430</v>
      </c>
      <c r="E251" s="12" t="s">
        <v>431</v>
      </c>
      <c r="F251" s="12" t="s">
        <v>432</v>
      </c>
      <c r="G251" s="12" t="s">
        <v>161</v>
      </c>
      <c r="H251" s="12" t="s">
        <v>438</v>
      </c>
      <c r="I251" s="12">
        <v>47.094667000000001</v>
      </c>
      <c r="J251" s="12">
        <v>-70.716166999999999</v>
      </c>
      <c r="K251" s="12" t="s">
        <v>41</v>
      </c>
      <c r="L251" s="12" t="s">
        <v>163</v>
      </c>
      <c r="N251" s="12">
        <v>88</v>
      </c>
      <c r="O251" s="12" t="s">
        <v>436</v>
      </c>
      <c r="P251" s="12">
        <f t="shared" si="5"/>
        <v>8.7999999999999995E-2</v>
      </c>
      <c r="Q251" s="12" t="s">
        <v>59</v>
      </c>
    </row>
    <row r="252" spans="1:18" x14ac:dyDescent="0.35">
      <c r="A252" s="12">
        <v>20</v>
      </c>
      <c r="B252" s="12" t="s">
        <v>429</v>
      </c>
      <c r="C252" s="12">
        <v>2024</v>
      </c>
      <c r="D252" s="12" t="s">
        <v>430</v>
      </c>
      <c r="E252" s="12" t="s">
        <v>431</v>
      </c>
      <c r="F252" s="12" t="s">
        <v>432</v>
      </c>
      <c r="G252" s="12" t="s">
        <v>161</v>
      </c>
      <c r="H252" s="12" t="s">
        <v>439</v>
      </c>
      <c r="I252" s="12">
        <v>47.415666999999999</v>
      </c>
      <c r="J252" s="12">
        <v>-70.440832999999998</v>
      </c>
      <c r="K252" s="12" t="s">
        <v>41</v>
      </c>
      <c r="L252" s="12" t="s">
        <v>163</v>
      </c>
      <c r="N252" s="12">
        <v>88.9</v>
      </c>
      <c r="O252" s="12" t="s">
        <v>436</v>
      </c>
      <c r="P252" s="12">
        <f t="shared" si="5"/>
        <v>8.8900000000000007E-2</v>
      </c>
      <c r="Q252" s="12" t="s">
        <v>59</v>
      </c>
    </row>
    <row r="253" spans="1:18" x14ac:dyDescent="0.35">
      <c r="A253" s="12">
        <v>20</v>
      </c>
      <c r="B253" s="12" t="s">
        <v>429</v>
      </c>
      <c r="C253" s="12">
        <v>2024</v>
      </c>
      <c r="D253" s="12" t="s">
        <v>430</v>
      </c>
      <c r="E253" s="12" t="s">
        <v>431</v>
      </c>
      <c r="F253" s="12" t="s">
        <v>432</v>
      </c>
      <c r="G253" s="12" t="s">
        <v>161</v>
      </c>
      <c r="H253" s="12" t="s">
        <v>440</v>
      </c>
      <c r="I253" s="12">
        <v>47.403832999999999</v>
      </c>
      <c r="J253" s="12">
        <v>-70.283833000000001</v>
      </c>
      <c r="K253" s="12" t="s">
        <v>41</v>
      </c>
      <c r="L253" s="12" t="s">
        <v>163</v>
      </c>
      <c r="N253" s="12">
        <v>92</v>
      </c>
      <c r="O253" s="12" t="s">
        <v>436</v>
      </c>
      <c r="P253" s="12">
        <f t="shared" si="5"/>
        <v>9.1999999999999998E-2</v>
      </c>
      <c r="Q253" s="12" t="s">
        <v>59</v>
      </c>
    </row>
    <row r="254" spans="1:18" x14ac:dyDescent="0.35">
      <c r="A254" s="12">
        <v>20</v>
      </c>
      <c r="B254" s="12" t="s">
        <v>429</v>
      </c>
      <c r="C254" s="12">
        <v>2024</v>
      </c>
      <c r="D254" s="12" t="s">
        <v>430</v>
      </c>
      <c r="E254" s="12" t="s">
        <v>431</v>
      </c>
      <c r="F254" s="12" t="s">
        <v>432</v>
      </c>
      <c r="G254" s="12" t="s">
        <v>161</v>
      </c>
      <c r="H254" s="12" t="s">
        <v>441</v>
      </c>
      <c r="I254" s="12">
        <v>47.393500000000003</v>
      </c>
      <c r="J254" s="12">
        <v>-70.229832999999999</v>
      </c>
      <c r="K254" s="12" t="s">
        <v>41</v>
      </c>
      <c r="L254" s="12" t="s">
        <v>163</v>
      </c>
      <c r="N254" s="12">
        <v>118</v>
      </c>
      <c r="O254" s="12" t="s">
        <v>436</v>
      </c>
      <c r="P254" s="12">
        <f t="shared" si="5"/>
        <v>0.11799999999999999</v>
      </c>
      <c r="Q254" s="12" t="s">
        <v>59</v>
      </c>
    </row>
    <row r="255" spans="1:18" x14ac:dyDescent="0.35">
      <c r="A255" s="12">
        <v>20</v>
      </c>
      <c r="B255" s="12" t="s">
        <v>429</v>
      </c>
      <c r="C255" s="12">
        <v>2024</v>
      </c>
      <c r="D255" s="12" t="s">
        <v>430</v>
      </c>
      <c r="E255" s="12" t="s">
        <v>431</v>
      </c>
      <c r="F255" s="12" t="s">
        <v>432</v>
      </c>
      <c r="G255" s="12" t="s">
        <v>161</v>
      </c>
      <c r="H255" s="12" t="s">
        <v>442</v>
      </c>
      <c r="I255" s="12">
        <v>47.742333000000002</v>
      </c>
      <c r="J255" s="12">
        <v>-69.927833000000007</v>
      </c>
      <c r="K255" s="12" t="s">
        <v>41</v>
      </c>
      <c r="L255" s="12" t="s">
        <v>163</v>
      </c>
      <c r="N255" s="12">
        <v>182</v>
      </c>
      <c r="O255" s="12" t="s">
        <v>436</v>
      </c>
      <c r="P255" s="12">
        <f t="shared" si="5"/>
        <v>0.182</v>
      </c>
      <c r="Q255" s="12" t="s">
        <v>59</v>
      </c>
    </row>
    <row r="256" spans="1:18" x14ac:dyDescent="0.35">
      <c r="A256" s="12">
        <v>20</v>
      </c>
      <c r="B256" s="12" t="s">
        <v>429</v>
      </c>
      <c r="C256" s="12">
        <v>2024</v>
      </c>
      <c r="D256" s="12" t="s">
        <v>430</v>
      </c>
      <c r="E256" s="12" t="s">
        <v>431</v>
      </c>
      <c r="F256" s="12" t="s">
        <v>432</v>
      </c>
      <c r="G256" s="12" t="s">
        <v>161</v>
      </c>
      <c r="H256" s="12" t="s">
        <v>443</v>
      </c>
      <c r="I256" s="12">
        <v>47.718333000000001</v>
      </c>
      <c r="J256" s="12">
        <v>-69.886332999999993</v>
      </c>
      <c r="K256" s="12" t="s">
        <v>41</v>
      </c>
      <c r="L256" s="12" t="s">
        <v>163</v>
      </c>
      <c r="N256" s="12">
        <v>106</v>
      </c>
      <c r="O256" s="12" t="s">
        <v>436</v>
      </c>
      <c r="P256" s="12">
        <f t="shared" si="5"/>
        <v>0.106</v>
      </c>
      <c r="Q256" s="12" t="s">
        <v>59</v>
      </c>
    </row>
    <row r="257" spans="1:17" x14ac:dyDescent="0.35">
      <c r="A257" s="12">
        <v>20</v>
      </c>
      <c r="B257" s="12" t="s">
        <v>429</v>
      </c>
      <c r="C257" s="12">
        <v>2024</v>
      </c>
      <c r="D257" s="12" t="s">
        <v>430</v>
      </c>
      <c r="E257" s="12" t="s">
        <v>431</v>
      </c>
      <c r="F257" s="12" t="s">
        <v>432</v>
      </c>
      <c r="G257" s="12" t="s">
        <v>161</v>
      </c>
      <c r="H257" s="12" t="s">
        <v>444</v>
      </c>
      <c r="I257" s="12">
        <v>47.695999999999998</v>
      </c>
      <c r="J257" s="12">
        <v>-69.821667000000005</v>
      </c>
      <c r="K257" s="12" t="s">
        <v>41</v>
      </c>
      <c r="L257" s="12" t="s">
        <v>163</v>
      </c>
      <c r="N257" s="12">
        <v>130.1</v>
      </c>
      <c r="O257" s="12" t="s">
        <v>436</v>
      </c>
      <c r="P257" s="12">
        <f t="shared" si="5"/>
        <v>0.13009999999999999</v>
      </c>
      <c r="Q257" s="12" t="s">
        <v>59</v>
      </c>
    </row>
    <row r="258" spans="1:17" x14ac:dyDescent="0.35">
      <c r="A258" s="12">
        <v>20</v>
      </c>
      <c r="B258" s="12" t="s">
        <v>429</v>
      </c>
      <c r="C258" s="12">
        <v>2024</v>
      </c>
      <c r="D258" s="12" t="s">
        <v>430</v>
      </c>
      <c r="E258" s="12" t="s">
        <v>431</v>
      </c>
      <c r="F258" s="12" t="s">
        <v>432</v>
      </c>
      <c r="G258" s="12" t="s">
        <v>161</v>
      </c>
      <c r="H258" s="12" t="s">
        <v>445</v>
      </c>
      <c r="I258" s="12">
        <v>48.072833000000003</v>
      </c>
      <c r="J258" s="12">
        <v>-69.624499999999998</v>
      </c>
      <c r="K258" s="12" t="s">
        <v>41</v>
      </c>
      <c r="L258" s="12" t="s">
        <v>163</v>
      </c>
      <c r="N258" s="12">
        <v>148.4</v>
      </c>
      <c r="O258" s="12" t="s">
        <v>436</v>
      </c>
      <c r="P258" s="12">
        <f t="shared" si="5"/>
        <v>0.1484</v>
      </c>
      <c r="Q258" s="12" t="s">
        <v>59</v>
      </c>
    </row>
    <row r="259" spans="1:17" x14ac:dyDescent="0.35">
      <c r="A259" s="12">
        <v>20</v>
      </c>
      <c r="B259" s="12" t="s">
        <v>429</v>
      </c>
      <c r="C259" s="12">
        <v>2024</v>
      </c>
      <c r="D259" s="12" t="s">
        <v>430</v>
      </c>
      <c r="E259" s="12" t="s">
        <v>431</v>
      </c>
      <c r="F259" s="12" t="s">
        <v>432</v>
      </c>
      <c r="G259" s="12" t="s">
        <v>161</v>
      </c>
      <c r="H259" s="12" t="s">
        <v>446</v>
      </c>
      <c r="I259" s="12">
        <v>48.057667000000002</v>
      </c>
      <c r="J259" s="12">
        <v>-69.548833000000002</v>
      </c>
      <c r="K259" s="12" t="s">
        <v>41</v>
      </c>
      <c r="L259" s="12" t="s">
        <v>163</v>
      </c>
      <c r="N259" s="12">
        <v>125.6</v>
      </c>
      <c r="O259" s="12" t="s">
        <v>436</v>
      </c>
      <c r="P259" s="12">
        <f t="shared" si="5"/>
        <v>0.12559999999999999</v>
      </c>
      <c r="Q259" s="12" t="s">
        <v>59</v>
      </c>
    </row>
    <row r="260" spans="1:17" x14ac:dyDescent="0.35">
      <c r="A260" s="12">
        <v>20</v>
      </c>
      <c r="B260" s="12" t="s">
        <v>429</v>
      </c>
      <c r="C260" s="12">
        <v>2024</v>
      </c>
      <c r="D260" s="12" t="s">
        <v>430</v>
      </c>
      <c r="E260" s="12" t="s">
        <v>431</v>
      </c>
      <c r="F260" s="12" t="s">
        <v>432</v>
      </c>
      <c r="G260" s="12" t="s">
        <v>161</v>
      </c>
      <c r="H260" s="12" t="s">
        <v>447</v>
      </c>
      <c r="I260" s="12">
        <v>48.027667000000001</v>
      </c>
      <c r="J260" s="12">
        <v>-69.485667000000007</v>
      </c>
      <c r="K260" s="12" t="s">
        <v>41</v>
      </c>
      <c r="L260" s="12" t="s">
        <v>163</v>
      </c>
      <c r="N260" s="12">
        <v>91.3</v>
      </c>
      <c r="O260" s="12" t="s">
        <v>436</v>
      </c>
      <c r="P260" s="12">
        <f t="shared" si="5"/>
        <v>9.1299999999999992E-2</v>
      </c>
      <c r="Q260" s="12" t="s">
        <v>59</v>
      </c>
    </row>
    <row r="261" spans="1:17" x14ac:dyDescent="0.35">
      <c r="A261" s="12">
        <v>20</v>
      </c>
      <c r="B261" s="12" t="s">
        <v>429</v>
      </c>
      <c r="C261" s="12">
        <v>2024</v>
      </c>
      <c r="D261" s="12" t="s">
        <v>430</v>
      </c>
      <c r="E261" s="12" t="s">
        <v>431</v>
      </c>
      <c r="F261" s="12" t="s">
        <v>432</v>
      </c>
      <c r="G261" s="12" t="s">
        <v>161</v>
      </c>
      <c r="H261" s="12" t="s">
        <v>448</v>
      </c>
      <c r="I261" s="12">
        <v>48.348332999999997</v>
      </c>
      <c r="J261" s="12">
        <v>-69.327667000000005</v>
      </c>
      <c r="K261" s="12" t="s">
        <v>41</v>
      </c>
      <c r="L261" s="12" t="s">
        <v>163</v>
      </c>
      <c r="N261" s="12">
        <v>182</v>
      </c>
      <c r="O261" s="12" t="s">
        <v>436</v>
      </c>
      <c r="P261" s="12">
        <f t="shared" si="5"/>
        <v>0.182</v>
      </c>
      <c r="Q261" s="12" t="s">
        <v>59</v>
      </c>
    </row>
    <row r="262" spans="1:17" x14ac:dyDescent="0.35">
      <c r="A262" s="12">
        <v>20</v>
      </c>
      <c r="B262" s="12" t="s">
        <v>429</v>
      </c>
      <c r="C262" s="12">
        <v>2024</v>
      </c>
      <c r="D262" s="12" t="s">
        <v>430</v>
      </c>
      <c r="E262" s="12" t="s">
        <v>431</v>
      </c>
      <c r="F262" s="12" t="s">
        <v>432</v>
      </c>
      <c r="G262" s="12" t="s">
        <v>161</v>
      </c>
      <c r="H262" s="12" t="s">
        <v>449</v>
      </c>
      <c r="I262" s="12">
        <v>48.317332999999998</v>
      </c>
      <c r="J262" s="12">
        <v>-69.199667000000005</v>
      </c>
      <c r="K262" s="12" t="s">
        <v>41</v>
      </c>
      <c r="L262" s="12" t="s">
        <v>163</v>
      </c>
      <c r="N262" s="12">
        <v>150.69999999999999</v>
      </c>
      <c r="O262" s="12" t="s">
        <v>436</v>
      </c>
      <c r="P262" s="12">
        <f t="shared" si="5"/>
        <v>0.1507</v>
      </c>
      <c r="Q262" s="12" t="s">
        <v>59</v>
      </c>
    </row>
    <row r="263" spans="1:17" x14ac:dyDescent="0.35">
      <c r="A263" s="12">
        <v>20</v>
      </c>
      <c r="B263" s="12" t="s">
        <v>429</v>
      </c>
      <c r="C263" s="12">
        <v>2024</v>
      </c>
      <c r="D263" s="12" t="s">
        <v>430</v>
      </c>
      <c r="E263" s="12" t="s">
        <v>431</v>
      </c>
      <c r="F263" s="12" t="s">
        <v>432</v>
      </c>
      <c r="G263" s="12" t="s">
        <v>161</v>
      </c>
      <c r="H263" s="12" t="s">
        <v>450</v>
      </c>
      <c r="I263" s="12">
        <v>48.279499999999999</v>
      </c>
      <c r="J263" s="12">
        <v>-69.072166999999993</v>
      </c>
      <c r="K263" s="12" t="s">
        <v>41</v>
      </c>
      <c r="L263" s="12" t="s">
        <v>163</v>
      </c>
      <c r="N263" s="12">
        <v>114.2</v>
      </c>
      <c r="O263" s="12" t="s">
        <v>436</v>
      </c>
      <c r="P263" s="12">
        <f t="shared" si="5"/>
        <v>0.1142</v>
      </c>
      <c r="Q263" s="12" t="s">
        <v>59</v>
      </c>
    </row>
    <row r="264" spans="1:17" x14ac:dyDescent="0.35">
      <c r="A264" s="12">
        <v>20</v>
      </c>
      <c r="B264" s="12" t="s">
        <v>429</v>
      </c>
      <c r="C264" s="12">
        <v>2024</v>
      </c>
      <c r="D264" s="12" t="s">
        <v>430</v>
      </c>
      <c r="E264" s="12" t="s">
        <v>431</v>
      </c>
      <c r="F264" s="12" t="s">
        <v>432</v>
      </c>
      <c r="G264" s="12" t="s">
        <v>161</v>
      </c>
      <c r="H264" s="12" t="s">
        <v>451</v>
      </c>
      <c r="I264" s="12">
        <v>48.629167000000002</v>
      </c>
      <c r="J264" s="12">
        <v>-69.013666999999998</v>
      </c>
      <c r="K264" s="12" t="s">
        <v>41</v>
      </c>
      <c r="L264" s="12" t="s">
        <v>163</v>
      </c>
      <c r="N264" s="12">
        <v>123.3</v>
      </c>
      <c r="O264" s="12" t="s">
        <v>436</v>
      </c>
      <c r="P264" s="12">
        <f t="shared" si="5"/>
        <v>0.12329999999999999</v>
      </c>
      <c r="Q264" s="12" t="s">
        <v>59</v>
      </c>
    </row>
    <row r="265" spans="1:17" x14ac:dyDescent="0.35">
      <c r="A265" s="12">
        <v>20</v>
      </c>
      <c r="B265" s="12" t="s">
        <v>429</v>
      </c>
      <c r="C265" s="12">
        <v>2024</v>
      </c>
      <c r="D265" s="12" t="s">
        <v>430</v>
      </c>
      <c r="E265" s="12" t="s">
        <v>431</v>
      </c>
      <c r="F265" s="12" t="s">
        <v>432</v>
      </c>
      <c r="G265" s="12" t="s">
        <v>161</v>
      </c>
      <c r="H265" s="12" t="s">
        <v>452</v>
      </c>
      <c r="I265" s="12">
        <v>48.558667</v>
      </c>
      <c r="J265" s="12">
        <v>-68.845332999999997</v>
      </c>
      <c r="K265" s="12" t="s">
        <v>41</v>
      </c>
      <c r="L265" s="12" t="s">
        <v>163</v>
      </c>
      <c r="N265" s="12">
        <v>107.3</v>
      </c>
      <c r="O265" s="12" t="s">
        <v>436</v>
      </c>
      <c r="P265" s="12">
        <f t="shared" si="5"/>
        <v>0.10729999999999999</v>
      </c>
      <c r="Q265" s="12" t="s">
        <v>59</v>
      </c>
    </row>
    <row r="266" spans="1:17" x14ac:dyDescent="0.35">
      <c r="A266" s="12">
        <v>20</v>
      </c>
      <c r="B266" s="12" t="s">
        <v>429</v>
      </c>
      <c r="C266" s="12">
        <v>2024</v>
      </c>
      <c r="D266" s="12" t="s">
        <v>430</v>
      </c>
      <c r="E266" s="12" t="s">
        <v>431</v>
      </c>
      <c r="F266" s="12" t="s">
        <v>432</v>
      </c>
      <c r="G266" s="12" t="s">
        <v>161</v>
      </c>
      <c r="H266" s="12" t="s">
        <v>453</v>
      </c>
      <c r="I266" s="12">
        <v>48.473666999999999</v>
      </c>
      <c r="J266" s="12">
        <v>-68.665499999999994</v>
      </c>
      <c r="K266" s="12" t="s">
        <v>41</v>
      </c>
      <c r="L266" s="12" t="s">
        <v>163</v>
      </c>
      <c r="N266" s="12">
        <v>162.1</v>
      </c>
      <c r="O266" s="12" t="s">
        <v>436</v>
      </c>
      <c r="P266" s="12">
        <f t="shared" si="5"/>
        <v>0.16209999999999999</v>
      </c>
      <c r="Q266" s="12" t="s">
        <v>59</v>
      </c>
    </row>
    <row r="267" spans="1:17" x14ac:dyDescent="0.35">
      <c r="A267" s="12">
        <v>20</v>
      </c>
      <c r="B267" s="12" t="s">
        <v>429</v>
      </c>
      <c r="C267" s="12">
        <v>2024</v>
      </c>
      <c r="D267" s="12" t="s">
        <v>430</v>
      </c>
      <c r="E267" s="12" t="s">
        <v>431</v>
      </c>
      <c r="F267" s="12" t="s">
        <v>432</v>
      </c>
      <c r="G267" s="12" t="s">
        <v>161</v>
      </c>
      <c r="H267" s="12" t="s">
        <v>454</v>
      </c>
      <c r="I267" s="12">
        <v>48.575667000000003</v>
      </c>
      <c r="J267" s="12">
        <v>-68.489833000000004</v>
      </c>
      <c r="K267" s="12" t="s">
        <v>41</v>
      </c>
      <c r="L267" s="12" t="s">
        <v>163</v>
      </c>
      <c r="N267" s="12">
        <v>141.6</v>
      </c>
      <c r="O267" s="12" t="s">
        <v>436</v>
      </c>
      <c r="P267" s="12">
        <f t="shared" si="5"/>
        <v>0.1416</v>
      </c>
      <c r="Q267" s="12" t="s">
        <v>59</v>
      </c>
    </row>
    <row r="268" spans="1:17" x14ac:dyDescent="0.35">
      <c r="A268" s="12">
        <v>20</v>
      </c>
      <c r="B268" s="12" t="s">
        <v>429</v>
      </c>
      <c r="C268" s="12">
        <v>2024</v>
      </c>
      <c r="D268" s="12" t="s">
        <v>430</v>
      </c>
      <c r="E268" s="12" t="s">
        <v>431</v>
      </c>
      <c r="F268" s="12" t="s">
        <v>432</v>
      </c>
      <c r="G268" s="12" t="s">
        <v>161</v>
      </c>
      <c r="H268" s="12" t="s">
        <v>455</v>
      </c>
      <c r="I268" s="12">
        <v>48.666832999999997</v>
      </c>
      <c r="J268" s="12">
        <v>-68.581166999999994</v>
      </c>
      <c r="K268" s="12" t="s">
        <v>41</v>
      </c>
      <c r="L268" s="12" t="s">
        <v>163</v>
      </c>
      <c r="N268" s="12">
        <v>110</v>
      </c>
      <c r="O268" s="12" t="s">
        <v>436</v>
      </c>
      <c r="P268" s="12">
        <f t="shared" si="5"/>
        <v>0.11</v>
      </c>
      <c r="Q268" s="12" t="s">
        <v>59</v>
      </c>
    </row>
    <row r="269" spans="1:17" x14ac:dyDescent="0.35">
      <c r="A269" s="12">
        <v>20</v>
      </c>
      <c r="B269" s="12" t="s">
        <v>429</v>
      </c>
      <c r="C269" s="12">
        <v>2024</v>
      </c>
      <c r="D269" s="12" t="s">
        <v>430</v>
      </c>
      <c r="E269" s="12" t="s">
        <v>431</v>
      </c>
      <c r="F269" s="12" t="s">
        <v>432</v>
      </c>
      <c r="G269" s="12" t="s">
        <v>161</v>
      </c>
      <c r="H269" s="12" t="s">
        <v>456</v>
      </c>
      <c r="I269" s="12">
        <v>48.787832999999999</v>
      </c>
      <c r="J269" s="12">
        <v>-68.711167000000003</v>
      </c>
      <c r="K269" s="12" t="s">
        <v>41</v>
      </c>
      <c r="L269" s="12" t="s">
        <v>163</v>
      </c>
      <c r="N269" s="12">
        <v>80</v>
      </c>
      <c r="O269" s="12" t="s">
        <v>436</v>
      </c>
      <c r="P269" s="12">
        <f t="shared" si="5"/>
        <v>0.08</v>
      </c>
      <c r="Q269" s="12" t="s">
        <v>59</v>
      </c>
    </row>
    <row r="270" spans="1:17" x14ac:dyDescent="0.35">
      <c r="A270" s="12">
        <v>20</v>
      </c>
      <c r="B270" s="12" t="s">
        <v>429</v>
      </c>
      <c r="C270" s="12">
        <v>2024</v>
      </c>
      <c r="D270" s="12" t="s">
        <v>430</v>
      </c>
      <c r="E270" s="12" t="s">
        <v>431</v>
      </c>
      <c r="F270" s="12" t="s">
        <v>432</v>
      </c>
      <c r="G270" s="12" t="s">
        <v>161</v>
      </c>
      <c r="H270" s="12" t="s">
        <v>457</v>
      </c>
      <c r="I270" s="12">
        <v>49.036499999999997</v>
      </c>
      <c r="J270" s="12">
        <v>-68.267667000000003</v>
      </c>
      <c r="K270" s="12" t="s">
        <v>41</v>
      </c>
      <c r="L270" s="12" t="s">
        <v>163</v>
      </c>
      <c r="N270" s="12">
        <v>90</v>
      </c>
      <c r="O270" s="12" t="s">
        <v>436</v>
      </c>
      <c r="P270" s="12">
        <f t="shared" si="5"/>
        <v>0.09</v>
      </c>
      <c r="Q270" s="12" t="s">
        <v>59</v>
      </c>
    </row>
    <row r="271" spans="1:17" x14ac:dyDescent="0.35">
      <c r="A271" s="12">
        <v>20</v>
      </c>
      <c r="B271" s="12" t="s">
        <v>429</v>
      </c>
      <c r="C271" s="12">
        <v>2024</v>
      </c>
      <c r="D271" s="12" t="s">
        <v>430</v>
      </c>
      <c r="E271" s="12" t="s">
        <v>431</v>
      </c>
      <c r="F271" s="12" t="s">
        <v>432</v>
      </c>
      <c r="G271" s="12" t="s">
        <v>161</v>
      </c>
      <c r="H271" s="12" t="s">
        <v>458</v>
      </c>
      <c r="I271" s="12">
        <v>48.954000000000001</v>
      </c>
      <c r="J271" s="12">
        <v>-68.094499999999996</v>
      </c>
      <c r="K271" s="12" t="s">
        <v>41</v>
      </c>
      <c r="L271" s="12" t="s">
        <v>163</v>
      </c>
      <c r="N271" s="12">
        <v>110</v>
      </c>
      <c r="O271" s="12" t="s">
        <v>436</v>
      </c>
      <c r="P271" s="12">
        <f t="shared" si="5"/>
        <v>0.11</v>
      </c>
      <c r="Q271" s="12" t="s">
        <v>59</v>
      </c>
    </row>
    <row r="272" spans="1:17" x14ac:dyDescent="0.35">
      <c r="A272" s="12">
        <v>20</v>
      </c>
      <c r="B272" s="12" t="s">
        <v>429</v>
      </c>
      <c r="C272" s="12">
        <v>2024</v>
      </c>
      <c r="D272" s="12" t="s">
        <v>430</v>
      </c>
      <c r="E272" s="12" t="s">
        <v>431</v>
      </c>
      <c r="F272" s="12" t="s">
        <v>432</v>
      </c>
      <c r="G272" s="12" t="s">
        <v>161</v>
      </c>
      <c r="H272" s="12" t="s">
        <v>459</v>
      </c>
      <c r="I272" s="12">
        <v>48.830666999999998</v>
      </c>
      <c r="J272" s="12">
        <v>-67.856999999999999</v>
      </c>
      <c r="K272" s="12" t="s">
        <v>41</v>
      </c>
      <c r="L272" s="12" t="s">
        <v>163</v>
      </c>
      <c r="N272" s="12">
        <v>156</v>
      </c>
      <c r="O272" s="12" t="s">
        <v>436</v>
      </c>
      <c r="P272" s="12">
        <f t="shared" si="5"/>
        <v>0.156</v>
      </c>
      <c r="Q272" s="12" t="s">
        <v>59</v>
      </c>
    </row>
    <row r="273" spans="1:18" x14ac:dyDescent="0.35">
      <c r="A273" s="12">
        <v>20</v>
      </c>
      <c r="B273" s="12" t="s">
        <v>429</v>
      </c>
      <c r="C273" s="12">
        <v>2024</v>
      </c>
      <c r="D273" s="12" t="s">
        <v>430</v>
      </c>
      <c r="E273" s="12" t="s">
        <v>431</v>
      </c>
      <c r="F273" s="12" t="s">
        <v>432</v>
      </c>
      <c r="G273" s="12" t="s">
        <v>161</v>
      </c>
      <c r="H273" s="12" t="s">
        <v>460</v>
      </c>
      <c r="I273" s="28">
        <v>49.27</v>
      </c>
      <c r="J273" s="12">
        <v>-67.363833</v>
      </c>
      <c r="K273" s="12" t="s">
        <v>41</v>
      </c>
      <c r="L273" s="12" t="s">
        <v>163</v>
      </c>
      <c r="N273" s="12">
        <v>82</v>
      </c>
      <c r="O273" s="12" t="s">
        <v>436</v>
      </c>
      <c r="P273" s="12">
        <f t="shared" si="5"/>
        <v>8.2000000000000003E-2</v>
      </c>
      <c r="Q273" s="12" t="s">
        <v>59</v>
      </c>
    </row>
    <row r="274" spans="1:18" x14ac:dyDescent="0.35">
      <c r="A274" s="12">
        <v>20</v>
      </c>
      <c r="B274" s="12" t="s">
        <v>429</v>
      </c>
      <c r="C274" s="12">
        <v>2024</v>
      </c>
      <c r="D274" s="12" t="s">
        <v>430</v>
      </c>
      <c r="E274" s="12" t="s">
        <v>431</v>
      </c>
      <c r="F274" s="12" t="s">
        <v>432</v>
      </c>
      <c r="G274" s="12" t="s">
        <v>161</v>
      </c>
      <c r="H274" s="12" t="s">
        <v>461</v>
      </c>
      <c r="I274" s="12">
        <v>49.165500000000002</v>
      </c>
      <c r="J274" s="12">
        <v>-67.268500000000003</v>
      </c>
      <c r="K274" s="12" t="s">
        <v>41</v>
      </c>
      <c r="L274" s="12" t="s">
        <v>163</v>
      </c>
      <c r="N274" s="12">
        <v>120</v>
      </c>
      <c r="O274" s="12" t="s">
        <v>436</v>
      </c>
      <c r="P274" s="12">
        <f t="shared" si="5"/>
        <v>0.12</v>
      </c>
      <c r="Q274" s="12" t="s">
        <v>59</v>
      </c>
    </row>
    <row r="275" spans="1:18" x14ac:dyDescent="0.35">
      <c r="A275" s="12">
        <v>20</v>
      </c>
      <c r="B275" s="12" t="s">
        <v>429</v>
      </c>
      <c r="C275" s="12">
        <v>2024</v>
      </c>
      <c r="D275" s="12" t="s">
        <v>430</v>
      </c>
      <c r="E275" s="12" t="s">
        <v>431</v>
      </c>
      <c r="F275" s="12" t="s">
        <v>432</v>
      </c>
      <c r="G275" s="12" t="s">
        <v>161</v>
      </c>
      <c r="H275" s="12" t="s">
        <v>462</v>
      </c>
      <c r="I275" s="12">
        <v>49.040332999999997</v>
      </c>
      <c r="J275" s="12">
        <v>-67.104167000000004</v>
      </c>
      <c r="K275" s="12" t="s">
        <v>41</v>
      </c>
      <c r="L275" s="12" t="s">
        <v>163</v>
      </c>
      <c r="N275" s="12">
        <v>127.4</v>
      </c>
      <c r="O275" s="12" t="s">
        <v>436</v>
      </c>
      <c r="P275" s="12">
        <f t="shared" si="5"/>
        <v>0.12740000000000001</v>
      </c>
      <c r="Q275" s="12" t="s">
        <v>59</v>
      </c>
    </row>
    <row r="276" spans="1:18" x14ac:dyDescent="0.35">
      <c r="A276" s="12">
        <v>20</v>
      </c>
      <c r="B276" s="12" t="s">
        <v>429</v>
      </c>
      <c r="C276" s="12">
        <v>2024</v>
      </c>
      <c r="D276" s="12" t="s">
        <v>430</v>
      </c>
      <c r="E276" s="12" t="s">
        <v>431</v>
      </c>
      <c r="F276" s="12" t="s">
        <v>432</v>
      </c>
      <c r="G276" s="12" t="s">
        <v>161</v>
      </c>
      <c r="H276" s="12" t="s">
        <v>463</v>
      </c>
      <c r="I276" s="12">
        <v>49.764000000000003</v>
      </c>
      <c r="J276" s="12">
        <v>-66.889499999999998</v>
      </c>
      <c r="K276" s="12" t="s">
        <v>41</v>
      </c>
      <c r="L276" s="12" t="s">
        <v>163</v>
      </c>
      <c r="N276" s="12">
        <v>70</v>
      </c>
      <c r="O276" s="12" t="s">
        <v>436</v>
      </c>
      <c r="P276" s="12">
        <f t="shared" si="5"/>
        <v>7.0000000000000007E-2</v>
      </c>
      <c r="Q276" s="12" t="s">
        <v>59</v>
      </c>
    </row>
    <row r="277" spans="1:18" x14ac:dyDescent="0.35">
      <c r="A277" s="12">
        <v>20</v>
      </c>
      <c r="B277" s="12" t="s">
        <v>429</v>
      </c>
      <c r="C277" s="12">
        <v>2024</v>
      </c>
      <c r="D277" s="12" t="s">
        <v>430</v>
      </c>
      <c r="E277" s="12" t="s">
        <v>431</v>
      </c>
      <c r="F277" s="12" t="s">
        <v>432</v>
      </c>
      <c r="G277" s="12" t="s">
        <v>161</v>
      </c>
      <c r="H277" s="12" t="s">
        <v>464</v>
      </c>
      <c r="I277" s="12">
        <v>49.616</v>
      </c>
      <c r="J277" s="12">
        <v>-66.661167000000006</v>
      </c>
      <c r="K277" s="12" t="s">
        <v>41</v>
      </c>
      <c r="L277" s="12" t="s">
        <v>163</v>
      </c>
      <c r="N277" s="12">
        <v>82</v>
      </c>
      <c r="O277" s="12" t="s">
        <v>436</v>
      </c>
      <c r="P277" s="12">
        <f t="shared" si="5"/>
        <v>8.2000000000000003E-2</v>
      </c>
      <c r="Q277" s="12" t="s">
        <v>59</v>
      </c>
    </row>
    <row r="278" spans="1:18" x14ac:dyDescent="0.35">
      <c r="A278" s="12">
        <v>20</v>
      </c>
      <c r="B278" s="12" t="s">
        <v>429</v>
      </c>
      <c r="C278" s="12">
        <v>2024</v>
      </c>
      <c r="D278" s="12" t="s">
        <v>430</v>
      </c>
      <c r="E278" s="12" t="s">
        <v>431</v>
      </c>
      <c r="F278" s="12" t="s">
        <v>432</v>
      </c>
      <c r="G278" s="12" t="s">
        <v>161</v>
      </c>
      <c r="H278" s="12" t="s">
        <v>465</v>
      </c>
      <c r="I278" s="12">
        <v>49.412832999999999</v>
      </c>
      <c r="J278" s="12">
        <v>-66.480999999999995</v>
      </c>
      <c r="K278" s="12" t="s">
        <v>41</v>
      </c>
      <c r="L278" s="12" t="s">
        <v>163</v>
      </c>
      <c r="N278" s="12">
        <v>76</v>
      </c>
      <c r="O278" s="12" t="s">
        <v>436</v>
      </c>
      <c r="P278" s="12">
        <f t="shared" si="5"/>
        <v>7.5999999999999998E-2</v>
      </c>
      <c r="Q278" s="12" t="s">
        <v>59</v>
      </c>
    </row>
    <row r="279" spans="1:18" x14ac:dyDescent="0.35">
      <c r="A279" s="12">
        <v>20</v>
      </c>
      <c r="B279" s="12" t="s">
        <v>429</v>
      </c>
      <c r="C279" s="12">
        <v>2024</v>
      </c>
      <c r="D279" s="12" t="s">
        <v>430</v>
      </c>
      <c r="E279" s="12" t="s">
        <v>431</v>
      </c>
      <c r="F279" s="12" t="s">
        <v>432</v>
      </c>
      <c r="G279" s="12" t="s">
        <v>161</v>
      </c>
      <c r="H279" s="12" t="s">
        <v>466</v>
      </c>
      <c r="I279" s="12">
        <v>49.749167</v>
      </c>
      <c r="J279" s="12">
        <v>-65.500332999999998</v>
      </c>
      <c r="K279" s="12" t="s">
        <v>41</v>
      </c>
      <c r="L279" s="12" t="s">
        <v>163</v>
      </c>
      <c r="N279" s="12">
        <v>74</v>
      </c>
      <c r="O279" s="12" t="s">
        <v>436</v>
      </c>
      <c r="P279" s="12">
        <f t="shared" si="5"/>
        <v>7.3999999999999996E-2</v>
      </c>
      <c r="Q279" s="12" t="s">
        <v>59</v>
      </c>
    </row>
    <row r="280" spans="1:18" x14ac:dyDescent="0.35">
      <c r="A280" s="12">
        <v>21</v>
      </c>
      <c r="B280" s="12" t="s">
        <v>467</v>
      </c>
      <c r="C280" s="12">
        <v>2024</v>
      </c>
      <c r="D280" s="12" t="s">
        <v>468</v>
      </c>
      <c r="E280" s="12" t="s">
        <v>469</v>
      </c>
      <c r="F280" s="12" t="s">
        <v>470</v>
      </c>
      <c r="G280" s="12" t="s">
        <v>471</v>
      </c>
      <c r="H280" s="12" t="s">
        <v>472</v>
      </c>
      <c r="I280" s="12">
        <v>62.497500000000002</v>
      </c>
      <c r="J280" s="12">
        <v>-114.3321</v>
      </c>
      <c r="K280" s="12" t="s">
        <v>41</v>
      </c>
      <c r="L280" s="12" t="s">
        <v>28</v>
      </c>
      <c r="M280" s="12" t="s">
        <v>475</v>
      </c>
      <c r="N280" s="12">
        <v>0.25</v>
      </c>
      <c r="O280" s="12" t="s">
        <v>476</v>
      </c>
      <c r="P280" s="12">
        <f t="shared" si="5"/>
        <v>2.5000000000000001E-4</v>
      </c>
      <c r="Q280" s="12" t="s">
        <v>59</v>
      </c>
      <c r="R280" s="12" t="s">
        <v>477</v>
      </c>
    </row>
    <row r="281" spans="1:18" x14ac:dyDescent="0.35">
      <c r="A281" s="12">
        <v>21</v>
      </c>
      <c r="B281" s="12" t="s">
        <v>467</v>
      </c>
      <c r="C281" s="12">
        <v>2024</v>
      </c>
      <c r="D281" s="12" t="s">
        <v>468</v>
      </c>
      <c r="E281" s="12" t="s">
        <v>469</v>
      </c>
      <c r="F281" s="12" t="s">
        <v>470</v>
      </c>
      <c r="G281" s="12" t="s">
        <v>471</v>
      </c>
      <c r="H281" s="12" t="s">
        <v>487</v>
      </c>
      <c r="I281" s="12">
        <v>62.383400000000002</v>
      </c>
      <c r="J281" s="12">
        <v>-114.33540000000001</v>
      </c>
      <c r="K281" s="12" t="s">
        <v>41</v>
      </c>
      <c r="L281" s="12" t="s">
        <v>28</v>
      </c>
      <c r="M281" s="12" t="s">
        <v>475</v>
      </c>
      <c r="N281" s="12">
        <v>0.52</v>
      </c>
      <c r="O281" s="12" t="s">
        <v>476</v>
      </c>
      <c r="P281" s="12">
        <f t="shared" si="5"/>
        <v>5.2000000000000006E-4</v>
      </c>
      <c r="Q281" s="12" t="s">
        <v>59</v>
      </c>
      <c r="R281" s="12" t="s">
        <v>477</v>
      </c>
    </row>
    <row r="282" spans="1:18" x14ac:dyDescent="0.35">
      <c r="A282" s="12">
        <v>21</v>
      </c>
      <c r="B282" s="12" t="s">
        <v>467</v>
      </c>
      <c r="C282" s="12">
        <v>2024</v>
      </c>
      <c r="D282" s="12" t="s">
        <v>468</v>
      </c>
      <c r="E282" s="12" t="s">
        <v>469</v>
      </c>
      <c r="F282" s="12" t="s">
        <v>470</v>
      </c>
      <c r="G282" s="12" t="s">
        <v>471</v>
      </c>
      <c r="H282" s="12" t="s">
        <v>488</v>
      </c>
      <c r="I282" s="12">
        <v>62.5334</v>
      </c>
      <c r="J282" s="12">
        <v>-114.3128</v>
      </c>
      <c r="K282" s="12" t="s">
        <v>41</v>
      </c>
      <c r="L282" s="12" t="s">
        <v>28</v>
      </c>
      <c r="M282" s="12" t="s">
        <v>475</v>
      </c>
      <c r="N282" s="12">
        <v>0.51</v>
      </c>
      <c r="O282" s="12" t="s">
        <v>476</v>
      </c>
      <c r="P282" s="12">
        <f t="shared" si="5"/>
        <v>5.1000000000000004E-4</v>
      </c>
      <c r="Q282" s="12" t="s">
        <v>59</v>
      </c>
      <c r="R282" s="12" t="s">
        <v>489</v>
      </c>
    </row>
    <row r="283" spans="1:18" x14ac:dyDescent="0.35">
      <c r="A283" s="12">
        <v>22</v>
      </c>
      <c r="B283" s="12" t="s">
        <v>490</v>
      </c>
      <c r="C283" s="12">
        <v>2023</v>
      </c>
      <c r="D283" s="12" t="s">
        <v>491</v>
      </c>
      <c r="E283" s="12" t="s">
        <v>492</v>
      </c>
      <c r="F283" s="12" t="s">
        <v>493</v>
      </c>
      <c r="G283" s="12" t="s">
        <v>494</v>
      </c>
      <c r="H283" s="12" t="s">
        <v>495</v>
      </c>
      <c r="I283" s="12">
        <v>43.845236737838199</v>
      </c>
      <c r="J283" s="16">
        <v>-58.933498628192702</v>
      </c>
      <c r="K283" s="12" t="s">
        <v>41</v>
      </c>
      <c r="L283" s="12" t="s">
        <v>42</v>
      </c>
      <c r="M283" s="12" t="s">
        <v>497</v>
      </c>
      <c r="N283" s="12">
        <v>19.600000000000001</v>
      </c>
      <c r="O283" s="12" t="s">
        <v>498</v>
      </c>
      <c r="P283" s="12">
        <v>19.600000000000001</v>
      </c>
      <c r="Q283" s="12" t="s">
        <v>59</v>
      </c>
      <c r="R283" s="12" t="s">
        <v>499</v>
      </c>
    </row>
    <row r="284" spans="1:18" x14ac:dyDescent="0.35">
      <c r="A284" s="12">
        <v>22</v>
      </c>
      <c r="B284" s="12" t="s">
        <v>490</v>
      </c>
      <c r="C284" s="12">
        <v>2023</v>
      </c>
      <c r="D284" s="12" t="s">
        <v>491</v>
      </c>
      <c r="E284" s="12" t="s">
        <v>492</v>
      </c>
      <c r="F284" s="12" t="s">
        <v>493</v>
      </c>
      <c r="G284" s="12" t="s">
        <v>494</v>
      </c>
      <c r="H284" s="12" t="s">
        <v>500</v>
      </c>
      <c r="I284" s="12">
        <v>44.019857000000002</v>
      </c>
      <c r="J284" s="16">
        <v>-58.233660999999998</v>
      </c>
      <c r="K284" s="12" t="s">
        <v>41</v>
      </c>
      <c r="L284" s="12" t="s">
        <v>42</v>
      </c>
      <c r="M284" s="12" t="s">
        <v>497</v>
      </c>
      <c r="N284" s="12">
        <v>17.7</v>
      </c>
      <c r="O284" s="12" t="s">
        <v>498</v>
      </c>
      <c r="P284" s="12">
        <v>17.7</v>
      </c>
      <c r="Q284" s="12" t="s">
        <v>59</v>
      </c>
      <c r="R284" s="12" t="s">
        <v>502</v>
      </c>
    </row>
    <row r="285" spans="1:18" x14ac:dyDescent="0.35">
      <c r="A285" s="12">
        <v>22</v>
      </c>
      <c r="B285" s="12" t="s">
        <v>490</v>
      </c>
      <c r="C285" s="12">
        <v>2023</v>
      </c>
      <c r="D285" s="12" t="s">
        <v>491</v>
      </c>
      <c r="E285" s="12" t="s">
        <v>492</v>
      </c>
      <c r="F285" s="12" t="s">
        <v>493</v>
      </c>
      <c r="G285" s="12" t="s">
        <v>494</v>
      </c>
      <c r="H285" s="12" t="s">
        <v>503</v>
      </c>
      <c r="I285" s="12">
        <v>44.3698019225792</v>
      </c>
      <c r="J285" s="16">
        <v>-53.943359813514697</v>
      </c>
      <c r="K285" s="12" t="s">
        <v>41</v>
      </c>
      <c r="L285" s="12" t="s">
        <v>42</v>
      </c>
      <c r="M285" s="12" t="s">
        <v>497</v>
      </c>
      <c r="N285" s="12">
        <v>11.2</v>
      </c>
      <c r="O285" s="12" t="s">
        <v>498</v>
      </c>
      <c r="P285" s="12">
        <v>11.2</v>
      </c>
      <c r="Q285" s="12" t="s">
        <v>59</v>
      </c>
      <c r="R285" s="12" t="s">
        <v>499</v>
      </c>
    </row>
    <row r="286" spans="1:18" x14ac:dyDescent="0.35">
      <c r="A286" s="12">
        <v>22</v>
      </c>
      <c r="B286" s="12" t="s">
        <v>490</v>
      </c>
      <c r="C286" s="12">
        <v>2023</v>
      </c>
      <c r="D286" s="12" t="s">
        <v>491</v>
      </c>
      <c r="E286" s="12" t="s">
        <v>492</v>
      </c>
      <c r="F286" s="12" t="s">
        <v>493</v>
      </c>
      <c r="G286" s="12" t="s">
        <v>494</v>
      </c>
      <c r="H286" s="12" t="s">
        <v>504</v>
      </c>
      <c r="I286" s="12">
        <v>43.845236737838199</v>
      </c>
      <c r="J286" s="16">
        <v>-58.933498628192702</v>
      </c>
      <c r="K286" s="12" t="s">
        <v>41</v>
      </c>
      <c r="L286" s="12" t="s">
        <v>42</v>
      </c>
      <c r="M286" s="12" t="s">
        <v>497</v>
      </c>
      <c r="N286" s="12">
        <v>136832</v>
      </c>
      <c r="O286" s="12" t="s">
        <v>506</v>
      </c>
      <c r="P286" s="12">
        <v>136832</v>
      </c>
      <c r="Q286" s="12" t="s">
        <v>46</v>
      </c>
      <c r="R286" s="12" t="s">
        <v>499</v>
      </c>
    </row>
    <row r="287" spans="1:18" x14ac:dyDescent="0.35">
      <c r="A287" s="12">
        <v>22</v>
      </c>
      <c r="B287" s="12" t="s">
        <v>490</v>
      </c>
      <c r="C287" s="12">
        <v>2023</v>
      </c>
      <c r="D287" s="12" t="s">
        <v>491</v>
      </c>
      <c r="E287" s="12" t="s">
        <v>492</v>
      </c>
      <c r="F287" s="12" t="s">
        <v>493</v>
      </c>
      <c r="G287" s="12" t="s">
        <v>494</v>
      </c>
      <c r="H287" s="12" t="s">
        <v>507</v>
      </c>
      <c r="I287" s="12">
        <v>44.019857000000002</v>
      </c>
      <c r="J287" s="16">
        <v>-58.233660999999998</v>
      </c>
      <c r="K287" s="12" t="s">
        <v>41</v>
      </c>
      <c r="L287" s="12" t="s">
        <v>42</v>
      </c>
      <c r="M287" s="12" t="s">
        <v>497</v>
      </c>
      <c r="N287" s="12">
        <v>194175</v>
      </c>
      <c r="O287" s="12" t="s">
        <v>506</v>
      </c>
      <c r="P287" s="12">
        <v>194175</v>
      </c>
      <c r="Q287" s="12" t="s">
        <v>46</v>
      </c>
      <c r="R287" s="12" t="s">
        <v>502</v>
      </c>
    </row>
    <row r="288" spans="1:18" x14ac:dyDescent="0.35">
      <c r="A288" s="12">
        <v>22</v>
      </c>
      <c r="B288" s="12" t="s">
        <v>490</v>
      </c>
      <c r="C288" s="12">
        <v>2023</v>
      </c>
      <c r="D288" s="12" t="s">
        <v>491</v>
      </c>
      <c r="E288" s="12" t="s">
        <v>492</v>
      </c>
      <c r="F288" s="12" t="s">
        <v>493</v>
      </c>
      <c r="G288" s="12" t="s">
        <v>494</v>
      </c>
      <c r="H288" s="12" t="s">
        <v>503</v>
      </c>
      <c r="I288" s="12">
        <v>44.3698019225792</v>
      </c>
      <c r="J288" s="16">
        <v>-53.943359813514697</v>
      </c>
      <c r="K288" s="12" t="s">
        <v>41</v>
      </c>
      <c r="L288" s="12" t="s">
        <v>42</v>
      </c>
      <c r="M288" s="12" t="s">
        <v>497</v>
      </c>
      <c r="N288" s="12">
        <v>112017</v>
      </c>
      <c r="O288" s="12" t="s">
        <v>506</v>
      </c>
      <c r="P288" s="12">
        <v>112017</v>
      </c>
      <c r="Q288" s="12" t="s">
        <v>46</v>
      </c>
      <c r="R288" s="12" t="s">
        <v>499</v>
      </c>
    </row>
    <row r="289" spans="1:18" x14ac:dyDescent="0.35">
      <c r="A289" s="12">
        <v>22</v>
      </c>
      <c r="B289" s="12" t="s">
        <v>490</v>
      </c>
      <c r="C289" s="12">
        <v>2023</v>
      </c>
      <c r="D289" s="12" t="s">
        <v>491</v>
      </c>
      <c r="E289" s="12" t="s">
        <v>492</v>
      </c>
      <c r="F289" s="12" t="s">
        <v>493</v>
      </c>
      <c r="G289" s="12" t="s">
        <v>494</v>
      </c>
      <c r="H289" s="12" t="s">
        <v>495</v>
      </c>
      <c r="I289" s="12">
        <v>43.845236737838199</v>
      </c>
      <c r="J289" s="16">
        <v>-58.933498628192702</v>
      </c>
      <c r="K289" s="12" t="s">
        <v>41</v>
      </c>
      <c r="L289" s="12" t="s">
        <v>42</v>
      </c>
      <c r="M289" s="12" t="s">
        <v>497</v>
      </c>
      <c r="N289" s="12">
        <v>40354</v>
      </c>
      <c r="O289" s="12" t="s">
        <v>506</v>
      </c>
      <c r="P289" s="12">
        <v>40354</v>
      </c>
      <c r="Q289" s="12" t="s">
        <v>46</v>
      </c>
      <c r="R289" s="12" t="s">
        <v>499</v>
      </c>
    </row>
    <row r="290" spans="1:18" x14ac:dyDescent="0.35">
      <c r="A290" s="12">
        <v>22</v>
      </c>
      <c r="B290" s="12" t="s">
        <v>490</v>
      </c>
      <c r="C290" s="12">
        <v>2023</v>
      </c>
      <c r="D290" s="12" t="s">
        <v>491</v>
      </c>
      <c r="E290" s="12" t="s">
        <v>492</v>
      </c>
      <c r="F290" s="12" t="s">
        <v>493</v>
      </c>
      <c r="G290" s="12" t="s">
        <v>494</v>
      </c>
      <c r="H290" s="12" t="s">
        <v>500</v>
      </c>
      <c r="I290" s="12">
        <v>44.019857000000002</v>
      </c>
      <c r="J290" s="16">
        <v>-58.420023</v>
      </c>
      <c r="K290" s="12" t="s">
        <v>41</v>
      </c>
      <c r="L290" s="12" t="s">
        <v>42</v>
      </c>
      <c r="M290" s="12" t="s">
        <v>497</v>
      </c>
      <c r="N290" s="12">
        <v>21534</v>
      </c>
      <c r="O290" s="12" t="s">
        <v>506</v>
      </c>
      <c r="P290" s="12">
        <v>21534</v>
      </c>
      <c r="Q290" s="12" t="s">
        <v>46</v>
      </c>
      <c r="R290" s="12" t="s">
        <v>502</v>
      </c>
    </row>
    <row r="291" spans="1:18" x14ac:dyDescent="0.35">
      <c r="A291" s="12">
        <v>24</v>
      </c>
      <c r="B291" s="12" t="s">
        <v>509</v>
      </c>
      <c r="C291" s="12">
        <v>2023</v>
      </c>
      <c r="D291" s="12" t="s">
        <v>510</v>
      </c>
      <c r="E291" s="12" t="s">
        <v>511</v>
      </c>
      <c r="F291" s="12" t="s">
        <v>512</v>
      </c>
      <c r="G291" s="12" t="s">
        <v>25</v>
      </c>
      <c r="H291" s="12" t="s">
        <v>513</v>
      </c>
      <c r="I291" s="30">
        <v>74.278000000000006</v>
      </c>
      <c r="J291" s="30">
        <v>-98.406000000000006</v>
      </c>
      <c r="K291" s="12" t="s">
        <v>514</v>
      </c>
      <c r="L291" s="12" t="s">
        <v>42</v>
      </c>
      <c r="M291" s="12" t="s">
        <v>517</v>
      </c>
      <c r="N291" s="12">
        <v>122.51</v>
      </c>
      <c r="O291" s="12" t="s">
        <v>198</v>
      </c>
      <c r="P291" s="12">
        <v>122.51</v>
      </c>
      <c r="Q291" s="12" t="s">
        <v>59</v>
      </c>
      <c r="R291" s="12" t="s">
        <v>518</v>
      </c>
    </row>
    <row r="292" spans="1:18" x14ac:dyDescent="0.35">
      <c r="A292" s="12">
        <v>24</v>
      </c>
      <c r="B292" s="12" t="s">
        <v>509</v>
      </c>
      <c r="C292" s="12">
        <v>2023</v>
      </c>
      <c r="D292" s="12" t="s">
        <v>510</v>
      </c>
      <c r="E292" s="12" t="s">
        <v>511</v>
      </c>
      <c r="F292" s="12" t="s">
        <v>512</v>
      </c>
      <c r="G292" s="12" t="s">
        <v>25</v>
      </c>
      <c r="H292" s="12" t="s">
        <v>513</v>
      </c>
      <c r="I292" s="30">
        <v>73.912999999999997</v>
      </c>
      <c r="J292" s="30">
        <v>-96.78</v>
      </c>
      <c r="K292" s="12" t="s">
        <v>514</v>
      </c>
      <c r="L292" s="12" t="s">
        <v>42</v>
      </c>
      <c r="M292" s="12" t="s">
        <v>517</v>
      </c>
      <c r="N292" s="12">
        <v>5.2</v>
      </c>
      <c r="O292" s="12" t="s">
        <v>198</v>
      </c>
      <c r="P292" s="12">
        <v>5.2</v>
      </c>
      <c r="Q292" s="12" t="s">
        <v>59</v>
      </c>
      <c r="R292" s="12" t="s">
        <v>518</v>
      </c>
    </row>
    <row r="293" spans="1:18" x14ac:dyDescent="0.35">
      <c r="A293" s="12">
        <v>24</v>
      </c>
      <c r="B293" s="12" t="s">
        <v>509</v>
      </c>
      <c r="C293" s="12">
        <v>2023</v>
      </c>
      <c r="D293" s="12" t="s">
        <v>510</v>
      </c>
      <c r="E293" s="12" t="s">
        <v>511</v>
      </c>
      <c r="F293" s="12" t="s">
        <v>512</v>
      </c>
      <c r="G293" s="12" t="s">
        <v>25</v>
      </c>
      <c r="H293" s="12" t="s">
        <v>513</v>
      </c>
      <c r="I293" s="31">
        <v>74.099999999999994</v>
      </c>
      <c r="J293" s="30">
        <v>-94.275999999999996</v>
      </c>
      <c r="K293" s="12" t="s">
        <v>514</v>
      </c>
      <c r="L293" s="12" t="s">
        <v>42</v>
      </c>
      <c r="M293" s="12" t="s">
        <v>517</v>
      </c>
      <c r="N293" s="12">
        <f>2.26+1.2</f>
        <v>3.46</v>
      </c>
      <c r="O293" s="12" t="s">
        <v>198</v>
      </c>
      <c r="P293" s="12">
        <v>2.2599999999999998</v>
      </c>
      <c r="Q293" s="12" t="s">
        <v>59</v>
      </c>
      <c r="R293" s="12" t="s">
        <v>518</v>
      </c>
    </row>
    <row r="294" spans="1:18" x14ac:dyDescent="0.35">
      <c r="A294" s="12">
        <v>24</v>
      </c>
      <c r="B294" s="12" t="s">
        <v>509</v>
      </c>
      <c r="C294" s="12">
        <v>2023</v>
      </c>
      <c r="D294" s="12" t="s">
        <v>510</v>
      </c>
      <c r="E294" s="12" t="s">
        <v>511</v>
      </c>
      <c r="F294" s="12" t="s">
        <v>512</v>
      </c>
      <c r="G294" s="12" t="s">
        <v>25</v>
      </c>
      <c r="H294" s="12" t="s">
        <v>513</v>
      </c>
      <c r="I294" s="30">
        <v>73.352000000000004</v>
      </c>
      <c r="J294" s="30">
        <v>-89.299000000000007</v>
      </c>
      <c r="K294" s="12" t="s">
        <v>514</v>
      </c>
      <c r="L294" s="12" t="s">
        <v>42</v>
      </c>
      <c r="M294" s="12" t="s">
        <v>517</v>
      </c>
      <c r="N294" s="12">
        <f>4+7.97</f>
        <v>11.969999999999999</v>
      </c>
      <c r="O294" s="12" t="s">
        <v>198</v>
      </c>
      <c r="P294" s="12">
        <v>4</v>
      </c>
      <c r="Q294" s="12" t="s">
        <v>59</v>
      </c>
      <c r="R294" s="12" t="s">
        <v>518</v>
      </c>
    </row>
    <row r="295" spans="1:18" x14ac:dyDescent="0.35">
      <c r="A295" s="12">
        <v>24</v>
      </c>
      <c r="B295" s="12" t="s">
        <v>509</v>
      </c>
      <c r="C295" s="12">
        <v>2023</v>
      </c>
      <c r="D295" s="12" t="s">
        <v>510</v>
      </c>
      <c r="E295" s="12" t="s">
        <v>511</v>
      </c>
      <c r="F295" s="12" t="s">
        <v>512</v>
      </c>
      <c r="G295" s="12" t="s">
        <v>25</v>
      </c>
      <c r="H295" s="12" t="s">
        <v>513</v>
      </c>
      <c r="I295" s="30">
        <v>73.352000000000004</v>
      </c>
      <c r="J295" s="30">
        <v>-90.299000000000007</v>
      </c>
      <c r="K295" s="12" t="s">
        <v>514</v>
      </c>
      <c r="L295" s="12" t="s">
        <v>42</v>
      </c>
      <c r="M295" s="12" t="s">
        <v>517</v>
      </c>
      <c r="N295" s="12">
        <f>20.22+19.52</f>
        <v>39.739999999999995</v>
      </c>
      <c r="O295" s="12" t="s">
        <v>198</v>
      </c>
      <c r="P295" s="12">
        <v>20.22</v>
      </c>
      <c r="Q295" s="12" t="s">
        <v>59</v>
      </c>
      <c r="R295" s="12" t="s">
        <v>518</v>
      </c>
    </row>
    <row r="296" spans="1:18" x14ac:dyDescent="0.35">
      <c r="A296" s="12">
        <v>24</v>
      </c>
      <c r="B296" s="12" t="s">
        <v>509</v>
      </c>
      <c r="C296" s="12">
        <v>2023</v>
      </c>
      <c r="D296" s="12" t="s">
        <v>510</v>
      </c>
      <c r="E296" s="12" t="s">
        <v>511</v>
      </c>
      <c r="F296" s="12" t="s">
        <v>512</v>
      </c>
      <c r="G296" s="12" t="s">
        <v>471</v>
      </c>
      <c r="H296" s="12" t="s">
        <v>519</v>
      </c>
      <c r="I296" s="30">
        <v>69.971999999999994</v>
      </c>
      <c r="J296" s="30">
        <v>-138.69499999999999</v>
      </c>
      <c r="K296" s="12" t="s">
        <v>41</v>
      </c>
      <c r="L296" s="12" t="s">
        <v>42</v>
      </c>
      <c r="M296" s="12" t="s">
        <v>517</v>
      </c>
      <c r="N296" s="12">
        <v>0.66</v>
      </c>
      <c r="O296" s="12" t="s">
        <v>198</v>
      </c>
      <c r="P296" s="12">
        <v>0.66</v>
      </c>
      <c r="Q296" s="12" t="s">
        <v>59</v>
      </c>
      <c r="R296" s="12" t="s">
        <v>518</v>
      </c>
    </row>
    <row r="297" spans="1:18" x14ac:dyDescent="0.35">
      <c r="A297" s="12">
        <v>25</v>
      </c>
      <c r="B297" s="12" t="s">
        <v>520</v>
      </c>
      <c r="C297" s="12">
        <v>2025</v>
      </c>
      <c r="D297" s="12" t="s">
        <v>521</v>
      </c>
      <c r="E297" s="13" t="s">
        <v>522</v>
      </c>
      <c r="F297" s="14" t="s">
        <v>523</v>
      </c>
      <c r="G297" s="12" t="s">
        <v>39</v>
      </c>
      <c r="H297" s="14" t="s">
        <v>524</v>
      </c>
      <c r="I297" s="12">
        <v>80.207999999999998</v>
      </c>
      <c r="J297" s="12">
        <v>-71.240700000000004</v>
      </c>
      <c r="K297" s="12" t="s">
        <v>103</v>
      </c>
      <c r="L297" s="12" t="s">
        <v>223</v>
      </c>
      <c r="M297" s="12" t="s">
        <v>527</v>
      </c>
      <c r="N297" s="12">
        <v>0.35</v>
      </c>
      <c r="O297" s="12" t="s">
        <v>528</v>
      </c>
      <c r="P297" s="12">
        <f t="shared" ref="P297:P303" si="6">N297*1000</f>
        <v>350</v>
      </c>
      <c r="Q297" s="12" t="s">
        <v>107</v>
      </c>
      <c r="R297" s="12" t="s">
        <v>529</v>
      </c>
    </row>
    <row r="298" spans="1:18" x14ac:dyDescent="0.35">
      <c r="A298" s="12">
        <v>25</v>
      </c>
      <c r="B298" s="12" t="s">
        <v>520</v>
      </c>
      <c r="C298" s="12">
        <v>2025</v>
      </c>
      <c r="D298" s="12" t="s">
        <v>521</v>
      </c>
      <c r="E298" s="13" t="s">
        <v>522</v>
      </c>
      <c r="F298" s="14" t="s">
        <v>523</v>
      </c>
      <c r="G298" s="12" t="s">
        <v>39</v>
      </c>
      <c r="H298" s="14" t="s">
        <v>550</v>
      </c>
      <c r="I298" s="12">
        <v>66.671899999999994</v>
      </c>
      <c r="J298" s="12">
        <v>-59.563000000000002</v>
      </c>
      <c r="K298" s="12" t="s">
        <v>103</v>
      </c>
      <c r="L298" s="12" t="s">
        <v>42</v>
      </c>
      <c r="M298" s="12" t="s">
        <v>527</v>
      </c>
      <c r="N298" s="12">
        <v>0.15</v>
      </c>
      <c r="O298" s="12" t="s">
        <v>528</v>
      </c>
      <c r="P298" s="12">
        <f t="shared" si="6"/>
        <v>150</v>
      </c>
      <c r="Q298" s="12" t="s">
        <v>107</v>
      </c>
      <c r="R298" s="12" t="s">
        <v>533</v>
      </c>
    </row>
    <row r="299" spans="1:18" x14ac:dyDescent="0.35">
      <c r="A299" s="12">
        <v>25</v>
      </c>
      <c r="B299" s="12" t="s">
        <v>520</v>
      </c>
      <c r="C299" s="12">
        <v>2025</v>
      </c>
      <c r="D299" s="12" t="s">
        <v>521</v>
      </c>
      <c r="E299" s="13" t="s">
        <v>522</v>
      </c>
      <c r="F299" s="14" t="s">
        <v>523</v>
      </c>
      <c r="G299" s="12" t="s">
        <v>25</v>
      </c>
      <c r="H299" s="14" t="s">
        <v>551</v>
      </c>
      <c r="I299" s="12">
        <v>63.207999999999998</v>
      </c>
      <c r="J299" s="12">
        <v>-83.796999999999997</v>
      </c>
      <c r="K299" s="12" t="s">
        <v>103</v>
      </c>
      <c r="L299" s="12" t="s">
        <v>42</v>
      </c>
      <c r="M299" s="12" t="s">
        <v>527</v>
      </c>
      <c r="N299" s="12">
        <v>1.1499999999999999</v>
      </c>
      <c r="O299" s="12" t="s">
        <v>528</v>
      </c>
      <c r="P299" s="12">
        <f t="shared" si="6"/>
        <v>1150</v>
      </c>
      <c r="Q299" s="12" t="s">
        <v>107</v>
      </c>
      <c r="R299" s="12" t="s">
        <v>533</v>
      </c>
    </row>
    <row r="300" spans="1:18" x14ac:dyDescent="0.35">
      <c r="A300" s="12">
        <v>25</v>
      </c>
      <c r="B300" s="12" t="s">
        <v>520</v>
      </c>
      <c r="C300" s="12">
        <v>2025</v>
      </c>
      <c r="D300" s="12" t="s">
        <v>521</v>
      </c>
      <c r="E300" s="13" t="s">
        <v>522</v>
      </c>
      <c r="F300" s="14" t="s">
        <v>523</v>
      </c>
      <c r="G300" s="12" t="s">
        <v>86</v>
      </c>
      <c r="H300" s="14" t="s">
        <v>561</v>
      </c>
      <c r="I300" s="12">
        <v>46.369799999999998</v>
      </c>
      <c r="J300" s="12">
        <v>-81.049700000000001</v>
      </c>
      <c r="K300" s="12" t="s">
        <v>103</v>
      </c>
      <c r="L300" s="12" t="s">
        <v>28</v>
      </c>
      <c r="M300" s="12" t="s">
        <v>527</v>
      </c>
      <c r="N300" s="12">
        <v>0.82</v>
      </c>
      <c r="O300" s="12" t="s">
        <v>528</v>
      </c>
      <c r="P300" s="12">
        <f t="shared" si="6"/>
        <v>820</v>
      </c>
      <c r="Q300" s="12" t="s">
        <v>107</v>
      </c>
      <c r="R300" s="12" t="s">
        <v>533</v>
      </c>
    </row>
    <row r="301" spans="1:18" x14ac:dyDescent="0.35">
      <c r="A301" s="12">
        <v>25</v>
      </c>
      <c r="B301" s="12" t="s">
        <v>520</v>
      </c>
      <c r="C301" s="12">
        <v>2025</v>
      </c>
      <c r="D301" s="12" t="s">
        <v>521</v>
      </c>
      <c r="E301" s="13" t="s">
        <v>522</v>
      </c>
      <c r="F301" s="14" t="s">
        <v>523</v>
      </c>
      <c r="G301" s="12" t="s">
        <v>86</v>
      </c>
      <c r="H301" s="14" t="s">
        <v>571</v>
      </c>
      <c r="I301" s="12">
        <v>43.288800000000002</v>
      </c>
      <c r="J301" s="12">
        <v>-79.836299999999994</v>
      </c>
      <c r="K301" s="12" t="s">
        <v>103</v>
      </c>
      <c r="L301" s="12" t="s">
        <v>28</v>
      </c>
      <c r="M301" s="12" t="s">
        <v>527</v>
      </c>
      <c r="N301" s="12">
        <v>0.51</v>
      </c>
      <c r="O301" s="12" t="s">
        <v>528</v>
      </c>
      <c r="P301" s="12">
        <f t="shared" si="6"/>
        <v>510</v>
      </c>
      <c r="Q301" s="12" t="s">
        <v>107</v>
      </c>
      <c r="R301" s="12" t="s">
        <v>533</v>
      </c>
    </row>
    <row r="302" spans="1:18" x14ac:dyDescent="0.35">
      <c r="A302" s="12">
        <v>25</v>
      </c>
      <c r="B302" s="12" t="s">
        <v>520</v>
      </c>
      <c r="C302" s="12">
        <v>2025</v>
      </c>
      <c r="D302" s="12" t="s">
        <v>521</v>
      </c>
      <c r="E302" s="13" t="s">
        <v>522</v>
      </c>
      <c r="F302" s="14" t="s">
        <v>523</v>
      </c>
      <c r="G302" s="12" t="s">
        <v>86</v>
      </c>
      <c r="H302" s="14" t="s">
        <v>581</v>
      </c>
      <c r="I302" s="12">
        <v>46.4863</v>
      </c>
      <c r="J302" s="12">
        <v>-84.116399999999999</v>
      </c>
      <c r="K302" s="12" t="s">
        <v>103</v>
      </c>
      <c r="L302" s="12" t="s">
        <v>28</v>
      </c>
      <c r="M302" s="12" t="s">
        <v>527</v>
      </c>
      <c r="N302" s="12">
        <v>0.14000000000000001</v>
      </c>
      <c r="O302" s="12" t="s">
        <v>528</v>
      </c>
      <c r="P302" s="12">
        <f t="shared" si="6"/>
        <v>140</v>
      </c>
      <c r="Q302" s="12" t="s">
        <v>107</v>
      </c>
      <c r="R302" s="12" t="s">
        <v>533</v>
      </c>
    </row>
    <row r="303" spans="1:18" x14ac:dyDescent="0.35">
      <c r="A303" s="12">
        <v>25</v>
      </c>
      <c r="B303" s="12" t="s">
        <v>520</v>
      </c>
      <c r="C303" s="12">
        <v>2025</v>
      </c>
      <c r="D303" s="12" t="s">
        <v>521</v>
      </c>
      <c r="E303" s="13" t="s">
        <v>522</v>
      </c>
      <c r="F303" s="14" t="s">
        <v>523</v>
      </c>
      <c r="G303" s="12" t="s">
        <v>86</v>
      </c>
      <c r="H303" s="14" t="s">
        <v>585</v>
      </c>
      <c r="I303" s="12">
        <v>43.640999999999998</v>
      </c>
      <c r="J303" s="12">
        <v>-79.466200000000001</v>
      </c>
      <c r="K303" s="12" t="s">
        <v>103</v>
      </c>
      <c r="L303" s="12" t="s">
        <v>28</v>
      </c>
      <c r="M303" s="12" t="s">
        <v>527</v>
      </c>
      <c r="N303" s="12">
        <v>2.7</v>
      </c>
      <c r="O303" s="12" t="s">
        <v>528</v>
      </c>
      <c r="P303" s="12">
        <f t="shared" si="6"/>
        <v>2700</v>
      </c>
      <c r="Q303" s="12" t="s">
        <v>107</v>
      </c>
      <c r="R303" s="12" t="s">
        <v>533</v>
      </c>
    </row>
    <row r="304" spans="1:18" x14ac:dyDescent="0.35">
      <c r="A304" s="12">
        <v>26</v>
      </c>
      <c r="B304" s="12" t="s">
        <v>590</v>
      </c>
      <c r="C304" s="12">
        <v>2021</v>
      </c>
      <c r="D304" s="12" t="s">
        <v>420</v>
      </c>
      <c r="E304" s="12" t="s">
        <v>591</v>
      </c>
      <c r="F304" s="12" t="s">
        <v>592</v>
      </c>
      <c r="G304" s="12" t="s">
        <v>54</v>
      </c>
      <c r="H304" s="12" t="s">
        <v>593</v>
      </c>
      <c r="I304" s="28">
        <v>48.763890000000004</v>
      </c>
      <c r="J304" s="28">
        <v>-123.62083</v>
      </c>
      <c r="K304" s="12" t="s">
        <v>103</v>
      </c>
      <c r="L304" s="12" t="s">
        <v>163</v>
      </c>
      <c r="M304" s="12" t="s">
        <v>595</v>
      </c>
      <c r="N304" s="12">
        <v>14.7</v>
      </c>
      <c r="O304" s="12" t="s">
        <v>596</v>
      </c>
      <c r="P304" s="12">
        <f>(6.8+7.9)</f>
        <v>14.7</v>
      </c>
      <c r="Q304" s="12" t="s">
        <v>107</v>
      </c>
      <c r="R304" s="12" t="s">
        <v>597</v>
      </c>
    </row>
    <row r="305" spans="1:18" x14ac:dyDescent="0.35">
      <c r="A305" s="12">
        <v>28</v>
      </c>
      <c r="B305" s="12" t="s">
        <v>618</v>
      </c>
      <c r="C305" s="12">
        <v>2021</v>
      </c>
      <c r="D305" s="12" t="s">
        <v>619</v>
      </c>
      <c r="E305" s="13" t="s">
        <v>620</v>
      </c>
      <c r="F305" s="14" t="s">
        <v>621</v>
      </c>
      <c r="G305" s="14" t="s">
        <v>86</v>
      </c>
      <c r="H305" s="12" t="s">
        <v>622</v>
      </c>
      <c r="I305" s="12">
        <v>44.364434000000003</v>
      </c>
      <c r="J305" s="12">
        <v>-79.387765999999999</v>
      </c>
      <c r="K305" s="12" t="s">
        <v>41</v>
      </c>
      <c r="L305" s="12" t="s">
        <v>28</v>
      </c>
      <c r="M305" s="12" t="s">
        <v>624</v>
      </c>
      <c r="N305" s="12">
        <v>0.70422535211267612</v>
      </c>
      <c r="O305" s="12" t="s">
        <v>198</v>
      </c>
      <c r="P305" s="12">
        <v>0.70422535211267612</v>
      </c>
      <c r="Q305" s="12" t="s">
        <v>198</v>
      </c>
      <c r="R305" s="12">
        <v>2018</v>
      </c>
    </row>
    <row r="306" spans="1:18" x14ac:dyDescent="0.35">
      <c r="A306" s="12">
        <v>28</v>
      </c>
      <c r="B306" s="12" t="s">
        <v>618</v>
      </c>
      <c r="C306" s="12">
        <v>2021</v>
      </c>
      <c r="D306" s="12" t="s">
        <v>619</v>
      </c>
      <c r="E306" s="13" t="s">
        <v>620</v>
      </c>
      <c r="F306" s="14" t="s">
        <v>621</v>
      </c>
      <c r="G306" s="14" t="s">
        <v>86</v>
      </c>
      <c r="H306" s="12" t="s">
        <v>625</v>
      </c>
      <c r="I306" s="12">
        <v>44.408538</v>
      </c>
      <c r="J306" s="12">
        <v>-79.237879000000007</v>
      </c>
      <c r="K306" s="12" t="s">
        <v>41</v>
      </c>
      <c r="L306" s="12" t="s">
        <v>28</v>
      </c>
      <c r="M306" s="12" t="s">
        <v>624</v>
      </c>
      <c r="N306" s="12">
        <v>0.23584905660377356</v>
      </c>
      <c r="O306" s="12" t="s">
        <v>198</v>
      </c>
      <c r="P306" s="12">
        <v>0.23584905660377356</v>
      </c>
      <c r="Q306" s="12" t="s">
        <v>198</v>
      </c>
      <c r="R306" s="12">
        <v>2018</v>
      </c>
    </row>
    <row r="307" spans="1:18" x14ac:dyDescent="0.35">
      <c r="A307" s="12">
        <v>28</v>
      </c>
      <c r="B307" s="12" t="s">
        <v>618</v>
      </c>
      <c r="C307" s="12">
        <v>2021</v>
      </c>
      <c r="D307" s="12" t="s">
        <v>619</v>
      </c>
      <c r="E307" s="13" t="s">
        <v>620</v>
      </c>
      <c r="F307" s="14" t="s">
        <v>621</v>
      </c>
      <c r="G307" s="14" t="s">
        <v>86</v>
      </c>
      <c r="H307" s="12" t="s">
        <v>626</v>
      </c>
      <c r="I307" s="12">
        <v>44.163209999999999</v>
      </c>
      <c r="J307" s="12">
        <v>-79.515874999999994</v>
      </c>
      <c r="K307" s="12" t="s">
        <v>41</v>
      </c>
      <c r="L307" s="12" t="s">
        <v>28</v>
      </c>
      <c r="M307" s="12" t="s">
        <v>624</v>
      </c>
      <c r="N307" s="12">
        <v>0.23474178403755869</v>
      </c>
      <c r="O307" s="12" t="s">
        <v>198</v>
      </c>
      <c r="P307" s="12">
        <v>0.23474178403755869</v>
      </c>
      <c r="Q307" s="12" t="s">
        <v>198</v>
      </c>
      <c r="R307" s="12">
        <v>2018</v>
      </c>
    </row>
    <row r="308" spans="1:18" x14ac:dyDescent="0.35">
      <c r="A308" s="12">
        <v>28</v>
      </c>
      <c r="B308" s="12" t="s">
        <v>618</v>
      </c>
      <c r="C308" s="12">
        <v>2021</v>
      </c>
      <c r="D308" s="12" t="s">
        <v>619</v>
      </c>
      <c r="E308" s="13" t="s">
        <v>620</v>
      </c>
      <c r="F308" s="14" t="s">
        <v>621</v>
      </c>
      <c r="G308" s="14" t="s">
        <v>86</v>
      </c>
      <c r="H308" s="12" t="s">
        <v>627</v>
      </c>
      <c r="I308" s="12">
        <v>44.163691999999998</v>
      </c>
      <c r="J308" s="12">
        <v>-79.518364000000005</v>
      </c>
      <c r="K308" s="12" t="s">
        <v>41</v>
      </c>
      <c r="L308" s="12" t="s">
        <v>28</v>
      </c>
      <c r="M308" s="12" t="s">
        <v>624</v>
      </c>
      <c r="N308" s="12">
        <v>0.23364485981308411</v>
      </c>
      <c r="O308" s="12" t="s">
        <v>198</v>
      </c>
      <c r="P308" s="12">
        <v>0.23364485981308411</v>
      </c>
      <c r="Q308" s="12" t="s">
        <v>198</v>
      </c>
      <c r="R308" s="12">
        <v>2018</v>
      </c>
    </row>
    <row r="309" spans="1:18" x14ac:dyDescent="0.35">
      <c r="A309" s="12">
        <v>28</v>
      </c>
      <c r="B309" s="12" t="s">
        <v>618</v>
      </c>
      <c r="C309" s="12">
        <v>2021</v>
      </c>
      <c r="D309" s="12" t="s">
        <v>619</v>
      </c>
      <c r="E309" s="13" t="s">
        <v>620</v>
      </c>
      <c r="F309" s="14" t="s">
        <v>621</v>
      </c>
      <c r="G309" s="14" t="s">
        <v>86</v>
      </c>
      <c r="H309" s="12" t="s">
        <v>628</v>
      </c>
      <c r="I309" s="12">
        <v>44.243048999999999</v>
      </c>
      <c r="J309" s="12">
        <v>-79.511942000000005</v>
      </c>
      <c r="K309" s="12" t="s">
        <v>41</v>
      </c>
      <c r="L309" s="12" t="s">
        <v>28</v>
      </c>
      <c r="M309" s="12" t="s">
        <v>624</v>
      </c>
      <c r="N309" s="12">
        <v>0.23364485981308411</v>
      </c>
      <c r="O309" s="12" t="s">
        <v>198</v>
      </c>
      <c r="P309" s="12">
        <v>0.23364485981308411</v>
      </c>
      <c r="Q309" s="12" t="s">
        <v>198</v>
      </c>
      <c r="R309" s="12">
        <v>2018</v>
      </c>
    </row>
    <row r="310" spans="1:18" x14ac:dyDescent="0.35">
      <c r="A310" s="12">
        <v>28</v>
      </c>
      <c r="B310" s="12" t="s">
        <v>618</v>
      </c>
      <c r="C310" s="12">
        <v>2021</v>
      </c>
      <c r="D310" s="12" t="s">
        <v>619</v>
      </c>
      <c r="E310" s="13" t="s">
        <v>620</v>
      </c>
      <c r="F310" s="14" t="s">
        <v>621</v>
      </c>
      <c r="G310" s="14" t="s">
        <v>86</v>
      </c>
      <c r="H310" s="12" t="s">
        <v>629</v>
      </c>
      <c r="I310" s="12">
        <v>44.442886999999999</v>
      </c>
      <c r="J310" s="12">
        <v>-79.444434000000001</v>
      </c>
      <c r="K310" s="12" t="s">
        <v>41</v>
      </c>
      <c r="L310" s="12" t="s">
        <v>28</v>
      </c>
      <c r="M310" s="12" t="s">
        <v>624</v>
      </c>
      <c r="N310" s="12">
        <v>0.23668639053254439</v>
      </c>
      <c r="O310" s="12" t="s">
        <v>198</v>
      </c>
      <c r="P310" s="12">
        <v>0.23668639053254439</v>
      </c>
      <c r="Q310" s="12" t="s">
        <v>198</v>
      </c>
      <c r="R310" s="12">
        <v>2018</v>
      </c>
    </row>
    <row r="311" spans="1:18" x14ac:dyDescent="0.35">
      <c r="A311" s="12">
        <v>28</v>
      </c>
      <c r="B311" s="12" t="s">
        <v>618</v>
      </c>
      <c r="C311" s="12">
        <v>2021</v>
      </c>
      <c r="D311" s="12" t="s">
        <v>619</v>
      </c>
      <c r="E311" s="13" t="s">
        <v>620</v>
      </c>
      <c r="F311" s="14" t="s">
        <v>621</v>
      </c>
      <c r="G311" s="14" t="s">
        <v>86</v>
      </c>
      <c r="H311" s="12" t="s">
        <v>630</v>
      </c>
      <c r="I311" s="12">
        <v>44.382586000000003</v>
      </c>
      <c r="J311" s="12">
        <v>-79.654134999999997</v>
      </c>
      <c r="K311" s="12" t="s">
        <v>41</v>
      </c>
      <c r="L311" s="12" t="s">
        <v>28</v>
      </c>
      <c r="M311" s="12" t="s">
        <v>624</v>
      </c>
      <c r="N311" s="12">
        <v>0</v>
      </c>
      <c r="O311" s="12" t="s">
        <v>198</v>
      </c>
      <c r="P311" s="12">
        <v>0</v>
      </c>
      <c r="Q311" s="12" t="s">
        <v>198</v>
      </c>
      <c r="R311" s="12">
        <v>2018</v>
      </c>
    </row>
    <row r="312" spans="1:18" x14ac:dyDescent="0.35">
      <c r="A312" s="12">
        <v>28</v>
      </c>
      <c r="B312" s="12" t="s">
        <v>618</v>
      </c>
      <c r="C312" s="12">
        <v>2021</v>
      </c>
      <c r="D312" s="12" t="s">
        <v>619</v>
      </c>
      <c r="E312" s="13" t="s">
        <v>620</v>
      </c>
      <c r="F312" s="14" t="s">
        <v>621</v>
      </c>
      <c r="G312" s="14" t="s">
        <v>86</v>
      </c>
      <c r="H312" s="12" t="s">
        <v>631</v>
      </c>
      <c r="I312" s="12">
        <v>44.577945</v>
      </c>
      <c r="J312" s="12">
        <v>-79.401259999999994</v>
      </c>
      <c r="K312" s="12" t="s">
        <v>41</v>
      </c>
      <c r="L312" s="12" t="s">
        <v>28</v>
      </c>
      <c r="M312" s="12" t="s">
        <v>624</v>
      </c>
      <c r="N312" s="12">
        <v>0.70754716981132071</v>
      </c>
      <c r="O312" s="12" t="s">
        <v>198</v>
      </c>
      <c r="P312" s="12">
        <v>0.70754716981132071</v>
      </c>
      <c r="Q312" s="12" t="s">
        <v>198</v>
      </c>
      <c r="R312" s="12">
        <v>2018</v>
      </c>
    </row>
    <row r="313" spans="1:18" x14ac:dyDescent="0.35">
      <c r="A313" s="12">
        <v>28</v>
      </c>
      <c r="B313" s="12" t="s">
        <v>618</v>
      </c>
      <c r="C313" s="12">
        <v>2021</v>
      </c>
      <c r="D313" s="12" t="s">
        <v>619</v>
      </c>
      <c r="E313" s="13" t="s">
        <v>620</v>
      </c>
      <c r="F313" s="14" t="s">
        <v>621</v>
      </c>
      <c r="G313" s="14" t="s">
        <v>86</v>
      </c>
      <c r="H313" s="12" t="s">
        <v>622</v>
      </c>
      <c r="I313" s="12">
        <v>44.364434000000003</v>
      </c>
      <c r="J313" s="12">
        <v>-79.387765999999999</v>
      </c>
      <c r="K313" s="12" t="s">
        <v>103</v>
      </c>
      <c r="L313" s="12" t="s">
        <v>28</v>
      </c>
      <c r="M313" s="12" t="s">
        <v>624</v>
      </c>
      <c r="N313" s="12">
        <v>0.45584045584045585</v>
      </c>
      <c r="O313" s="12" t="s">
        <v>634</v>
      </c>
      <c r="P313" s="12">
        <f t="shared" ref="P313:P320" si="7">N313*1000</f>
        <v>455.84045584045583</v>
      </c>
      <c r="Q313" s="12" t="s">
        <v>107</v>
      </c>
      <c r="R313" s="12">
        <v>2018</v>
      </c>
    </row>
    <row r="314" spans="1:18" x14ac:dyDescent="0.35">
      <c r="A314" s="12">
        <v>28</v>
      </c>
      <c r="B314" s="12" t="s">
        <v>618</v>
      </c>
      <c r="C314" s="12">
        <v>2021</v>
      </c>
      <c r="D314" s="12" t="s">
        <v>619</v>
      </c>
      <c r="E314" s="13" t="s">
        <v>620</v>
      </c>
      <c r="F314" s="14" t="s">
        <v>621</v>
      </c>
      <c r="G314" s="14" t="s">
        <v>86</v>
      </c>
      <c r="H314" s="12" t="s">
        <v>625</v>
      </c>
      <c r="I314" s="12">
        <v>44.408538</v>
      </c>
      <c r="J314" s="12">
        <v>-79.237879000000007</v>
      </c>
      <c r="K314" s="12" t="s">
        <v>103</v>
      </c>
      <c r="L314" s="12" t="s">
        <v>28</v>
      </c>
      <c r="M314" s="12" t="s">
        <v>624</v>
      </c>
      <c r="N314" s="12">
        <v>8.3194675540765387E-3</v>
      </c>
      <c r="O314" s="12" t="s">
        <v>634</v>
      </c>
      <c r="P314" s="12">
        <f t="shared" si="7"/>
        <v>8.3194675540765388</v>
      </c>
      <c r="Q314" s="12" t="s">
        <v>107</v>
      </c>
      <c r="R314" s="12">
        <v>2018</v>
      </c>
    </row>
    <row r="315" spans="1:18" x14ac:dyDescent="0.35">
      <c r="A315" s="12">
        <v>28</v>
      </c>
      <c r="B315" s="12" t="s">
        <v>618</v>
      </c>
      <c r="C315" s="12">
        <v>2021</v>
      </c>
      <c r="D315" s="12" t="s">
        <v>619</v>
      </c>
      <c r="E315" s="13" t="s">
        <v>620</v>
      </c>
      <c r="F315" s="14" t="s">
        <v>621</v>
      </c>
      <c r="G315" s="14" t="s">
        <v>86</v>
      </c>
      <c r="H315" s="12" t="s">
        <v>626</v>
      </c>
      <c r="I315" s="12">
        <v>44.163209999999999</v>
      </c>
      <c r="J315" s="12">
        <v>-79.515874999999994</v>
      </c>
      <c r="K315" s="12" t="s">
        <v>103</v>
      </c>
      <c r="L315" s="12" t="s">
        <v>28</v>
      </c>
      <c r="M315" s="12" t="s">
        <v>624</v>
      </c>
      <c r="N315" s="12">
        <v>0.63380281690140849</v>
      </c>
      <c r="O315" s="12" t="s">
        <v>634</v>
      </c>
      <c r="P315" s="12">
        <f t="shared" si="7"/>
        <v>633.80281690140851</v>
      </c>
      <c r="Q315" s="12" t="s">
        <v>107</v>
      </c>
      <c r="R315" s="12">
        <v>2018</v>
      </c>
    </row>
    <row r="316" spans="1:18" x14ac:dyDescent="0.35">
      <c r="A316" s="12">
        <v>28</v>
      </c>
      <c r="B316" s="12" t="s">
        <v>618</v>
      </c>
      <c r="C316" s="12">
        <v>2021</v>
      </c>
      <c r="D316" s="12" t="s">
        <v>619</v>
      </c>
      <c r="E316" s="13" t="s">
        <v>620</v>
      </c>
      <c r="F316" s="14" t="s">
        <v>621</v>
      </c>
      <c r="G316" s="14" t="s">
        <v>86</v>
      </c>
      <c r="H316" s="12" t="s">
        <v>627</v>
      </c>
      <c r="I316" s="12">
        <v>44.163691999999998</v>
      </c>
      <c r="J316" s="12">
        <v>-79.518364000000005</v>
      </c>
      <c r="K316" s="12" t="s">
        <v>103</v>
      </c>
      <c r="L316" s="12" t="s">
        <v>28</v>
      </c>
      <c r="M316" s="12" t="s">
        <v>624</v>
      </c>
      <c r="N316" s="12">
        <v>4.6082949308755762E-2</v>
      </c>
      <c r="O316" s="12" t="s">
        <v>634</v>
      </c>
      <c r="P316" s="12">
        <f t="shared" si="7"/>
        <v>46.082949308755765</v>
      </c>
      <c r="Q316" s="12" t="s">
        <v>107</v>
      </c>
      <c r="R316" s="12">
        <v>2018</v>
      </c>
    </row>
    <row r="317" spans="1:18" x14ac:dyDescent="0.35">
      <c r="A317" s="12">
        <v>28</v>
      </c>
      <c r="B317" s="12" t="s">
        <v>618</v>
      </c>
      <c r="C317" s="12">
        <v>2021</v>
      </c>
      <c r="D317" s="12" t="s">
        <v>619</v>
      </c>
      <c r="E317" s="13" t="s">
        <v>620</v>
      </c>
      <c r="F317" s="14" t="s">
        <v>621</v>
      </c>
      <c r="G317" s="14" t="s">
        <v>86</v>
      </c>
      <c r="H317" s="12" t="s">
        <v>628</v>
      </c>
      <c r="I317" s="12">
        <v>44.243048999999999</v>
      </c>
      <c r="J317" s="12">
        <v>-79.511942000000005</v>
      </c>
      <c r="K317" s="12" t="s">
        <v>103</v>
      </c>
      <c r="L317" s="12" t="s">
        <v>28</v>
      </c>
      <c r="M317" s="12" t="s">
        <v>624</v>
      </c>
      <c r="N317" s="12">
        <v>0.5027932960893855</v>
      </c>
      <c r="O317" s="12" t="s">
        <v>634</v>
      </c>
      <c r="P317" s="12">
        <f t="shared" si="7"/>
        <v>502.79329608938548</v>
      </c>
      <c r="Q317" s="12" t="s">
        <v>107</v>
      </c>
      <c r="R317" s="12">
        <v>2018</v>
      </c>
    </row>
    <row r="318" spans="1:18" x14ac:dyDescent="0.35">
      <c r="A318" s="12">
        <v>28</v>
      </c>
      <c r="B318" s="12" t="s">
        <v>618</v>
      </c>
      <c r="C318" s="12">
        <v>2021</v>
      </c>
      <c r="D318" s="12" t="s">
        <v>619</v>
      </c>
      <c r="E318" s="13" t="s">
        <v>620</v>
      </c>
      <c r="F318" s="14" t="s">
        <v>621</v>
      </c>
      <c r="G318" s="14" t="s">
        <v>86</v>
      </c>
      <c r="H318" s="12" t="s">
        <v>629</v>
      </c>
      <c r="I318" s="12">
        <v>44.442886999999999</v>
      </c>
      <c r="J318" s="12">
        <v>-79.444434000000001</v>
      </c>
      <c r="K318" s="12" t="s">
        <v>103</v>
      </c>
      <c r="L318" s="12" t="s">
        <v>28</v>
      </c>
      <c r="M318" s="12" t="s">
        <v>624</v>
      </c>
      <c r="N318" s="12">
        <v>4.2553191489361701E-2</v>
      </c>
      <c r="O318" s="12" t="s">
        <v>634</v>
      </c>
      <c r="P318" s="12">
        <f t="shared" si="7"/>
        <v>42.553191489361701</v>
      </c>
      <c r="Q318" s="12" t="s">
        <v>107</v>
      </c>
      <c r="R318" s="12">
        <v>2018</v>
      </c>
    </row>
    <row r="319" spans="1:18" x14ac:dyDescent="0.35">
      <c r="A319" s="12">
        <v>28</v>
      </c>
      <c r="B319" s="12" t="s">
        <v>618</v>
      </c>
      <c r="C319" s="12">
        <v>2021</v>
      </c>
      <c r="D319" s="12" t="s">
        <v>619</v>
      </c>
      <c r="E319" s="13" t="s">
        <v>620</v>
      </c>
      <c r="F319" s="14" t="s">
        <v>621</v>
      </c>
      <c r="G319" s="14" t="s">
        <v>86</v>
      </c>
      <c r="H319" s="12" t="s">
        <v>630</v>
      </c>
      <c r="I319" s="12">
        <v>44.382586000000003</v>
      </c>
      <c r="J319" s="12">
        <v>-79.654134999999997</v>
      </c>
      <c r="K319" s="12" t="s">
        <v>103</v>
      </c>
      <c r="L319" s="12" t="s">
        <v>28</v>
      </c>
      <c r="M319" s="12" t="s">
        <v>624</v>
      </c>
      <c r="N319" s="12">
        <v>0.20242914979757085</v>
      </c>
      <c r="O319" s="12" t="s">
        <v>634</v>
      </c>
      <c r="P319" s="12">
        <f t="shared" si="7"/>
        <v>202.42914979757086</v>
      </c>
      <c r="Q319" s="12" t="s">
        <v>107</v>
      </c>
      <c r="R319" s="12">
        <v>2018</v>
      </c>
    </row>
    <row r="320" spans="1:18" x14ac:dyDescent="0.35">
      <c r="A320" s="12">
        <v>28</v>
      </c>
      <c r="B320" s="12" t="s">
        <v>618</v>
      </c>
      <c r="C320" s="12">
        <v>2021</v>
      </c>
      <c r="D320" s="12" t="s">
        <v>619</v>
      </c>
      <c r="E320" s="13" t="s">
        <v>620</v>
      </c>
      <c r="F320" s="14" t="s">
        <v>621</v>
      </c>
      <c r="G320" s="14" t="s">
        <v>86</v>
      </c>
      <c r="H320" s="12" t="s">
        <v>631</v>
      </c>
      <c r="I320" s="12">
        <v>44.577945</v>
      </c>
      <c r="J320" s="12">
        <v>-79.401259999999994</v>
      </c>
      <c r="K320" s="12" t="s">
        <v>103</v>
      </c>
      <c r="L320" s="12" t="s">
        <v>28</v>
      </c>
      <c r="M320" s="12" t="s">
        <v>624</v>
      </c>
      <c r="N320" s="12">
        <v>0.59071729957805907</v>
      </c>
      <c r="O320" s="12" t="s">
        <v>634</v>
      </c>
      <c r="P320" s="12">
        <f t="shared" si="7"/>
        <v>590.71729957805906</v>
      </c>
      <c r="Q320" s="12" t="s">
        <v>107</v>
      </c>
      <c r="R320" s="12">
        <v>2018</v>
      </c>
    </row>
    <row r="321" spans="1:18" x14ac:dyDescent="0.35">
      <c r="A321" s="12">
        <v>28</v>
      </c>
      <c r="B321" s="12" t="s">
        <v>618</v>
      </c>
      <c r="C321" s="12">
        <v>2021</v>
      </c>
      <c r="D321" s="12" t="s">
        <v>619</v>
      </c>
      <c r="E321" s="13" t="s">
        <v>620</v>
      </c>
      <c r="F321" s="14" t="s">
        <v>621</v>
      </c>
      <c r="G321" s="14" t="s">
        <v>86</v>
      </c>
      <c r="H321" s="12" t="s">
        <v>622</v>
      </c>
      <c r="I321" s="12">
        <v>44.364434000000003</v>
      </c>
      <c r="J321" s="12">
        <v>-79.387765999999999</v>
      </c>
      <c r="K321" s="12" t="s">
        <v>41</v>
      </c>
      <c r="L321" s="12" t="s">
        <v>28</v>
      </c>
      <c r="M321" s="12" t="s">
        <v>624</v>
      </c>
      <c r="N321" s="12">
        <v>0.14297385620915032</v>
      </c>
      <c r="O321" s="12" t="s">
        <v>636</v>
      </c>
      <c r="P321" s="12">
        <f t="shared" ref="P321:P328" si="8">N321/1000</f>
        <v>1.4297385620915031E-4</v>
      </c>
      <c r="Q321" s="12" t="s">
        <v>59</v>
      </c>
      <c r="R321" s="12" t="s">
        <v>637</v>
      </c>
    </row>
    <row r="322" spans="1:18" x14ac:dyDescent="0.35">
      <c r="A322" s="12">
        <v>28</v>
      </c>
      <c r="B322" s="12" t="s">
        <v>618</v>
      </c>
      <c r="C322" s="12">
        <v>2021</v>
      </c>
      <c r="D322" s="12" t="s">
        <v>619</v>
      </c>
      <c r="E322" s="13" t="s">
        <v>620</v>
      </c>
      <c r="F322" s="14" t="s">
        <v>621</v>
      </c>
      <c r="G322" s="14" t="s">
        <v>86</v>
      </c>
      <c r="H322" s="12" t="s">
        <v>625</v>
      </c>
      <c r="I322" s="12">
        <v>44.408538</v>
      </c>
      <c r="J322" s="12">
        <v>-79.237879000000007</v>
      </c>
      <c r="K322" s="12" t="s">
        <v>41</v>
      </c>
      <c r="L322" s="12" t="s">
        <v>28</v>
      </c>
      <c r="M322" s="12" t="s">
        <v>624</v>
      </c>
      <c r="N322" s="12">
        <v>1.1458333333333333</v>
      </c>
      <c r="O322" s="12" t="s">
        <v>636</v>
      </c>
      <c r="P322" s="12">
        <f t="shared" si="8"/>
        <v>1.1458333333333333E-3</v>
      </c>
      <c r="Q322" s="12" t="s">
        <v>59</v>
      </c>
      <c r="R322" s="12" t="s">
        <v>637</v>
      </c>
    </row>
    <row r="323" spans="1:18" x14ac:dyDescent="0.35">
      <c r="A323" s="12">
        <v>28</v>
      </c>
      <c r="B323" s="12" t="s">
        <v>618</v>
      </c>
      <c r="C323" s="12">
        <v>2021</v>
      </c>
      <c r="D323" s="12" t="s">
        <v>619</v>
      </c>
      <c r="E323" s="13" t="s">
        <v>620</v>
      </c>
      <c r="F323" s="14" t="s">
        <v>621</v>
      </c>
      <c r="G323" s="14" t="s">
        <v>86</v>
      </c>
      <c r="H323" s="12" t="s">
        <v>626</v>
      </c>
      <c r="I323" s="12">
        <v>44.163209999999999</v>
      </c>
      <c r="J323" s="12">
        <v>-79.515874999999994</v>
      </c>
      <c r="K323" s="12" t="s">
        <v>41</v>
      </c>
      <c r="L323" s="12" t="s">
        <v>28</v>
      </c>
      <c r="M323" s="12" t="s">
        <v>624</v>
      </c>
      <c r="N323" s="12">
        <v>0.13757861635220126</v>
      </c>
      <c r="O323" s="12" t="s">
        <v>636</v>
      </c>
      <c r="P323" s="12">
        <f t="shared" si="8"/>
        <v>1.3757861635220125E-4</v>
      </c>
      <c r="Q323" s="12" t="s">
        <v>59</v>
      </c>
      <c r="R323" s="12" t="s">
        <v>637</v>
      </c>
    </row>
    <row r="324" spans="1:18" x14ac:dyDescent="0.35">
      <c r="A324" s="12">
        <v>28</v>
      </c>
      <c r="B324" s="12" t="s">
        <v>618</v>
      </c>
      <c r="C324" s="12">
        <v>2021</v>
      </c>
      <c r="D324" s="12" t="s">
        <v>619</v>
      </c>
      <c r="E324" s="13" t="s">
        <v>620</v>
      </c>
      <c r="F324" s="14" t="s">
        <v>621</v>
      </c>
      <c r="G324" s="14" t="s">
        <v>86</v>
      </c>
      <c r="H324" s="12" t="s">
        <v>627</v>
      </c>
      <c r="I324" s="12">
        <v>44.163691999999998</v>
      </c>
      <c r="J324" s="12">
        <v>-79.518364000000005</v>
      </c>
      <c r="K324" s="12" t="s">
        <v>41</v>
      </c>
      <c r="L324" s="12" t="s">
        <v>28</v>
      </c>
      <c r="M324" s="12" t="s">
        <v>624</v>
      </c>
      <c r="N324" s="12">
        <v>0.18028846153846154</v>
      </c>
      <c r="O324" s="12" t="s">
        <v>636</v>
      </c>
      <c r="P324" s="12">
        <f t="shared" si="8"/>
        <v>1.8028846153846155E-4</v>
      </c>
      <c r="Q324" s="12" t="s">
        <v>59</v>
      </c>
      <c r="R324" s="12" t="s">
        <v>637</v>
      </c>
    </row>
    <row r="325" spans="1:18" x14ac:dyDescent="0.35">
      <c r="A325" s="12">
        <v>28</v>
      </c>
      <c r="B325" s="12" t="s">
        <v>618</v>
      </c>
      <c r="C325" s="12">
        <v>2021</v>
      </c>
      <c r="D325" s="12" t="s">
        <v>619</v>
      </c>
      <c r="E325" s="13" t="s">
        <v>620</v>
      </c>
      <c r="F325" s="14" t="s">
        <v>621</v>
      </c>
      <c r="G325" s="14" t="s">
        <v>86</v>
      </c>
      <c r="H325" s="12" t="s">
        <v>628</v>
      </c>
      <c r="I325" s="12">
        <v>44.243048999999999</v>
      </c>
      <c r="J325" s="12">
        <v>-79.511942000000005</v>
      </c>
      <c r="K325" s="12" t="s">
        <v>41</v>
      </c>
      <c r="L325" s="12" t="s">
        <v>28</v>
      </c>
      <c r="M325" s="12" t="s">
        <v>624</v>
      </c>
      <c r="N325" s="12">
        <v>0.125</v>
      </c>
      <c r="O325" s="12" t="s">
        <v>636</v>
      </c>
      <c r="P325" s="12">
        <f t="shared" si="8"/>
        <v>1.25E-4</v>
      </c>
      <c r="Q325" s="12" t="s">
        <v>59</v>
      </c>
      <c r="R325" s="12" t="s">
        <v>637</v>
      </c>
    </row>
    <row r="326" spans="1:18" x14ac:dyDescent="0.35">
      <c r="A326" s="12">
        <v>28</v>
      </c>
      <c r="B326" s="12" t="s">
        <v>618</v>
      </c>
      <c r="C326" s="12">
        <v>2021</v>
      </c>
      <c r="D326" s="12" t="s">
        <v>619</v>
      </c>
      <c r="E326" s="13" t="s">
        <v>620</v>
      </c>
      <c r="F326" s="14" t="s">
        <v>621</v>
      </c>
      <c r="G326" s="14" t="s">
        <v>86</v>
      </c>
      <c r="H326" s="12" t="s">
        <v>629</v>
      </c>
      <c r="I326" s="12">
        <v>44.442886999999999</v>
      </c>
      <c r="J326" s="12">
        <v>-79.444434000000001</v>
      </c>
      <c r="K326" s="12" t="s">
        <v>41</v>
      </c>
      <c r="L326" s="12" t="s">
        <v>28</v>
      </c>
      <c r="M326" s="12" t="s">
        <v>624</v>
      </c>
      <c r="N326" s="12">
        <v>0.4375</v>
      </c>
      <c r="O326" s="12" t="s">
        <v>636</v>
      </c>
      <c r="P326" s="12">
        <f t="shared" si="8"/>
        <v>4.3750000000000001E-4</v>
      </c>
      <c r="Q326" s="12" t="s">
        <v>59</v>
      </c>
      <c r="R326" s="12" t="s">
        <v>637</v>
      </c>
    </row>
    <row r="327" spans="1:18" x14ac:dyDescent="0.35">
      <c r="A327" s="12">
        <v>28</v>
      </c>
      <c r="B327" s="12" t="s">
        <v>618</v>
      </c>
      <c r="C327" s="12">
        <v>2021</v>
      </c>
      <c r="D327" s="12" t="s">
        <v>619</v>
      </c>
      <c r="E327" s="13" t="s">
        <v>620</v>
      </c>
      <c r="F327" s="14" t="s">
        <v>621</v>
      </c>
      <c r="G327" s="14" t="s">
        <v>86</v>
      </c>
      <c r="H327" s="12" t="s">
        <v>630</v>
      </c>
      <c r="I327" s="12">
        <v>44.382586000000003</v>
      </c>
      <c r="J327" s="12">
        <v>-79.654134999999997</v>
      </c>
      <c r="K327" s="12" t="s">
        <v>41</v>
      </c>
      <c r="L327" s="12" t="s">
        <v>28</v>
      </c>
      <c r="M327" s="12" t="s">
        <v>624</v>
      </c>
      <c r="N327" s="12">
        <v>0.60416666666666663</v>
      </c>
      <c r="O327" s="12" t="s">
        <v>636</v>
      </c>
      <c r="P327" s="12">
        <f t="shared" si="8"/>
        <v>6.0416666666666659E-4</v>
      </c>
      <c r="Q327" s="12" t="s">
        <v>59</v>
      </c>
      <c r="R327" s="12" t="s">
        <v>637</v>
      </c>
    </row>
    <row r="328" spans="1:18" x14ac:dyDescent="0.35">
      <c r="A328" s="12">
        <v>28</v>
      </c>
      <c r="B328" s="12" t="s">
        <v>618</v>
      </c>
      <c r="C328" s="12">
        <v>2021</v>
      </c>
      <c r="D328" s="12" t="s">
        <v>619</v>
      </c>
      <c r="E328" s="13" t="s">
        <v>620</v>
      </c>
      <c r="F328" s="14" t="s">
        <v>621</v>
      </c>
      <c r="G328" s="14" t="s">
        <v>86</v>
      </c>
      <c r="H328" s="12" t="s">
        <v>631</v>
      </c>
      <c r="I328" s="12">
        <v>44.577945</v>
      </c>
      <c r="J328" s="12">
        <v>-79.401259999999994</v>
      </c>
      <c r="K328" s="12" t="s">
        <v>41</v>
      </c>
      <c r="L328" s="12" t="s">
        <v>28</v>
      </c>
      <c r="M328" s="12" t="s">
        <v>624</v>
      </c>
      <c r="N328" s="12">
        <v>0.61881188118811881</v>
      </c>
      <c r="O328" s="12" t="s">
        <v>636</v>
      </c>
      <c r="P328" s="12">
        <f t="shared" si="8"/>
        <v>6.1881188118811882E-4</v>
      </c>
      <c r="Q328" s="12" t="s">
        <v>59</v>
      </c>
      <c r="R328" s="12" t="s">
        <v>637</v>
      </c>
    </row>
    <row r="329" spans="1:18" x14ac:dyDescent="0.35">
      <c r="A329" s="12">
        <v>28</v>
      </c>
      <c r="B329" s="12" t="s">
        <v>618</v>
      </c>
      <c r="C329" s="12">
        <v>2021</v>
      </c>
      <c r="D329" s="12" t="s">
        <v>619</v>
      </c>
      <c r="E329" s="13" t="s">
        <v>620</v>
      </c>
      <c r="F329" s="14" t="s">
        <v>621</v>
      </c>
      <c r="G329" s="14" t="s">
        <v>86</v>
      </c>
      <c r="H329" s="12" t="s">
        <v>622</v>
      </c>
      <c r="I329" s="12">
        <v>44.364434000000003</v>
      </c>
      <c r="J329" s="12">
        <v>-79.387765999999999</v>
      </c>
      <c r="K329" s="12" t="s">
        <v>41</v>
      </c>
      <c r="L329" s="12" t="s">
        <v>28</v>
      </c>
      <c r="M329" s="12" t="s">
        <v>624</v>
      </c>
      <c r="N329" s="12">
        <v>0.23419203747072601</v>
      </c>
      <c r="O329" s="12" t="s">
        <v>198</v>
      </c>
      <c r="P329" s="12">
        <v>0.23419203747072601</v>
      </c>
      <c r="Q329" s="12" t="s">
        <v>198</v>
      </c>
      <c r="R329" s="12">
        <v>2019</v>
      </c>
    </row>
    <row r="330" spans="1:18" x14ac:dyDescent="0.35">
      <c r="A330" s="12">
        <v>28</v>
      </c>
      <c r="B330" s="12" t="s">
        <v>618</v>
      </c>
      <c r="C330" s="12">
        <v>2021</v>
      </c>
      <c r="D330" s="12" t="s">
        <v>619</v>
      </c>
      <c r="E330" s="13" t="s">
        <v>620</v>
      </c>
      <c r="F330" s="14" t="s">
        <v>621</v>
      </c>
      <c r="G330" s="14" t="s">
        <v>86</v>
      </c>
      <c r="H330" s="12" t="s">
        <v>625</v>
      </c>
      <c r="I330" s="12">
        <v>44.408538</v>
      </c>
      <c r="J330" s="12">
        <v>-79.237879000000007</v>
      </c>
      <c r="K330" s="12" t="s">
        <v>41</v>
      </c>
      <c r="L330" s="12" t="s">
        <v>28</v>
      </c>
      <c r="M330" s="12" t="s">
        <v>624</v>
      </c>
      <c r="N330" s="12">
        <v>0.23310023310023309</v>
      </c>
      <c r="O330" s="12" t="s">
        <v>198</v>
      </c>
      <c r="P330" s="12">
        <v>0.23310023310023309</v>
      </c>
      <c r="Q330" s="12" t="s">
        <v>198</v>
      </c>
      <c r="R330" s="12">
        <v>2019</v>
      </c>
    </row>
    <row r="331" spans="1:18" x14ac:dyDescent="0.35">
      <c r="A331" s="12">
        <v>28</v>
      </c>
      <c r="B331" s="12" t="s">
        <v>618</v>
      </c>
      <c r="C331" s="12">
        <v>2021</v>
      </c>
      <c r="D331" s="12" t="s">
        <v>619</v>
      </c>
      <c r="E331" s="13" t="s">
        <v>620</v>
      </c>
      <c r="F331" s="14" t="s">
        <v>621</v>
      </c>
      <c r="G331" s="14" t="s">
        <v>86</v>
      </c>
      <c r="H331" s="12" t="s">
        <v>626</v>
      </c>
      <c r="I331" s="12">
        <v>44.163209999999999</v>
      </c>
      <c r="J331" s="12">
        <v>-79.515874999999994</v>
      </c>
      <c r="K331" s="12" t="s">
        <v>41</v>
      </c>
      <c r="L331" s="12" t="s">
        <v>28</v>
      </c>
      <c r="M331" s="12" t="s">
        <v>624</v>
      </c>
      <c r="N331" s="12">
        <v>0</v>
      </c>
      <c r="O331" s="12" t="s">
        <v>198</v>
      </c>
      <c r="P331" s="12">
        <v>0</v>
      </c>
      <c r="Q331" s="12" t="s">
        <v>198</v>
      </c>
      <c r="R331" s="12">
        <v>2019</v>
      </c>
    </row>
    <row r="332" spans="1:18" x14ac:dyDescent="0.35">
      <c r="A332" s="12">
        <v>28</v>
      </c>
      <c r="B332" s="12" t="s">
        <v>618</v>
      </c>
      <c r="C332" s="12">
        <v>2021</v>
      </c>
      <c r="D332" s="12" t="s">
        <v>619</v>
      </c>
      <c r="E332" s="13" t="s">
        <v>620</v>
      </c>
      <c r="F332" s="14" t="s">
        <v>621</v>
      </c>
      <c r="G332" s="14" t="s">
        <v>86</v>
      </c>
      <c r="H332" s="12" t="s">
        <v>627</v>
      </c>
      <c r="I332" s="12">
        <v>44.163691999999998</v>
      </c>
      <c r="J332" s="12">
        <v>-79.518364000000005</v>
      </c>
      <c r="K332" s="12" t="s">
        <v>41</v>
      </c>
      <c r="L332" s="12" t="s">
        <v>28</v>
      </c>
      <c r="M332" s="12" t="s">
        <v>624</v>
      </c>
      <c r="N332" s="12">
        <v>0.23364485981308411</v>
      </c>
      <c r="O332" s="12" t="s">
        <v>198</v>
      </c>
      <c r="P332" s="12">
        <v>0.23364485981308411</v>
      </c>
      <c r="Q332" s="12" t="s">
        <v>198</v>
      </c>
      <c r="R332" s="12">
        <v>2019</v>
      </c>
    </row>
    <row r="333" spans="1:18" x14ac:dyDescent="0.35">
      <c r="A333" s="12">
        <v>28</v>
      </c>
      <c r="B333" s="12" t="s">
        <v>618</v>
      </c>
      <c r="C333" s="12">
        <v>2021</v>
      </c>
      <c r="D333" s="12" t="s">
        <v>619</v>
      </c>
      <c r="E333" s="13" t="s">
        <v>620</v>
      </c>
      <c r="F333" s="14" t="s">
        <v>621</v>
      </c>
      <c r="G333" s="14" t="s">
        <v>86</v>
      </c>
      <c r="H333" s="12" t="s">
        <v>628</v>
      </c>
      <c r="I333" s="12">
        <v>44.243048999999999</v>
      </c>
      <c r="J333" s="12">
        <v>-79.511942000000005</v>
      </c>
      <c r="K333" s="12" t="s">
        <v>41</v>
      </c>
      <c r="L333" s="12" t="s">
        <v>28</v>
      </c>
      <c r="M333" s="12" t="s">
        <v>624</v>
      </c>
      <c r="N333" s="12">
        <v>0.46728971962616822</v>
      </c>
      <c r="O333" s="12" t="s">
        <v>198</v>
      </c>
      <c r="P333" s="12">
        <v>0.46728971962616822</v>
      </c>
      <c r="Q333" s="12" t="s">
        <v>198</v>
      </c>
      <c r="R333" s="12">
        <v>2019</v>
      </c>
    </row>
    <row r="334" spans="1:18" x14ac:dyDescent="0.35">
      <c r="A334" s="12">
        <v>28</v>
      </c>
      <c r="B334" s="12" t="s">
        <v>618</v>
      </c>
      <c r="C334" s="12">
        <v>2021</v>
      </c>
      <c r="D334" s="12" t="s">
        <v>619</v>
      </c>
      <c r="E334" s="13" t="s">
        <v>620</v>
      </c>
      <c r="F334" s="14" t="s">
        <v>621</v>
      </c>
      <c r="G334" s="14" t="s">
        <v>86</v>
      </c>
      <c r="H334" s="12" t="s">
        <v>629</v>
      </c>
      <c r="I334" s="12">
        <v>44.442886999999999</v>
      </c>
      <c r="J334" s="12">
        <v>-79.444434000000001</v>
      </c>
      <c r="K334" s="12" t="s">
        <v>41</v>
      </c>
      <c r="L334" s="12" t="s">
        <v>28</v>
      </c>
      <c r="M334" s="12" t="s">
        <v>624</v>
      </c>
      <c r="N334" s="12">
        <v>0</v>
      </c>
      <c r="O334" s="12" t="s">
        <v>198</v>
      </c>
      <c r="P334" s="12">
        <v>0</v>
      </c>
      <c r="Q334" s="12" t="s">
        <v>198</v>
      </c>
      <c r="R334" s="12">
        <v>2019</v>
      </c>
    </row>
    <row r="335" spans="1:18" x14ac:dyDescent="0.35">
      <c r="A335" s="12">
        <v>28</v>
      </c>
      <c r="B335" s="12" t="s">
        <v>618</v>
      </c>
      <c r="C335" s="12">
        <v>2021</v>
      </c>
      <c r="D335" s="12" t="s">
        <v>619</v>
      </c>
      <c r="E335" s="13" t="s">
        <v>620</v>
      </c>
      <c r="F335" s="14" t="s">
        <v>621</v>
      </c>
      <c r="G335" s="14" t="s">
        <v>86</v>
      </c>
      <c r="H335" s="12" t="s">
        <v>630</v>
      </c>
      <c r="I335" s="12">
        <v>44.382586000000003</v>
      </c>
      <c r="J335" s="12">
        <v>-79.654134999999997</v>
      </c>
      <c r="K335" s="12" t="s">
        <v>41</v>
      </c>
      <c r="L335" s="12" t="s">
        <v>28</v>
      </c>
      <c r="M335" s="12" t="s">
        <v>624</v>
      </c>
      <c r="N335" s="12">
        <v>0</v>
      </c>
      <c r="O335" s="12" t="s">
        <v>198</v>
      </c>
      <c r="P335" s="12">
        <v>0</v>
      </c>
      <c r="Q335" s="12" t="s">
        <v>198</v>
      </c>
      <c r="R335" s="12">
        <v>2019</v>
      </c>
    </row>
    <row r="336" spans="1:18" x14ac:dyDescent="0.35">
      <c r="A336" s="12">
        <v>28</v>
      </c>
      <c r="B336" s="12" t="s">
        <v>618</v>
      </c>
      <c r="C336" s="12">
        <v>2021</v>
      </c>
      <c r="D336" s="12" t="s">
        <v>619</v>
      </c>
      <c r="E336" s="13" t="s">
        <v>620</v>
      </c>
      <c r="F336" s="14" t="s">
        <v>621</v>
      </c>
      <c r="G336" s="14" t="s">
        <v>86</v>
      </c>
      <c r="H336" s="12" t="s">
        <v>631</v>
      </c>
      <c r="I336" s="12">
        <v>44.577945</v>
      </c>
      <c r="J336" s="12">
        <v>-79.401259999999994</v>
      </c>
      <c r="K336" s="12" t="s">
        <v>41</v>
      </c>
      <c r="L336" s="12" t="s">
        <v>28</v>
      </c>
      <c r="M336" s="12" t="s">
        <v>624</v>
      </c>
      <c r="N336" s="12">
        <v>0.23255813953488372</v>
      </c>
      <c r="O336" s="12" t="s">
        <v>198</v>
      </c>
      <c r="P336" s="12">
        <v>0.23255813953488372</v>
      </c>
      <c r="Q336" s="12" t="s">
        <v>198</v>
      </c>
      <c r="R336" s="12">
        <v>2019</v>
      </c>
    </row>
    <row r="337" spans="1:18" x14ac:dyDescent="0.35">
      <c r="A337" s="12">
        <v>28</v>
      </c>
      <c r="B337" s="12" t="s">
        <v>618</v>
      </c>
      <c r="C337" s="12">
        <v>2021</v>
      </c>
      <c r="D337" s="12" t="s">
        <v>619</v>
      </c>
      <c r="E337" s="13" t="s">
        <v>620</v>
      </c>
      <c r="F337" s="14" t="s">
        <v>621</v>
      </c>
      <c r="G337" s="14" t="s">
        <v>86</v>
      </c>
      <c r="H337" s="12" t="s">
        <v>622</v>
      </c>
      <c r="I337" s="12">
        <v>44.364434000000003</v>
      </c>
      <c r="J337" s="12">
        <v>-79.387765999999999</v>
      </c>
      <c r="K337" s="12" t="s">
        <v>103</v>
      </c>
      <c r="L337" s="12" t="s">
        <v>28</v>
      </c>
      <c r="M337" s="12" t="s">
        <v>624</v>
      </c>
      <c r="N337" s="12" t="s">
        <v>246</v>
      </c>
      <c r="O337" s="12" t="s">
        <v>634</v>
      </c>
      <c r="P337" s="12" t="s">
        <v>246</v>
      </c>
      <c r="Q337" s="12" t="s">
        <v>107</v>
      </c>
      <c r="R337" s="12">
        <v>2019</v>
      </c>
    </row>
    <row r="338" spans="1:18" ht="15.75" customHeight="1" x14ac:dyDescent="0.35">
      <c r="A338" s="12">
        <v>28</v>
      </c>
      <c r="B338" s="12" t="s">
        <v>618</v>
      </c>
      <c r="C338" s="12">
        <v>2021</v>
      </c>
      <c r="D338" s="12" t="s">
        <v>619</v>
      </c>
      <c r="E338" s="13" t="s">
        <v>620</v>
      </c>
      <c r="F338" s="14" t="s">
        <v>621</v>
      </c>
      <c r="G338" s="14" t="s">
        <v>86</v>
      </c>
      <c r="H338" s="12" t="s">
        <v>625</v>
      </c>
      <c r="I338" s="12">
        <v>44.408538</v>
      </c>
      <c r="J338" s="12">
        <v>-79.237879000000007</v>
      </c>
      <c r="K338" s="12" t="s">
        <v>103</v>
      </c>
      <c r="L338" s="12" t="s">
        <v>28</v>
      </c>
      <c r="M338" s="12" t="s">
        <v>624</v>
      </c>
      <c r="N338" s="12">
        <v>4.5998160073597055E-2</v>
      </c>
      <c r="O338" s="12" t="s">
        <v>634</v>
      </c>
      <c r="P338" s="12">
        <f>N338*1000</f>
        <v>45.998160073597056</v>
      </c>
      <c r="Q338" s="12" t="s">
        <v>107</v>
      </c>
      <c r="R338" s="12">
        <v>2019</v>
      </c>
    </row>
    <row r="339" spans="1:18" x14ac:dyDescent="0.35">
      <c r="A339" s="12">
        <v>28</v>
      </c>
      <c r="B339" s="12" t="s">
        <v>618</v>
      </c>
      <c r="C339" s="12">
        <v>2021</v>
      </c>
      <c r="D339" s="12" t="s">
        <v>619</v>
      </c>
      <c r="E339" s="13" t="s">
        <v>620</v>
      </c>
      <c r="F339" s="14" t="s">
        <v>621</v>
      </c>
      <c r="G339" s="14" t="s">
        <v>86</v>
      </c>
      <c r="H339" s="12" t="s">
        <v>626</v>
      </c>
      <c r="I339" s="12">
        <v>44.163209999999999</v>
      </c>
      <c r="J339" s="12">
        <v>-79.515874999999994</v>
      </c>
      <c r="K339" s="12" t="s">
        <v>103</v>
      </c>
      <c r="L339" s="12" t="s">
        <v>28</v>
      </c>
      <c r="M339" s="12" t="s">
        <v>624</v>
      </c>
      <c r="N339" s="12">
        <v>5.8823529411764705E-2</v>
      </c>
      <c r="O339" s="12" t="s">
        <v>634</v>
      </c>
      <c r="P339" s="12">
        <f>N339*1000</f>
        <v>58.823529411764703</v>
      </c>
      <c r="Q339" s="12" t="s">
        <v>107</v>
      </c>
      <c r="R339" s="12">
        <v>2019</v>
      </c>
    </row>
    <row r="340" spans="1:18" ht="18" customHeight="1" x14ac:dyDescent="0.35">
      <c r="A340" s="12">
        <v>28</v>
      </c>
      <c r="B340" s="12" t="s">
        <v>618</v>
      </c>
      <c r="C340" s="12">
        <v>2021</v>
      </c>
      <c r="D340" s="12" t="s">
        <v>619</v>
      </c>
      <c r="E340" s="13" t="s">
        <v>620</v>
      </c>
      <c r="F340" s="14" t="s">
        <v>621</v>
      </c>
      <c r="G340" s="14" t="s">
        <v>86</v>
      </c>
      <c r="H340" s="12" t="s">
        <v>627</v>
      </c>
      <c r="I340" s="12">
        <v>44.163691999999998</v>
      </c>
      <c r="J340" s="12">
        <v>-79.518364000000005</v>
      </c>
      <c r="K340" s="12" t="s">
        <v>103</v>
      </c>
      <c r="L340" s="12" t="s">
        <v>28</v>
      </c>
      <c r="M340" s="12" t="s">
        <v>624</v>
      </c>
      <c r="N340" s="12" t="s">
        <v>246</v>
      </c>
      <c r="O340" s="12" t="s">
        <v>634</v>
      </c>
      <c r="P340" s="12" t="s">
        <v>246</v>
      </c>
      <c r="Q340" s="12" t="s">
        <v>107</v>
      </c>
      <c r="R340" s="12">
        <v>2019</v>
      </c>
    </row>
    <row r="341" spans="1:18" ht="18" customHeight="1" x14ac:dyDescent="0.35">
      <c r="A341" s="12">
        <v>28</v>
      </c>
      <c r="B341" s="12" t="s">
        <v>618</v>
      </c>
      <c r="C341" s="12">
        <v>2021</v>
      </c>
      <c r="D341" s="12" t="s">
        <v>619</v>
      </c>
      <c r="E341" s="13" t="s">
        <v>620</v>
      </c>
      <c r="F341" s="14" t="s">
        <v>621</v>
      </c>
      <c r="G341" s="14" t="s">
        <v>86</v>
      </c>
      <c r="H341" s="12" t="s">
        <v>628</v>
      </c>
      <c r="I341" s="12">
        <v>44.243048999999999</v>
      </c>
      <c r="J341" s="12">
        <v>-79.511942000000005</v>
      </c>
      <c r="K341" s="12" t="s">
        <v>103</v>
      </c>
      <c r="L341" s="12" t="s">
        <v>28</v>
      </c>
      <c r="M341" s="12" t="s">
        <v>624</v>
      </c>
      <c r="N341" s="12" t="s">
        <v>246</v>
      </c>
      <c r="O341" s="12" t="s">
        <v>634</v>
      </c>
      <c r="P341" s="12" t="s">
        <v>246</v>
      </c>
      <c r="Q341" s="12" t="s">
        <v>107</v>
      </c>
      <c r="R341" s="12">
        <v>2019</v>
      </c>
    </row>
    <row r="342" spans="1:18" ht="18" customHeight="1" x14ac:dyDescent="0.35">
      <c r="A342" s="12">
        <v>28</v>
      </c>
      <c r="B342" s="12" t="s">
        <v>618</v>
      </c>
      <c r="C342" s="12">
        <v>2021</v>
      </c>
      <c r="D342" s="12" t="s">
        <v>619</v>
      </c>
      <c r="E342" s="13" t="s">
        <v>620</v>
      </c>
      <c r="F342" s="14" t="s">
        <v>621</v>
      </c>
      <c r="G342" s="14" t="s">
        <v>86</v>
      </c>
      <c r="H342" s="12" t="s">
        <v>629</v>
      </c>
      <c r="I342" s="12">
        <v>44.442886999999999</v>
      </c>
      <c r="J342" s="12">
        <v>-79.444434000000001</v>
      </c>
      <c r="K342" s="12" t="s">
        <v>103</v>
      </c>
      <c r="L342" s="12" t="s">
        <v>28</v>
      </c>
      <c r="M342" s="12" t="s">
        <v>624</v>
      </c>
      <c r="N342" s="12">
        <v>1.0714285714285714</v>
      </c>
      <c r="O342" s="12" t="s">
        <v>634</v>
      </c>
      <c r="P342" s="12">
        <f>N342*1000</f>
        <v>1071.4285714285713</v>
      </c>
      <c r="Q342" s="12" t="s">
        <v>107</v>
      </c>
      <c r="R342" s="12">
        <v>2019</v>
      </c>
    </row>
    <row r="343" spans="1:18" ht="18.75" customHeight="1" x14ac:dyDescent="0.35">
      <c r="A343" s="12">
        <v>28</v>
      </c>
      <c r="B343" s="12" t="s">
        <v>618</v>
      </c>
      <c r="C343" s="12">
        <v>2021</v>
      </c>
      <c r="D343" s="12" t="s">
        <v>619</v>
      </c>
      <c r="E343" s="13" t="s">
        <v>620</v>
      </c>
      <c r="F343" s="14" t="s">
        <v>621</v>
      </c>
      <c r="G343" s="14" t="s">
        <v>86</v>
      </c>
      <c r="H343" s="12" t="s">
        <v>630</v>
      </c>
      <c r="I343" s="12">
        <v>44.382586000000003</v>
      </c>
      <c r="J343" s="12">
        <v>-79.654134999999997</v>
      </c>
      <c r="K343" s="12" t="s">
        <v>103</v>
      </c>
      <c r="L343" s="12" t="s">
        <v>28</v>
      </c>
      <c r="M343" s="12" t="s">
        <v>624</v>
      </c>
      <c r="N343" s="12">
        <v>0.703125</v>
      </c>
      <c r="O343" s="12" t="s">
        <v>634</v>
      </c>
      <c r="P343" s="12">
        <f>N343*1000</f>
        <v>703.125</v>
      </c>
      <c r="Q343" s="12" t="s">
        <v>107</v>
      </c>
      <c r="R343" s="12">
        <v>2019</v>
      </c>
    </row>
    <row r="344" spans="1:18" ht="18.75" customHeight="1" x14ac:dyDescent="0.35">
      <c r="A344" s="12">
        <v>28</v>
      </c>
      <c r="B344" s="12" t="s">
        <v>618</v>
      </c>
      <c r="C344" s="12">
        <v>2021</v>
      </c>
      <c r="D344" s="12" t="s">
        <v>619</v>
      </c>
      <c r="E344" s="13" t="s">
        <v>620</v>
      </c>
      <c r="F344" s="14" t="s">
        <v>621</v>
      </c>
      <c r="G344" s="14" t="s">
        <v>86</v>
      </c>
      <c r="H344" s="12" t="s">
        <v>631</v>
      </c>
      <c r="I344" s="12">
        <v>44.577945</v>
      </c>
      <c r="J344" s="12">
        <v>-79.401259999999994</v>
      </c>
      <c r="K344" s="12" t="s">
        <v>103</v>
      </c>
      <c r="L344" s="12" t="s">
        <v>28</v>
      </c>
      <c r="M344" s="12" t="s">
        <v>624</v>
      </c>
      <c r="N344" s="12" t="s">
        <v>246</v>
      </c>
      <c r="O344" s="12" t="s">
        <v>634</v>
      </c>
      <c r="P344" s="12" t="s">
        <v>246</v>
      </c>
      <c r="Q344" s="12" t="s">
        <v>107</v>
      </c>
      <c r="R344" s="12">
        <v>2019</v>
      </c>
    </row>
    <row r="345" spans="1:18" ht="18" customHeight="1" x14ac:dyDescent="0.35">
      <c r="A345" s="12">
        <v>28</v>
      </c>
      <c r="B345" s="12" t="s">
        <v>618</v>
      </c>
      <c r="C345" s="12">
        <v>2021</v>
      </c>
      <c r="D345" s="12" t="s">
        <v>619</v>
      </c>
      <c r="E345" s="13" t="s">
        <v>620</v>
      </c>
      <c r="F345" s="14" t="s">
        <v>621</v>
      </c>
      <c r="G345" s="14" t="s">
        <v>86</v>
      </c>
      <c r="H345" s="12" t="s">
        <v>622</v>
      </c>
      <c r="I345" s="12">
        <v>44.364434000000003</v>
      </c>
      <c r="J345" s="12">
        <v>-79.387765999999999</v>
      </c>
      <c r="K345" s="12" t="s">
        <v>41</v>
      </c>
      <c r="L345" s="12" t="s">
        <v>28</v>
      </c>
      <c r="M345" s="12" t="s">
        <v>624</v>
      </c>
      <c r="N345" s="12">
        <v>0.35416666666666669</v>
      </c>
      <c r="O345" s="12" t="s">
        <v>636</v>
      </c>
      <c r="P345" s="12">
        <f t="shared" ref="P345:P352" si="9">N345/1000</f>
        <v>3.5416666666666669E-4</v>
      </c>
      <c r="Q345" s="12" t="s">
        <v>59</v>
      </c>
      <c r="R345" s="12" t="s">
        <v>638</v>
      </c>
    </row>
    <row r="346" spans="1:18" ht="18" customHeight="1" x14ac:dyDescent="0.35">
      <c r="A346" s="12">
        <v>28</v>
      </c>
      <c r="B346" s="12" t="s">
        <v>618</v>
      </c>
      <c r="C346" s="12">
        <v>2021</v>
      </c>
      <c r="D346" s="12" t="s">
        <v>619</v>
      </c>
      <c r="E346" s="13" t="s">
        <v>620</v>
      </c>
      <c r="F346" s="14" t="s">
        <v>621</v>
      </c>
      <c r="G346" s="14" t="s">
        <v>86</v>
      </c>
      <c r="H346" s="12" t="s">
        <v>625</v>
      </c>
      <c r="I346" s="12">
        <v>44.408538</v>
      </c>
      <c r="J346" s="12">
        <v>-79.237879000000007</v>
      </c>
      <c r="K346" s="12" t="s">
        <v>41</v>
      </c>
      <c r="L346" s="12" t="s">
        <v>28</v>
      </c>
      <c r="M346" s="12" t="s">
        <v>624</v>
      </c>
      <c r="N346" s="12">
        <v>1.2967687074829932</v>
      </c>
      <c r="O346" s="12" t="s">
        <v>636</v>
      </c>
      <c r="P346" s="12">
        <f t="shared" si="9"/>
        <v>1.2967687074829932E-3</v>
      </c>
      <c r="Q346" s="12" t="s">
        <v>59</v>
      </c>
      <c r="R346" s="12" t="s">
        <v>638</v>
      </c>
    </row>
    <row r="347" spans="1:18" ht="18" customHeight="1" x14ac:dyDescent="0.35">
      <c r="A347" s="12">
        <v>28</v>
      </c>
      <c r="B347" s="12" t="s">
        <v>618</v>
      </c>
      <c r="C347" s="12">
        <v>2021</v>
      </c>
      <c r="D347" s="12" t="s">
        <v>619</v>
      </c>
      <c r="E347" s="13" t="s">
        <v>620</v>
      </c>
      <c r="F347" s="14" t="s">
        <v>621</v>
      </c>
      <c r="G347" s="14" t="s">
        <v>86</v>
      </c>
      <c r="H347" s="12" t="s">
        <v>626</v>
      </c>
      <c r="I347" s="12">
        <v>44.163209999999999</v>
      </c>
      <c r="J347" s="12">
        <v>-79.515874999999994</v>
      </c>
      <c r="K347" s="12" t="s">
        <v>41</v>
      </c>
      <c r="L347" s="12" t="s">
        <v>28</v>
      </c>
      <c r="M347" s="12" t="s">
        <v>624</v>
      </c>
      <c r="N347" s="12">
        <v>3.7202380952380952E-2</v>
      </c>
      <c r="O347" s="12" t="s">
        <v>636</v>
      </c>
      <c r="P347" s="12">
        <f t="shared" si="9"/>
        <v>3.7202380952380949E-5</v>
      </c>
      <c r="Q347" s="12" t="s">
        <v>59</v>
      </c>
      <c r="R347" s="12" t="s">
        <v>638</v>
      </c>
    </row>
    <row r="348" spans="1:18" ht="18" customHeight="1" x14ac:dyDescent="0.35">
      <c r="A348" s="12">
        <v>28</v>
      </c>
      <c r="B348" s="12" t="s">
        <v>618</v>
      </c>
      <c r="C348" s="12">
        <v>2021</v>
      </c>
      <c r="D348" s="12" t="s">
        <v>619</v>
      </c>
      <c r="E348" s="13" t="s">
        <v>620</v>
      </c>
      <c r="F348" s="14" t="s">
        <v>621</v>
      </c>
      <c r="G348" s="14" t="s">
        <v>86</v>
      </c>
      <c r="H348" s="12" t="s">
        <v>627</v>
      </c>
      <c r="I348" s="12">
        <v>44.163691999999998</v>
      </c>
      <c r="J348" s="12">
        <v>-79.518364000000005</v>
      </c>
      <c r="K348" s="12" t="s">
        <v>41</v>
      </c>
      <c r="L348" s="12" t="s">
        <v>28</v>
      </c>
      <c r="M348" s="12" t="s">
        <v>624</v>
      </c>
      <c r="N348" s="12">
        <v>6.25E-2</v>
      </c>
      <c r="O348" s="12" t="s">
        <v>636</v>
      </c>
      <c r="P348" s="12">
        <f t="shared" si="9"/>
        <v>6.2500000000000001E-5</v>
      </c>
      <c r="Q348" s="12" t="s">
        <v>59</v>
      </c>
      <c r="R348" s="12" t="s">
        <v>638</v>
      </c>
    </row>
    <row r="349" spans="1:18" ht="18" customHeight="1" x14ac:dyDescent="0.35">
      <c r="A349" s="12">
        <v>28</v>
      </c>
      <c r="B349" s="12" t="s">
        <v>618</v>
      </c>
      <c r="C349" s="12">
        <v>2021</v>
      </c>
      <c r="D349" s="12" t="s">
        <v>619</v>
      </c>
      <c r="E349" s="13" t="s">
        <v>620</v>
      </c>
      <c r="F349" s="14" t="s">
        <v>621</v>
      </c>
      <c r="G349" s="14" t="s">
        <v>86</v>
      </c>
      <c r="H349" s="12" t="s">
        <v>628</v>
      </c>
      <c r="I349" s="12">
        <v>44.243048999999999</v>
      </c>
      <c r="J349" s="12">
        <v>-79.511942000000005</v>
      </c>
      <c r="K349" s="12" t="s">
        <v>41</v>
      </c>
      <c r="L349" s="12" t="s">
        <v>28</v>
      </c>
      <c r="M349" s="12" t="s">
        <v>624</v>
      </c>
      <c r="N349" s="12">
        <v>8.9285714285714288E-2</v>
      </c>
      <c r="O349" s="12" t="s">
        <v>636</v>
      </c>
      <c r="P349" s="12">
        <f t="shared" si="9"/>
        <v>8.9285714285714286E-5</v>
      </c>
      <c r="Q349" s="12" t="s">
        <v>59</v>
      </c>
      <c r="R349" s="12" t="s">
        <v>638</v>
      </c>
    </row>
    <row r="350" spans="1:18" ht="18" customHeight="1" x14ac:dyDescent="0.35">
      <c r="A350" s="12">
        <v>28</v>
      </c>
      <c r="B350" s="12" t="s">
        <v>618</v>
      </c>
      <c r="C350" s="12">
        <v>2021</v>
      </c>
      <c r="D350" s="12" t="s">
        <v>619</v>
      </c>
      <c r="E350" s="13" t="s">
        <v>620</v>
      </c>
      <c r="F350" s="14" t="s">
        <v>621</v>
      </c>
      <c r="G350" s="14" t="s">
        <v>86</v>
      </c>
      <c r="H350" s="12" t="s">
        <v>629</v>
      </c>
      <c r="I350" s="12">
        <v>44.442886999999999</v>
      </c>
      <c r="J350" s="12">
        <v>-79.444434000000001</v>
      </c>
      <c r="K350" s="12" t="s">
        <v>41</v>
      </c>
      <c r="L350" s="12" t="s">
        <v>28</v>
      </c>
      <c r="M350" s="12" t="s">
        <v>624</v>
      </c>
      <c r="N350" s="12">
        <v>0.375</v>
      </c>
      <c r="O350" s="12" t="s">
        <v>636</v>
      </c>
      <c r="P350" s="12">
        <f t="shared" si="9"/>
        <v>3.7500000000000001E-4</v>
      </c>
      <c r="Q350" s="12" t="s">
        <v>59</v>
      </c>
      <c r="R350" s="12" t="s">
        <v>638</v>
      </c>
    </row>
    <row r="351" spans="1:18" ht="18" customHeight="1" x14ac:dyDescent="0.35">
      <c r="A351" s="12">
        <v>28</v>
      </c>
      <c r="B351" s="12" t="s">
        <v>618</v>
      </c>
      <c r="C351" s="12">
        <v>2021</v>
      </c>
      <c r="D351" s="12" t="s">
        <v>619</v>
      </c>
      <c r="E351" s="13" t="s">
        <v>620</v>
      </c>
      <c r="F351" s="14" t="s">
        <v>621</v>
      </c>
      <c r="G351" s="14" t="s">
        <v>86</v>
      </c>
      <c r="H351" s="12" t="s">
        <v>630</v>
      </c>
      <c r="I351" s="12">
        <v>44.382586000000003</v>
      </c>
      <c r="J351" s="12">
        <v>-79.654134999999997</v>
      </c>
      <c r="K351" s="12" t="s">
        <v>41</v>
      </c>
      <c r="L351" s="12" t="s">
        <v>28</v>
      </c>
      <c r="M351" s="12" t="s">
        <v>624</v>
      </c>
      <c r="N351" s="12">
        <v>0.77083333333333337</v>
      </c>
      <c r="O351" s="12" t="s">
        <v>636</v>
      </c>
      <c r="P351" s="12">
        <f t="shared" si="9"/>
        <v>7.7083333333333333E-4</v>
      </c>
      <c r="Q351" s="12" t="s">
        <v>59</v>
      </c>
      <c r="R351" s="12" t="s">
        <v>638</v>
      </c>
    </row>
    <row r="352" spans="1:18" ht="18" customHeight="1" x14ac:dyDescent="0.35">
      <c r="A352" s="12">
        <v>28</v>
      </c>
      <c r="B352" s="12" t="s">
        <v>618</v>
      </c>
      <c r="C352" s="12">
        <v>2021</v>
      </c>
      <c r="D352" s="12" t="s">
        <v>619</v>
      </c>
      <c r="E352" s="13" t="s">
        <v>620</v>
      </c>
      <c r="F352" s="14" t="s">
        <v>621</v>
      </c>
      <c r="G352" s="14" t="s">
        <v>86</v>
      </c>
      <c r="H352" s="12" t="s">
        <v>631</v>
      </c>
      <c r="I352" s="12">
        <v>44.577945</v>
      </c>
      <c r="J352" s="12">
        <v>-79.401259999999994</v>
      </c>
      <c r="K352" s="12" t="s">
        <v>41</v>
      </c>
      <c r="L352" s="12" t="s">
        <v>28</v>
      </c>
      <c r="M352" s="12" t="s">
        <v>624</v>
      </c>
      <c r="N352" s="12">
        <v>6.25E-2</v>
      </c>
      <c r="O352" s="12" t="s">
        <v>636</v>
      </c>
      <c r="P352" s="12">
        <f t="shared" si="9"/>
        <v>6.2500000000000001E-5</v>
      </c>
      <c r="Q352" s="12" t="s">
        <v>59</v>
      </c>
      <c r="R352" s="12" t="s">
        <v>638</v>
      </c>
    </row>
    <row r="353" spans="1:18" ht="18" customHeight="1" x14ac:dyDescent="0.35">
      <c r="A353" s="12">
        <v>29</v>
      </c>
      <c r="B353" s="12" t="s">
        <v>639</v>
      </c>
      <c r="C353" s="12">
        <v>2020</v>
      </c>
      <c r="D353" s="12" t="s">
        <v>619</v>
      </c>
      <c r="E353" s="12" t="s">
        <v>640</v>
      </c>
      <c r="F353" s="12" t="s">
        <v>641</v>
      </c>
      <c r="G353" s="12" t="s">
        <v>86</v>
      </c>
      <c r="H353" s="12" t="s">
        <v>642</v>
      </c>
      <c r="I353" s="12">
        <v>42.863545000000002</v>
      </c>
      <c r="J353" s="12">
        <v>-79.152529999999999</v>
      </c>
      <c r="K353" s="12" t="s">
        <v>138</v>
      </c>
      <c r="L353" s="12" t="s">
        <v>28</v>
      </c>
      <c r="N353" s="12">
        <v>1</v>
      </c>
      <c r="O353" s="12" t="s">
        <v>645</v>
      </c>
      <c r="P353" s="12">
        <f t="shared" ref="P353:P358" si="10">N353/0.000001</f>
        <v>1000000</v>
      </c>
      <c r="Q353" s="12" t="s">
        <v>46</v>
      </c>
      <c r="R353" s="12" t="s">
        <v>646</v>
      </c>
    </row>
    <row r="354" spans="1:18" ht="18" customHeight="1" x14ac:dyDescent="0.35">
      <c r="A354" s="12">
        <v>29</v>
      </c>
      <c r="B354" s="12" t="s">
        <v>639</v>
      </c>
      <c r="C354" s="12">
        <v>2020</v>
      </c>
      <c r="D354" s="12" t="s">
        <v>619</v>
      </c>
      <c r="E354" s="12" t="s">
        <v>640</v>
      </c>
      <c r="F354" s="12" t="s">
        <v>641</v>
      </c>
      <c r="G354" s="12" t="s">
        <v>86</v>
      </c>
      <c r="H354" s="12" t="s">
        <v>647</v>
      </c>
      <c r="I354" s="12">
        <v>42.477110000000003</v>
      </c>
      <c r="J354" s="16">
        <v>-79.369529999999997</v>
      </c>
      <c r="K354" s="12" t="s">
        <v>138</v>
      </c>
      <c r="L354" s="12" t="s">
        <v>28</v>
      </c>
      <c r="N354" s="12">
        <v>5</v>
      </c>
      <c r="O354" s="12" t="s">
        <v>648</v>
      </c>
      <c r="P354" s="12">
        <f t="shared" si="10"/>
        <v>5000000</v>
      </c>
      <c r="Q354" s="12" t="s">
        <v>46</v>
      </c>
      <c r="R354" s="12" t="s">
        <v>646</v>
      </c>
    </row>
    <row r="355" spans="1:18" ht="18" customHeight="1" x14ac:dyDescent="0.35">
      <c r="A355" s="12">
        <v>29</v>
      </c>
      <c r="B355" s="12" t="s">
        <v>639</v>
      </c>
      <c r="C355" s="12">
        <v>2020</v>
      </c>
      <c r="D355" s="12" t="s">
        <v>619</v>
      </c>
      <c r="E355" s="12" t="s">
        <v>640</v>
      </c>
      <c r="F355" s="12" t="s">
        <v>641</v>
      </c>
      <c r="G355" s="12" t="s">
        <v>86</v>
      </c>
      <c r="H355" s="12" t="s">
        <v>649</v>
      </c>
      <c r="I355" s="12">
        <v>42.489339000000001</v>
      </c>
      <c r="J355" s="16">
        <v>-79.340845999999999</v>
      </c>
      <c r="K355" s="12" t="s">
        <v>138</v>
      </c>
      <c r="L355" s="12" t="s">
        <v>28</v>
      </c>
      <c r="N355" s="12">
        <v>1</v>
      </c>
      <c r="O355" s="12" t="s">
        <v>650</v>
      </c>
      <c r="P355" s="12">
        <f t="shared" si="10"/>
        <v>1000000</v>
      </c>
      <c r="Q355" s="12" t="s">
        <v>46</v>
      </c>
      <c r="R355" s="12" t="s">
        <v>646</v>
      </c>
    </row>
    <row r="356" spans="1:18" ht="18" customHeight="1" x14ac:dyDescent="0.35">
      <c r="A356" s="12">
        <v>29</v>
      </c>
      <c r="B356" s="12" t="s">
        <v>639</v>
      </c>
      <c r="C356" s="12">
        <v>2020</v>
      </c>
      <c r="D356" s="12" t="s">
        <v>619</v>
      </c>
      <c r="E356" s="12" t="s">
        <v>640</v>
      </c>
      <c r="F356" s="12" t="s">
        <v>641</v>
      </c>
      <c r="G356" s="12" t="s">
        <v>86</v>
      </c>
      <c r="H356" s="12" t="s">
        <v>651</v>
      </c>
      <c r="I356" s="12">
        <v>42.497273</v>
      </c>
      <c r="J356" s="16">
        <v>-79.357529</v>
      </c>
      <c r="K356" s="12" t="s">
        <v>138</v>
      </c>
      <c r="L356" s="12" t="s">
        <v>28</v>
      </c>
      <c r="N356" s="12">
        <v>2</v>
      </c>
      <c r="O356" s="12" t="s">
        <v>652</v>
      </c>
      <c r="P356" s="12">
        <f t="shared" si="10"/>
        <v>2000000</v>
      </c>
      <c r="Q356" s="12" t="s">
        <v>46</v>
      </c>
      <c r="R356" s="12" t="s">
        <v>646</v>
      </c>
    </row>
    <row r="357" spans="1:18" ht="18" customHeight="1" x14ac:dyDescent="0.35">
      <c r="A357" s="12">
        <v>29</v>
      </c>
      <c r="B357" s="12" t="s">
        <v>639</v>
      </c>
      <c r="C357" s="12">
        <v>2020</v>
      </c>
      <c r="D357" s="12" t="s">
        <v>619</v>
      </c>
      <c r="E357" s="12" t="s">
        <v>640</v>
      </c>
      <c r="F357" s="12" t="s">
        <v>641</v>
      </c>
      <c r="G357" s="12" t="s">
        <v>86</v>
      </c>
      <c r="H357" s="12" t="s">
        <v>653</v>
      </c>
      <c r="I357" s="12">
        <v>42.162402999999998</v>
      </c>
      <c r="J357" s="16">
        <v>-80.122990000000001</v>
      </c>
      <c r="K357" s="12" t="s">
        <v>138</v>
      </c>
      <c r="L357" s="12" t="s">
        <v>28</v>
      </c>
      <c r="N357" s="12">
        <v>10</v>
      </c>
      <c r="O357" s="12" t="s">
        <v>654</v>
      </c>
      <c r="P357" s="12">
        <f t="shared" si="10"/>
        <v>10000000</v>
      </c>
      <c r="Q357" s="12" t="s">
        <v>46</v>
      </c>
      <c r="R357" s="12" t="s">
        <v>646</v>
      </c>
    </row>
    <row r="358" spans="1:18" ht="16.5" customHeight="1" x14ac:dyDescent="0.35">
      <c r="A358" s="12">
        <v>29</v>
      </c>
      <c r="B358" s="12" t="s">
        <v>639</v>
      </c>
      <c r="C358" s="12">
        <v>2020</v>
      </c>
      <c r="D358" s="12" t="s">
        <v>619</v>
      </c>
      <c r="E358" s="12" t="s">
        <v>640</v>
      </c>
      <c r="F358" s="12" t="s">
        <v>641</v>
      </c>
      <c r="G358" s="12" t="s">
        <v>86</v>
      </c>
      <c r="H358" s="12" t="s">
        <v>655</v>
      </c>
      <c r="I358" s="12">
        <v>43.645344999999999</v>
      </c>
      <c r="J358" s="16">
        <v>-76.197652000000005</v>
      </c>
      <c r="K358" s="12" t="s">
        <v>138</v>
      </c>
      <c r="L358" s="12" t="s">
        <v>28</v>
      </c>
      <c r="N358" s="12">
        <v>12</v>
      </c>
      <c r="O358" s="12" t="s">
        <v>656</v>
      </c>
      <c r="P358" s="12">
        <f t="shared" si="10"/>
        <v>12000000</v>
      </c>
      <c r="Q358" s="12" t="s">
        <v>46</v>
      </c>
      <c r="R358" s="12" t="s">
        <v>646</v>
      </c>
    </row>
    <row r="359" spans="1:18" ht="18" customHeight="1" x14ac:dyDescent="0.35">
      <c r="A359" s="12">
        <v>30</v>
      </c>
      <c r="B359" s="12" t="s">
        <v>657</v>
      </c>
      <c r="C359" s="12">
        <v>2020</v>
      </c>
      <c r="D359" s="12" t="s">
        <v>658</v>
      </c>
      <c r="E359" s="12" t="s">
        <v>659</v>
      </c>
      <c r="F359" s="12" t="s">
        <v>660</v>
      </c>
      <c r="G359" s="12" t="s">
        <v>86</v>
      </c>
      <c r="H359" s="12" t="s">
        <v>263</v>
      </c>
      <c r="I359" s="12">
        <v>43.618735999999998</v>
      </c>
      <c r="J359" s="16">
        <v>-79.414304000000001</v>
      </c>
      <c r="K359" s="12" t="s">
        <v>41</v>
      </c>
      <c r="L359" s="12" t="s">
        <v>28</v>
      </c>
      <c r="N359" s="12">
        <v>0.8</v>
      </c>
      <c r="O359" s="12" t="s">
        <v>59</v>
      </c>
      <c r="P359" s="12">
        <v>0.8</v>
      </c>
      <c r="Q359" s="12" t="s">
        <v>59</v>
      </c>
    </row>
    <row r="360" spans="1:18" ht="18" customHeight="1" x14ac:dyDescent="0.35">
      <c r="A360" s="12">
        <v>31</v>
      </c>
      <c r="B360" s="12" t="s">
        <v>662</v>
      </c>
      <c r="C360" s="12">
        <v>2020</v>
      </c>
      <c r="D360" s="12" t="s">
        <v>663</v>
      </c>
      <c r="E360" s="12" t="s">
        <v>664</v>
      </c>
      <c r="F360" s="12" t="s">
        <v>665</v>
      </c>
      <c r="G360" s="12" t="s">
        <v>161</v>
      </c>
      <c r="H360" s="12" t="s">
        <v>666</v>
      </c>
      <c r="I360" s="12">
        <v>45.300066999999999</v>
      </c>
      <c r="J360" s="28">
        <v>-74.135204999999999</v>
      </c>
      <c r="K360" s="12" t="s">
        <v>103</v>
      </c>
      <c r="L360" s="12" t="s">
        <v>163</v>
      </c>
      <c r="M360" s="12" t="s">
        <v>668</v>
      </c>
      <c r="N360" s="12">
        <v>832</v>
      </c>
      <c r="O360" s="12" t="s">
        <v>669</v>
      </c>
      <c r="P360" s="12">
        <v>832</v>
      </c>
      <c r="Q360" s="12" t="s">
        <v>107</v>
      </c>
      <c r="R360" s="12" t="s">
        <v>33</v>
      </c>
    </row>
    <row r="361" spans="1:18" ht="18" customHeight="1" x14ac:dyDescent="0.35">
      <c r="A361" s="12">
        <v>32</v>
      </c>
      <c r="B361" s="12" t="s">
        <v>670</v>
      </c>
      <c r="C361" s="12">
        <v>2020</v>
      </c>
      <c r="D361" s="12" t="s">
        <v>619</v>
      </c>
      <c r="E361" s="12" t="s">
        <v>671</v>
      </c>
      <c r="F361" s="12" t="s">
        <v>672</v>
      </c>
      <c r="G361" s="12" t="s">
        <v>86</v>
      </c>
      <c r="H361" s="12" t="s">
        <v>673</v>
      </c>
      <c r="I361" s="12">
        <v>41.9</v>
      </c>
      <c r="J361" s="16" t="s">
        <v>674</v>
      </c>
      <c r="K361" s="12" t="s">
        <v>41</v>
      </c>
      <c r="L361" s="12" t="s">
        <v>28</v>
      </c>
      <c r="N361" s="12">
        <v>11510</v>
      </c>
      <c r="O361" s="12" t="s">
        <v>676</v>
      </c>
      <c r="P361" s="12">
        <f t="shared" ref="P361:P392" si="11">N361</f>
        <v>11510</v>
      </c>
      <c r="Q361" s="12" t="s">
        <v>46</v>
      </c>
      <c r="R361" s="12" t="s">
        <v>677</v>
      </c>
    </row>
    <row r="362" spans="1:18" ht="18" customHeight="1" x14ac:dyDescent="0.35">
      <c r="A362" s="12">
        <v>32</v>
      </c>
      <c r="B362" s="12" t="s">
        <v>670</v>
      </c>
      <c r="C362" s="12">
        <v>2020</v>
      </c>
      <c r="D362" s="12" t="s">
        <v>619</v>
      </c>
      <c r="E362" s="12" t="s">
        <v>671</v>
      </c>
      <c r="F362" s="12" t="s">
        <v>672</v>
      </c>
      <c r="G362" s="12" t="s">
        <v>86</v>
      </c>
      <c r="H362" s="12" t="s">
        <v>678</v>
      </c>
      <c r="I362" s="12">
        <v>41.75</v>
      </c>
      <c r="J362" s="16" t="s">
        <v>679</v>
      </c>
      <c r="K362" s="12" t="s">
        <v>41</v>
      </c>
      <c r="L362" s="12" t="s">
        <v>28</v>
      </c>
      <c r="N362" s="12">
        <v>4385</v>
      </c>
      <c r="O362" s="12" t="s">
        <v>676</v>
      </c>
      <c r="P362" s="12">
        <f t="shared" si="11"/>
        <v>4385</v>
      </c>
      <c r="Q362" s="12" t="s">
        <v>46</v>
      </c>
      <c r="R362" s="12" t="s">
        <v>677</v>
      </c>
    </row>
    <row r="363" spans="1:18" ht="18" customHeight="1" x14ac:dyDescent="0.35">
      <c r="A363" s="12">
        <v>32</v>
      </c>
      <c r="B363" s="12" t="s">
        <v>670</v>
      </c>
      <c r="C363" s="12">
        <v>2020</v>
      </c>
      <c r="D363" s="12" t="s">
        <v>619</v>
      </c>
      <c r="E363" s="12" t="s">
        <v>671</v>
      </c>
      <c r="F363" s="12" t="s">
        <v>672</v>
      </c>
      <c r="G363" s="12" t="s">
        <v>86</v>
      </c>
      <c r="H363" s="12" t="s">
        <v>680</v>
      </c>
      <c r="I363" s="12">
        <v>41.78</v>
      </c>
      <c r="J363" s="16" t="s">
        <v>681</v>
      </c>
      <c r="K363" s="12" t="s">
        <v>41</v>
      </c>
      <c r="L363" s="12" t="s">
        <v>28</v>
      </c>
      <c r="N363" s="12">
        <v>8487</v>
      </c>
      <c r="O363" s="12" t="s">
        <v>676</v>
      </c>
      <c r="P363" s="12">
        <f t="shared" si="11"/>
        <v>8487</v>
      </c>
      <c r="Q363" s="12" t="s">
        <v>46</v>
      </c>
      <c r="R363" s="12" t="s">
        <v>677</v>
      </c>
    </row>
    <row r="364" spans="1:18" ht="18" customHeight="1" x14ac:dyDescent="0.35">
      <c r="A364" s="12">
        <v>32</v>
      </c>
      <c r="B364" s="12" t="s">
        <v>670</v>
      </c>
      <c r="C364" s="12">
        <v>2020</v>
      </c>
      <c r="D364" s="12" t="s">
        <v>619</v>
      </c>
      <c r="E364" s="12" t="s">
        <v>671</v>
      </c>
      <c r="F364" s="12" t="s">
        <v>672</v>
      </c>
      <c r="G364" s="12" t="s">
        <v>86</v>
      </c>
      <c r="H364" s="12" t="s">
        <v>682</v>
      </c>
      <c r="I364" s="12">
        <v>41.9</v>
      </c>
      <c r="J364" s="16" t="s">
        <v>683</v>
      </c>
      <c r="K364" s="12" t="s">
        <v>41</v>
      </c>
      <c r="L364" s="12" t="s">
        <v>28</v>
      </c>
      <c r="N364" s="12">
        <v>59450</v>
      </c>
      <c r="O364" s="12" t="s">
        <v>676</v>
      </c>
      <c r="P364" s="12">
        <f t="shared" si="11"/>
        <v>59450</v>
      </c>
      <c r="Q364" s="12" t="s">
        <v>46</v>
      </c>
      <c r="R364" s="12" t="s">
        <v>677</v>
      </c>
    </row>
    <row r="365" spans="1:18" ht="18" customHeight="1" x14ac:dyDescent="0.35">
      <c r="A365" s="12">
        <v>32</v>
      </c>
      <c r="B365" s="12" t="s">
        <v>670</v>
      </c>
      <c r="C365" s="12">
        <v>2020</v>
      </c>
      <c r="D365" s="12" t="s">
        <v>619</v>
      </c>
      <c r="E365" s="12" t="s">
        <v>671</v>
      </c>
      <c r="F365" s="12" t="s">
        <v>672</v>
      </c>
      <c r="G365" s="12" t="s">
        <v>86</v>
      </c>
      <c r="H365" s="12" t="s">
        <v>684</v>
      </c>
      <c r="I365" s="12">
        <v>42.18</v>
      </c>
      <c r="J365" s="16" t="s">
        <v>685</v>
      </c>
      <c r="K365" s="12" t="s">
        <v>41</v>
      </c>
      <c r="L365" s="12" t="s">
        <v>28</v>
      </c>
      <c r="N365" s="12">
        <v>5294</v>
      </c>
      <c r="O365" s="12" t="s">
        <v>676</v>
      </c>
      <c r="P365" s="12">
        <f t="shared" si="11"/>
        <v>5294</v>
      </c>
      <c r="Q365" s="12" t="s">
        <v>46</v>
      </c>
      <c r="R365" s="12" t="s">
        <v>677</v>
      </c>
    </row>
    <row r="366" spans="1:18" ht="18" customHeight="1" x14ac:dyDescent="0.35">
      <c r="A366" s="12">
        <v>32</v>
      </c>
      <c r="B366" s="12" t="s">
        <v>670</v>
      </c>
      <c r="C366" s="12">
        <v>2020</v>
      </c>
      <c r="D366" s="12" t="s">
        <v>619</v>
      </c>
      <c r="E366" s="12" t="s">
        <v>671</v>
      </c>
      <c r="F366" s="12" t="s">
        <v>672</v>
      </c>
      <c r="G366" s="12" t="s">
        <v>86</v>
      </c>
      <c r="H366" s="12" t="s">
        <v>686</v>
      </c>
      <c r="I366" s="12">
        <v>42.24</v>
      </c>
      <c r="J366" s="16" t="s">
        <v>687</v>
      </c>
      <c r="K366" s="12" t="s">
        <v>41</v>
      </c>
      <c r="L366" s="12" t="s">
        <v>28</v>
      </c>
      <c r="N366" s="12">
        <v>8956</v>
      </c>
      <c r="O366" s="12" t="s">
        <v>676</v>
      </c>
      <c r="P366" s="12">
        <f t="shared" si="11"/>
        <v>8956</v>
      </c>
      <c r="Q366" s="12" t="s">
        <v>46</v>
      </c>
      <c r="R366" s="12" t="s">
        <v>677</v>
      </c>
    </row>
    <row r="367" spans="1:18" ht="18" customHeight="1" x14ac:dyDescent="0.35">
      <c r="A367" s="12">
        <v>32</v>
      </c>
      <c r="B367" s="12" t="s">
        <v>670</v>
      </c>
      <c r="C367" s="12">
        <v>2020</v>
      </c>
      <c r="D367" s="12" t="s">
        <v>619</v>
      </c>
      <c r="E367" s="12" t="s">
        <v>671</v>
      </c>
      <c r="F367" s="12" t="s">
        <v>672</v>
      </c>
      <c r="G367" s="12" t="s">
        <v>86</v>
      </c>
      <c r="H367" s="12" t="s">
        <v>688</v>
      </c>
      <c r="I367" s="12">
        <v>42.39</v>
      </c>
      <c r="J367" s="16" t="s">
        <v>689</v>
      </c>
      <c r="K367" s="12" t="s">
        <v>41</v>
      </c>
      <c r="L367" s="12" t="s">
        <v>28</v>
      </c>
      <c r="N367" s="12">
        <v>463423</v>
      </c>
      <c r="O367" s="12" t="s">
        <v>676</v>
      </c>
      <c r="P367" s="12">
        <f t="shared" si="11"/>
        <v>463423</v>
      </c>
      <c r="Q367" s="12" t="s">
        <v>46</v>
      </c>
      <c r="R367" s="12" t="s">
        <v>677</v>
      </c>
    </row>
    <row r="368" spans="1:18" ht="18" customHeight="1" x14ac:dyDescent="0.35">
      <c r="A368" s="12">
        <v>32</v>
      </c>
      <c r="B368" s="12" t="s">
        <v>670</v>
      </c>
      <c r="C368" s="12">
        <v>2020</v>
      </c>
      <c r="D368" s="12" t="s">
        <v>619</v>
      </c>
      <c r="E368" s="12" t="s">
        <v>671</v>
      </c>
      <c r="F368" s="12" t="s">
        <v>672</v>
      </c>
      <c r="G368" s="12" t="s">
        <v>86</v>
      </c>
      <c r="H368" s="12" t="s">
        <v>690</v>
      </c>
      <c r="I368" s="12">
        <v>42.3</v>
      </c>
      <c r="J368" s="16" t="s">
        <v>691</v>
      </c>
      <c r="K368" s="12" t="s">
        <v>41</v>
      </c>
      <c r="L368" s="12" t="s">
        <v>28</v>
      </c>
      <c r="N368" s="12">
        <v>294998</v>
      </c>
      <c r="O368" s="12" t="s">
        <v>676</v>
      </c>
      <c r="P368" s="12">
        <f t="shared" si="11"/>
        <v>294998</v>
      </c>
      <c r="Q368" s="12" t="s">
        <v>46</v>
      </c>
      <c r="R368" s="12" t="s">
        <v>677</v>
      </c>
    </row>
    <row r="369" spans="1:18" ht="18" customHeight="1" x14ac:dyDescent="0.35">
      <c r="A369" s="12">
        <v>32</v>
      </c>
      <c r="B369" s="12" t="s">
        <v>670</v>
      </c>
      <c r="C369" s="12">
        <v>2020</v>
      </c>
      <c r="D369" s="12" t="s">
        <v>619</v>
      </c>
      <c r="E369" s="12" t="s">
        <v>671</v>
      </c>
      <c r="F369" s="12" t="s">
        <v>672</v>
      </c>
      <c r="G369" s="12" t="s">
        <v>86</v>
      </c>
      <c r="H369" s="12" t="s">
        <v>692</v>
      </c>
      <c r="I369" s="12">
        <v>42.69</v>
      </c>
      <c r="J369" s="16" t="s">
        <v>693</v>
      </c>
      <c r="K369" s="12" t="s">
        <v>41</v>
      </c>
      <c r="L369" s="12" t="s">
        <v>28</v>
      </c>
      <c r="N369" s="12">
        <v>13660</v>
      </c>
      <c r="O369" s="12" t="s">
        <v>676</v>
      </c>
      <c r="P369" s="12">
        <f t="shared" si="11"/>
        <v>13660</v>
      </c>
      <c r="Q369" s="12" t="s">
        <v>46</v>
      </c>
      <c r="R369" s="12" t="s">
        <v>677</v>
      </c>
    </row>
    <row r="370" spans="1:18" ht="18" customHeight="1" x14ac:dyDescent="0.35">
      <c r="A370" s="12">
        <v>32</v>
      </c>
      <c r="B370" s="12" t="s">
        <v>670</v>
      </c>
      <c r="C370" s="12">
        <v>2020</v>
      </c>
      <c r="D370" s="12" t="s">
        <v>619</v>
      </c>
      <c r="E370" s="12" t="s">
        <v>671</v>
      </c>
      <c r="F370" s="12" t="s">
        <v>672</v>
      </c>
      <c r="G370" s="12" t="s">
        <v>86</v>
      </c>
      <c r="H370" s="12" t="s">
        <v>694</v>
      </c>
      <c r="I370" s="12">
        <v>42.85</v>
      </c>
      <c r="J370" s="16" t="s">
        <v>695</v>
      </c>
      <c r="K370" s="12" t="s">
        <v>41</v>
      </c>
      <c r="L370" s="12" t="s">
        <v>28</v>
      </c>
      <c r="N370" s="12">
        <v>16860</v>
      </c>
      <c r="O370" s="12" t="s">
        <v>676</v>
      </c>
      <c r="P370" s="12">
        <f t="shared" si="11"/>
        <v>16860</v>
      </c>
      <c r="Q370" s="12" t="s">
        <v>46</v>
      </c>
      <c r="R370" s="12" t="s">
        <v>677</v>
      </c>
    </row>
    <row r="371" spans="1:18" ht="18" customHeight="1" x14ac:dyDescent="0.35">
      <c r="A371" s="12">
        <v>32</v>
      </c>
      <c r="B371" s="12" t="s">
        <v>670</v>
      </c>
      <c r="C371" s="12">
        <v>2020</v>
      </c>
      <c r="D371" s="12" t="s">
        <v>619</v>
      </c>
      <c r="E371" s="12" t="s">
        <v>671</v>
      </c>
      <c r="F371" s="12" t="s">
        <v>672</v>
      </c>
      <c r="G371" s="12" t="s">
        <v>86</v>
      </c>
      <c r="H371" s="12" t="s">
        <v>696</v>
      </c>
      <c r="I371" s="12">
        <v>41.88</v>
      </c>
      <c r="J371" s="16" t="s">
        <v>697</v>
      </c>
      <c r="K371" s="12" t="s">
        <v>41</v>
      </c>
      <c r="L371" s="12" t="s">
        <v>28</v>
      </c>
      <c r="N371" s="12">
        <v>121073</v>
      </c>
      <c r="O371" s="12" t="s">
        <v>676</v>
      </c>
      <c r="P371" s="12">
        <f t="shared" si="11"/>
        <v>121073</v>
      </c>
      <c r="Q371" s="12" t="s">
        <v>46</v>
      </c>
      <c r="R371" s="12" t="s">
        <v>677</v>
      </c>
    </row>
    <row r="372" spans="1:18" ht="18" customHeight="1" x14ac:dyDescent="0.35">
      <c r="A372" s="12">
        <v>32</v>
      </c>
      <c r="B372" s="12" t="s">
        <v>670</v>
      </c>
      <c r="C372" s="12">
        <v>2020</v>
      </c>
      <c r="D372" s="12" t="s">
        <v>619</v>
      </c>
      <c r="E372" s="12" t="s">
        <v>671</v>
      </c>
      <c r="F372" s="12" t="s">
        <v>672</v>
      </c>
      <c r="G372" s="12" t="s">
        <v>86</v>
      </c>
      <c r="H372" s="12" t="s">
        <v>698</v>
      </c>
      <c r="I372" s="12">
        <v>42.1</v>
      </c>
      <c r="J372" s="16" t="s">
        <v>699</v>
      </c>
      <c r="K372" s="12" t="s">
        <v>41</v>
      </c>
      <c r="L372" s="12" t="s">
        <v>28</v>
      </c>
      <c r="N372" s="12">
        <v>25893</v>
      </c>
      <c r="O372" s="12" t="s">
        <v>676</v>
      </c>
      <c r="P372" s="12">
        <f t="shared" si="11"/>
        <v>25893</v>
      </c>
      <c r="Q372" s="12" t="s">
        <v>46</v>
      </c>
      <c r="R372" s="12" t="s">
        <v>677</v>
      </c>
    </row>
    <row r="373" spans="1:18" ht="18" customHeight="1" x14ac:dyDescent="0.35">
      <c r="A373" s="12">
        <v>32</v>
      </c>
      <c r="B373" s="12" t="s">
        <v>670</v>
      </c>
      <c r="C373" s="12">
        <v>2020</v>
      </c>
      <c r="D373" s="12" t="s">
        <v>619</v>
      </c>
      <c r="E373" s="12" t="s">
        <v>671</v>
      </c>
      <c r="F373" s="12" t="s">
        <v>672</v>
      </c>
      <c r="G373" s="12" t="s">
        <v>86</v>
      </c>
      <c r="H373" s="12" t="s">
        <v>700</v>
      </c>
      <c r="I373" s="12">
        <v>42.49</v>
      </c>
      <c r="J373" s="16" t="s">
        <v>701</v>
      </c>
      <c r="K373" s="12" t="s">
        <v>41</v>
      </c>
      <c r="L373" s="12" t="s">
        <v>28</v>
      </c>
      <c r="N373" s="12">
        <v>10327</v>
      </c>
      <c r="O373" s="12" t="s">
        <v>676</v>
      </c>
      <c r="P373" s="12">
        <f t="shared" si="11"/>
        <v>10327</v>
      </c>
      <c r="Q373" s="12" t="s">
        <v>46</v>
      </c>
      <c r="R373" s="12" t="s">
        <v>677</v>
      </c>
    </row>
    <row r="374" spans="1:18" ht="18" customHeight="1" x14ac:dyDescent="0.35">
      <c r="A374" s="12">
        <v>32</v>
      </c>
      <c r="B374" s="12" t="s">
        <v>670</v>
      </c>
      <c r="C374" s="12">
        <v>2020</v>
      </c>
      <c r="D374" s="12" t="s">
        <v>619</v>
      </c>
      <c r="E374" s="12" t="s">
        <v>671</v>
      </c>
      <c r="F374" s="12" t="s">
        <v>672</v>
      </c>
      <c r="G374" s="12" t="s">
        <v>86</v>
      </c>
      <c r="H374" s="12" t="s">
        <v>702</v>
      </c>
      <c r="I374" s="12">
        <v>41.95</v>
      </c>
      <c r="J374" s="16" t="s">
        <v>703</v>
      </c>
      <c r="K374" s="12" t="s">
        <v>41</v>
      </c>
      <c r="L374" s="12" t="s">
        <v>28</v>
      </c>
      <c r="N374" s="12">
        <v>8872</v>
      </c>
      <c r="O374" s="12" t="s">
        <v>676</v>
      </c>
      <c r="P374" s="12">
        <f t="shared" si="11"/>
        <v>8872</v>
      </c>
      <c r="Q374" s="12" t="s">
        <v>46</v>
      </c>
      <c r="R374" s="12" t="s">
        <v>677</v>
      </c>
    </row>
    <row r="375" spans="1:18" ht="18" customHeight="1" x14ac:dyDescent="0.35">
      <c r="A375" s="12">
        <v>32</v>
      </c>
      <c r="B375" s="12" t="s">
        <v>670</v>
      </c>
      <c r="C375" s="12">
        <v>2020</v>
      </c>
      <c r="D375" s="12" t="s">
        <v>619</v>
      </c>
      <c r="E375" s="12" t="s">
        <v>671</v>
      </c>
      <c r="F375" s="12" t="s">
        <v>672</v>
      </c>
      <c r="G375" s="12" t="s">
        <v>86</v>
      </c>
      <c r="H375" s="12" t="s">
        <v>704</v>
      </c>
      <c r="I375" s="12">
        <v>41.6</v>
      </c>
      <c r="J375" s="16" t="s">
        <v>705</v>
      </c>
      <c r="K375" s="12" t="s">
        <v>41</v>
      </c>
      <c r="L375" s="12" t="s">
        <v>28</v>
      </c>
      <c r="N375" s="12">
        <v>14449</v>
      </c>
      <c r="O375" s="12" t="s">
        <v>676</v>
      </c>
      <c r="P375" s="12">
        <f t="shared" si="11"/>
        <v>14449</v>
      </c>
      <c r="Q375" s="12" t="s">
        <v>46</v>
      </c>
      <c r="R375" s="12" t="s">
        <v>677</v>
      </c>
    </row>
    <row r="376" spans="1:18" ht="18" customHeight="1" x14ac:dyDescent="0.35">
      <c r="A376" s="12">
        <v>32</v>
      </c>
      <c r="B376" s="12" t="s">
        <v>670</v>
      </c>
      <c r="C376" s="12">
        <v>2020</v>
      </c>
      <c r="D376" s="12" t="s">
        <v>619</v>
      </c>
      <c r="E376" s="12" t="s">
        <v>671</v>
      </c>
      <c r="F376" s="12" t="s">
        <v>672</v>
      </c>
      <c r="G376" s="12" t="s">
        <v>86</v>
      </c>
      <c r="H376" s="12" t="s">
        <v>706</v>
      </c>
      <c r="I376" s="12">
        <v>42.49</v>
      </c>
      <c r="J376" s="16" t="s">
        <v>707</v>
      </c>
      <c r="K376" s="12" t="s">
        <v>41</v>
      </c>
      <c r="L376" s="12" t="s">
        <v>28</v>
      </c>
      <c r="N376" s="12">
        <v>6955</v>
      </c>
      <c r="O376" s="12" t="s">
        <v>676</v>
      </c>
      <c r="P376" s="12">
        <f t="shared" si="11"/>
        <v>6955</v>
      </c>
      <c r="Q376" s="12" t="s">
        <v>46</v>
      </c>
      <c r="R376" s="12" t="s">
        <v>677</v>
      </c>
    </row>
    <row r="377" spans="1:18" ht="18" customHeight="1" x14ac:dyDescent="0.35">
      <c r="A377" s="12">
        <v>32</v>
      </c>
      <c r="B377" s="12" t="s">
        <v>670</v>
      </c>
      <c r="C377" s="12">
        <v>2020</v>
      </c>
      <c r="D377" s="12" t="s">
        <v>619</v>
      </c>
      <c r="E377" s="12" t="s">
        <v>671</v>
      </c>
      <c r="F377" s="12" t="s">
        <v>672</v>
      </c>
      <c r="G377" s="12" t="s">
        <v>86</v>
      </c>
      <c r="H377" s="12" t="s">
        <v>708</v>
      </c>
      <c r="I377" s="12">
        <v>43.34</v>
      </c>
      <c r="J377" s="16" t="s">
        <v>709</v>
      </c>
      <c r="K377" s="12" t="s">
        <v>41</v>
      </c>
      <c r="L377" s="12" t="s">
        <v>28</v>
      </c>
      <c r="N377" s="12">
        <v>14975</v>
      </c>
      <c r="O377" s="12" t="s">
        <v>676</v>
      </c>
      <c r="P377" s="12">
        <f t="shared" si="11"/>
        <v>14975</v>
      </c>
      <c r="Q377" s="12" t="s">
        <v>46</v>
      </c>
      <c r="R377" s="12" t="s">
        <v>677</v>
      </c>
    </row>
    <row r="378" spans="1:18" ht="18" customHeight="1" x14ac:dyDescent="0.35">
      <c r="A378" s="12">
        <v>32</v>
      </c>
      <c r="B378" s="12" t="s">
        <v>670</v>
      </c>
      <c r="C378" s="12">
        <v>2020</v>
      </c>
      <c r="D378" s="12" t="s">
        <v>619</v>
      </c>
      <c r="E378" s="12" t="s">
        <v>671</v>
      </c>
      <c r="F378" s="12" t="s">
        <v>672</v>
      </c>
      <c r="G378" s="12" t="s">
        <v>86</v>
      </c>
      <c r="H378" s="12" t="s">
        <v>710</v>
      </c>
      <c r="I378" s="12">
        <v>43.33</v>
      </c>
      <c r="J378" s="16" t="s">
        <v>711</v>
      </c>
      <c r="K378" s="12" t="s">
        <v>41</v>
      </c>
      <c r="L378" s="12" t="s">
        <v>28</v>
      </c>
      <c r="N378" s="12">
        <v>240120</v>
      </c>
      <c r="O378" s="12" t="s">
        <v>676</v>
      </c>
      <c r="P378" s="12">
        <f t="shared" si="11"/>
        <v>240120</v>
      </c>
      <c r="Q378" s="12" t="s">
        <v>46</v>
      </c>
      <c r="R378" s="12" t="s">
        <v>677</v>
      </c>
    </row>
    <row r="379" spans="1:18" x14ac:dyDescent="0.35">
      <c r="A379" s="12">
        <v>32</v>
      </c>
      <c r="B379" s="12" t="s">
        <v>670</v>
      </c>
      <c r="C379" s="12">
        <v>2020</v>
      </c>
      <c r="D379" s="12" t="s">
        <v>619</v>
      </c>
      <c r="E379" s="12" t="s">
        <v>671</v>
      </c>
      <c r="F379" s="12" t="s">
        <v>672</v>
      </c>
      <c r="G379" s="12" t="s">
        <v>86</v>
      </c>
      <c r="H379" s="12" t="s">
        <v>712</v>
      </c>
      <c r="I379" s="12">
        <v>43.21</v>
      </c>
      <c r="J379" s="16" t="s">
        <v>713</v>
      </c>
      <c r="K379" s="12" t="s">
        <v>41</v>
      </c>
      <c r="L379" s="12" t="s">
        <v>28</v>
      </c>
      <c r="N379" s="12">
        <v>618844</v>
      </c>
      <c r="O379" s="12" t="s">
        <v>676</v>
      </c>
      <c r="P379" s="12">
        <f t="shared" si="11"/>
        <v>618844</v>
      </c>
      <c r="Q379" s="12" t="s">
        <v>46</v>
      </c>
      <c r="R379" s="12" t="s">
        <v>677</v>
      </c>
    </row>
    <row r="380" spans="1:18" x14ac:dyDescent="0.35">
      <c r="A380" s="12">
        <v>32</v>
      </c>
      <c r="B380" s="12" t="s">
        <v>670</v>
      </c>
      <c r="C380" s="12">
        <v>2020</v>
      </c>
      <c r="D380" s="12" t="s">
        <v>619</v>
      </c>
      <c r="E380" s="12" t="s">
        <v>671</v>
      </c>
      <c r="F380" s="12" t="s">
        <v>672</v>
      </c>
      <c r="G380" s="12" t="s">
        <v>86</v>
      </c>
      <c r="H380" s="12" t="s">
        <v>714</v>
      </c>
      <c r="I380" s="12">
        <v>43.25</v>
      </c>
      <c r="J380" s="16" t="s">
        <v>715</v>
      </c>
      <c r="K380" s="12" t="s">
        <v>41</v>
      </c>
      <c r="L380" s="12" t="s">
        <v>28</v>
      </c>
      <c r="N380" s="12">
        <v>130247</v>
      </c>
      <c r="O380" s="12" t="s">
        <v>676</v>
      </c>
      <c r="P380" s="12">
        <f t="shared" si="11"/>
        <v>130247</v>
      </c>
      <c r="Q380" s="12" t="s">
        <v>46</v>
      </c>
      <c r="R380" s="12" t="s">
        <v>677</v>
      </c>
    </row>
    <row r="381" spans="1:18" x14ac:dyDescent="0.35">
      <c r="A381" s="12">
        <v>32</v>
      </c>
      <c r="B381" s="12" t="s">
        <v>670</v>
      </c>
      <c r="C381" s="12">
        <v>2020</v>
      </c>
      <c r="D381" s="12" t="s">
        <v>619</v>
      </c>
      <c r="E381" s="12" t="s">
        <v>671</v>
      </c>
      <c r="F381" s="12" t="s">
        <v>672</v>
      </c>
      <c r="G381" s="12" t="s">
        <v>86</v>
      </c>
      <c r="H381" s="12" t="s">
        <v>716</v>
      </c>
      <c r="I381" s="12">
        <v>43.3</v>
      </c>
      <c r="J381" s="16" t="s">
        <v>715</v>
      </c>
      <c r="K381" s="12" t="s">
        <v>41</v>
      </c>
      <c r="L381" s="12" t="s">
        <v>28</v>
      </c>
      <c r="N381" s="12">
        <v>643406</v>
      </c>
      <c r="O381" s="12" t="s">
        <v>676</v>
      </c>
      <c r="P381" s="12">
        <f t="shared" si="11"/>
        <v>643406</v>
      </c>
      <c r="Q381" s="12" t="s">
        <v>46</v>
      </c>
      <c r="R381" s="12" t="s">
        <v>677</v>
      </c>
    </row>
    <row r="382" spans="1:18" x14ac:dyDescent="0.35">
      <c r="A382" s="12">
        <v>32</v>
      </c>
      <c r="B382" s="12" t="s">
        <v>670</v>
      </c>
      <c r="C382" s="12">
        <v>2020</v>
      </c>
      <c r="D382" s="12" t="s">
        <v>619</v>
      </c>
      <c r="E382" s="12" t="s">
        <v>671</v>
      </c>
      <c r="F382" s="12" t="s">
        <v>672</v>
      </c>
      <c r="G382" s="12" t="s">
        <v>86</v>
      </c>
      <c r="H382" s="12" t="s">
        <v>717</v>
      </c>
      <c r="I382" s="12">
        <v>42.63</v>
      </c>
      <c r="J382" s="16" t="s">
        <v>718</v>
      </c>
      <c r="K382" s="12" t="s">
        <v>41</v>
      </c>
      <c r="L382" s="12" t="s">
        <v>28</v>
      </c>
      <c r="N382" s="12">
        <v>1422</v>
      </c>
      <c r="O382" s="12" t="s">
        <v>676</v>
      </c>
      <c r="P382" s="12">
        <f t="shared" si="11"/>
        <v>1422</v>
      </c>
      <c r="Q382" s="12" t="s">
        <v>46</v>
      </c>
      <c r="R382" s="12" t="s">
        <v>677</v>
      </c>
    </row>
    <row r="383" spans="1:18" x14ac:dyDescent="0.35">
      <c r="A383" s="12">
        <v>32</v>
      </c>
      <c r="B383" s="12" t="s">
        <v>670</v>
      </c>
      <c r="C383" s="12">
        <v>2020</v>
      </c>
      <c r="D383" s="12" t="s">
        <v>619</v>
      </c>
      <c r="E383" s="12" t="s">
        <v>671</v>
      </c>
      <c r="F383" s="12" t="s">
        <v>672</v>
      </c>
      <c r="G383" s="12" t="s">
        <v>86</v>
      </c>
      <c r="H383" s="12" t="s">
        <v>719</v>
      </c>
      <c r="I383" s="12">
        <v>43.57</v>
      </c>
      <c r="J383" s="16" t="s">
        <v>720</v>
      </c>
      <c r="K383" s="12" t="s">
        <v>41</v>
      </c>
      <c r="L383" s="12" t="s">
        <v>28</v>
      </c>
      <c r="N383" s="12">
        <v>778859</v>
      </c>
      <c r="O383" s="12" t="s">
        <v>676</v>
      </c>
      <c r="P383" s="12">
        <f t="shared" si="11"/>
        <v>778859</v>
      </c>
      <c r="Q383" s="12" t="s">
        <v>46</v>
      </c>
      <c r="R383" s="12" t="s">
        <v>677</v>
      </c>
    </row>
    <row r="384" spans="1:18" x14ac:dyDescent="0.35">
      <c r="A384" s="12">
        <v>32</v>
      </c>
      <c r="B384" s="12" t="s">
        <v>670</v>
      </c>
      <c r="C384" s="12">
        <v>2020</v>
      </c>
      <c r="D384" s="12" t="s">
        <v>619</v>
      </c>
      <c r="E384" s="12" t="s">
        <v>671</v>
      </c>
      <c r="F384" s="12" t="s">
        <v>672</v>
      </c>
      <c r="G384" s="12" t="s">
        <v>86</v>
      </c>
      <c r="H384" s="12" t="s">
        <v>721</v>
      </c>
      <c r="I384" s="12">
        <v>43.73</v>
      </c>
      <c r="J384" s="16" t="s">
        <v>722</v>
      </c>
      <c r="K384" s="12" t="s">
        <v>41</v>
      </c>
      <c r="L384" s="12" t="s">
        <v>28</v>
      </c>
      <c r="N384" s="12">
        <v>203465</v>
      </c>
      <c r="O384" s="12" t="s">
        <v>676</v>
      </c>
      <c r="P384" s="12">
        <f t="shared" si="11"/>
        <v>203465</v>
      </c>
      <c r="Q384" s="12" t="s">
        <v>46</v>
      </c>
      <c r="R384" s="12" t="s">
        <v>677</v>
      </c>
    </row>
    <row r="385" spans="1:18" x14ac:dyDescent="0.35">
      <c r="A385" s="12">
        <v>32</v>
      </c>
      <c r="B385" s="12" t="s">
        <v>670</v>
      </c>
      <c r="C385" s="12">
        <v>2020</v>
      </c>
      <c r="D385" s="12" t="s">
        <v>619</v>
      </c>
      <c r="E385" s="12" t="s">
        <v>671</v>
      </c>
      <c r="F385" s="12" t="s">
        <v>672</v>
      </c>
      <c r="G385" s="12" t="s">
        <v>86</v>
      </c>
      <c r="H385" s="12" t="s">
        <v>723</v>
      </c>
      <c r="I385" s="12">
        <v>43.79</v>
      </c>
      <c r="J385" s="16" t="s">
        <v>724</v>
      </c>
      <c r="K385" s="12" t="s">
        <v>41</v>
      </c>
      <c r="L385" s="12" t="s">
        <v>28</v>
      </c>
      <c r="N385" s="12">
        <v>98855</v>
      </c>
      <c r="O385" s="12" t="s">
        <v>676</v>
      </c>
      <c r="P385" s="12">
        <f t="shared" si="11"/>
        <v>98855</v>
      </c>
      <c r="Q385" s="12" t="s">
        <v>46</v>
      </c>
      <c r="R385" s="12" t="s">
        <v>677</v>
      </c>
    </row>
    <row r="386" spans="1:18" x14ac:dyDescent="0.35">
      <c r="A386" s="12">
        <v>32</v>
      </c>
      <c r="B386" s="12" t="s">
        <v>670</v>
      </c>
      <c r="C386" s="12">
        <v>2020</v>
      </c>
      <c r="D386" s="12" t="s">
        <v>619</v>
      </c>
      <c r="E386" s="12" t="s">
        <v>671</v>
      </c>
      <c r="F386" s="12" t="s">
        <v>672</v>
      </c>
      <c r="G386" s="12" t="s">
        <v>86</v>
      </c>
      <c r="H386" s="12" t="s">
        <v>725</v>
      </c>
      <c r="I386" s="12">
        <v>42.51</v>
      </c>
      <c r="J386" s="16" t="s">
        <v>726</v>
      </c>
      <c r="K386" s="12" t="s">
        <v>41</v>
      </c>
      <c r="L386" s="12" t="s">
        <v>28</v>
      </c>
      <c r="N386" s="12">
        <v>6715</v>
      </c>
      <c r="O386" s="12" t="s">
        <v>676</v>
      </c>
      <c r="P386" s="12">
        <f t="shared" si="11"/>
        <v>6715</v>
      </c>
      <c r="Q386" s="12" t="s">
        <v>46</v>
      </c>
      <c r="R386" s="12" t="s">
        <v>677</v>
      </c>
    </row>
    <row r="387" spans="1:18" x14ac:dyDescent="0.35">
      <c r="A387" s="12">
        <v>32</v>
      </c>
      <c r="B387" s="12" t="s">
        <v>670</v>
      </c>
      <c r="C387" s="12">
        <v>2020</v>
      </c>
      <c r="D387" s="12" t="s">
        <v>619</v>
      </c>
      <c r="E387" s="12" t="s">
        <v>671</v>
      </c>
      <c r="F387" s="12" t="s">
        <v>672</v>
      </c>
      <c r="G387" s="12" t="s">
        <v>86</v>
      </c>
      <c r="H387" s="12" t="s">
        <v>727</v>
      </c>
      <c r="I387" s="12">
        <v>45.56</v>
      </c>
      <c r="J387" s="16" t="s">
        <v>728</v>
      </c>
      <c r="K387" s="12" t="s">
        <v>41</v>
      </c>
      <c r="L387" s="12" t="s">
        <v>28</v>
      </c>
      <c r="N387" s="12">
        <v>154906</v>
      </c>
      <c r="O387" s="12" t="s">
        <v>676</v>
      </c>
      <c r="P387" s="12">
        <f t="shared" si="11"/>
        <v>154906</v>
      </c>
      <c r="Q387" s="12" t="s">
        <v>46</v>
      </c>
      <c r="R387" s="12" t="s">
        <v>677</v>
      </c>
    </row>
    <row r="388" spans="1:18" x14ac:dyDescent="0.35">
      <c r="A388" s="12">
        <v>32</v>
      </c>
      <c r="B388" s="12" t="s">
        <v>670</v>
      </c>
      <c r="C388" s="12">
        <v>2020</v>
      </c>
      <c r="D388" s="12" t="s">
        <v>619</v>
      </c>
      <c r="E388" s="12" t="s">
        <v>671</v>
      </c>
      <c r="F388" s="12" t="s">
        <v>672</v>
      </c>
      <c r="G388" s="12" t="s">
        <v>86</v>
      </c>
      <c r="H388" s="12" t="s">
        <v>729</v>
      </c>
      <c r="I388" s="12">
        <v>45.26</v>
      </c>
      <c r="J388" s="16" t="s">
        <v>730</v>
      </c>
      <c r="K388" s="12" t="s">
        <v>41</v>
      </c>
      <c r="L388" s="12" t="s">
        <v>28</v>
      </c>
      <c r="N388" s="12">
        <v>24785</v>
      </c>
      <c r="O388" s="12" t="s">
        <v>676</v>
      </c>
      <c r="P388" s="12">
        <f t="shared" si="11"/>
        <v>24785</v>
      </c>
      <c r="Q388" s="12" t="s">
        <v>46</v>
      </c>
      <c r="R388" s="12" t="s">
        <v>677</v>
      </c>
    </row>
    <row r="389" spans="1:18" x14ac:dyDescent="0.35">
      <c r="A389" s="12">
        <v>32</v>
      </c>
      <c r="B389" s="12" t="s">
        <v>670</v>
      </c>
      <c r="C389" s="12">
        <v>2020</v>
      </c>
      <c r="D389" s="12" t="s">
        <v>619</v>
      </c>
      <c r="E389" s="12" t="s">
        <v>671</v>
      </c>
      <c r="F389" s="12" t="s">
        <v>672</v>
      </c>
      <c r="G389" s="12" t="s">
        <v>86</v>
      </c>
      <c r="H389" s="12" t="s">
        <v>731</v>
      </c>
      <c r="I389" s="12">
        <v>44.8</v>
      </c>
      <c r="J389" s="16" t="s">
        <v>732</v>
      </c>
      <c r="K389" s="12" t="s">
        <v>41</v>
      </c>
      <c r="L389" s="12" t="s">
        <v>28</v>
      </c>
      <c r="N389" s="12">
        <v>109762</v>
      </c>
      <c r="O389" s="12" t="s">
        <v>676</v>
      </c>
      <c r="P389" s="12">
        <f t="shared" si="11"/>
        <v>109762</v>
      </c>
      <c r="Q389" s="12" t="s">
        <v>46</v>
      </c>
      <c r="R389" s="12" t="s">
        <v>677</v>
      </c>
    </row>
    <row r="390" spans="1:18" x14ac:dyDescent="0.35">
      <c r="A390" s="12">
        <v>32</v>
      </c>
      <c r="B390" s="12" t="s">
        <v>670</v>
      </c>
      <c r="C390" s="12">
        <v>2020</v>
      </c>
      <c r="D390" s="12" t="s">
        <v>619</v>
      </c>
      <c r="E390" s="12" t="s">
        <v>671</v>
      </c>
      <c r="F390" s="12" t="s">
        <v>672</v>
      </c>
      <c r="G390" s="12" t="s">
        <v>86</v>
      </c>
      <c r="H390" s="12" t="s">
        <v>733</v>
      </c>
      <c r="I390" s="12">
        <v>44.37</v>
      </c>
      <c r="J390" s="16" t="s">
        <v>734</v>
      </c>
      <c r="K390" s="12" t="s">
        <v>41</v>
      </c>
      <c r="L390" s="12" t="s">
        <v>28</v>
      </c>
      <c r="N390" s="12">
        <v>206256</v>
      </c>
      <c r="O390" s="12" t="s">
        <v>676</v>
      </c>
      <c r="P390" s="12">
        <f t="shared" si="11"/>
        <v>206256</v>
      </c>
      <c r="Q390" s="12" t="s">
        <v>46</v>
      </c>
      <c r="R390" s="12" t="s">
        <v>677</v>
      </c>
    </row>
    <row r="391" spans="1:18" x14ac:dyDescent="0.35">
      <c r="A391" s="12">
        <v>32</v>
      </c>
      <c r="B391" s="12" t="s">
        <v>670</v>
      </c>
      <c r="C391" s="12">
        <v>2020</v>
      </c>
      <c r="D391" s="12" t="s">
        <v>619</v>
      </c>
      <c r="E391" s="12" t="s">
        <v>671</v>
      </c>
      <c r="F391" s="12" t="s">
        <v>672</v>
      </c>
      <c r="G391" s="12" t="s">
        <v>86</v>
      </c>
      <c r="H391" s="12" t="s">
        <v>735</v>
      </c>
      <c r="I391" s="12">
        <v>44.04</v>
      </c>
      <c r="J391" s="16" t="s">
        <v>736</v>
      </c>
      <c r="K391" s="12" t="s">
        <v>41</v>
      </c>
      <c r="L391" s="12" t="s">
        <v>28</v>
      </c>
      <c r="N391" s="12">
        <v>6104</v>
      </c>
      <c r="O391" s="12" t="s">
        <v>676</v>
      </c>
      <c r="P391" s="12">
        <f t="shared" si="11"/>
        <v>6104</v>
      </c>
      <c r="Q391" s="12" t="s">
        <v>46</v>
      </c>
      <c r="R391" s="12" t="s">
        <v>677</v>
      </c>
    </row>
    <row r="392" spans="1:18" x14ac:dyDescent="0.35">
      <c r="A392" s="12">
        <v>32</v>
      </c>
      <c r="B392" s="12" t="s">
        <v>670</v>
      </c>
      <c r="C392" s="12">
        <v>2020</v>
      </c>
      <c r="D392" s="12" t="s">
        <v>619</v>
      </c>
      <c r="E392" s="12" t="s">
        <v>671</v>
      </c>
      <c r="F392" s="12" t="s">
        <v>672</v>
      </c>
      <c r="G392" s="12" t="s">
        <v>86</v>
      </c>
      <c r="H392" s="12" t="s">
        <v>737</v>
      </c>
      <c r="I392" s="12">
        <v>43.78</v>
      </c>
      <c r="J392" s="16" t="s">
        <v>738</v>
      </c>
      <c r="K392" s="12" t="s">
        <v>41</v>
      </c>
      <c r="L392" s="12" t="s">
        <v>28</v>
      </c>
      <c r="N392" s="12">
        <v>1378327</v>
      </c>
      <c r="O392" s="12" t="s">
        <v>676</v>
      </c>
      <c r="P392" s="12">
        <f t="shared" si="11"/>
        <v>1378327</v>
      </c>
      <c r="Q392" s="12" t="s">
        <v>46</v>
      </c>
      <c r="R392" s="12" t="s">
        <v>677</v>
      </c>
    </row>
    <row r="393" spans="1:18" x14ac:dyDescent="0.35">
      <c r="A393" s="12">
        <v>32</v>
      </c>
      <c r="B393" s="12" t="s">
        <v>670</v>
      </c>
      <c r="C393" s="12">
        <v>2020</v>
      </c>
      <c r="D393" s="12" t="s">
        <v>619</v>
      </c>
      <c r="E393" s="12" t="s">
        <v>671</v>
      </c>
      <c r="F393" s="12" t="s">
        <v>672</v>
      </c>
      <c r="G393" s="12" t="s">
        <v>86</v>
      </c>
      <c r="H393" s="12" t="s">
        <v>739</v>
      </c>
      <c r="I393" s="12">
        <v>43.48</v>
      </c>
      <c r="J393" s="16" t="s">
        <v>740</v>
      </c>
      <c r="K393" s="12" t="s">
        <v>41</v>
      </c>
      <c r="L393" s="12" t="s">
        <v>28</v>
      </c>
      <c r="N393" s="12">
        <v>42738</v>
      </c>
      <c r="O393" s="12" t="s">
        <v>676</v>
      </c>
      <c r="P393" s="12">
        <f t="shared" ref="P393:P415" si="12">N393</f>
        <v>42738</v>
      </c>
      <c r="Q393" s="12" t="s">
        <v>46</v>
      </c>
      <c r="R393" s="12" t="s">
        <v>677</v>
      </c>
    </row>
    <row r="394" spans="1:18" x14ac:dyDescent="0.35">
      <c r="A394" s="12">
        <v>32</v>
      </c>
      <c r="B394" s="12" t="s">
        <v>670</v>
      </c>
      <c r="C394" s="12">
        <v>2020</v>
      </c>
      <c r="D394" s="12" t="s">
        <v>619</v>
      </c>
      <c r="E394" s="12" t="s">
        <v>671</v>
      </c>
      <c r="F394" s="12" t="s">
        <v>672</v>
      </c>
      <c r="G394" s="12" t="s">
        <v>86</v>
      </c>
      <c r="H394" s="12" t="s">
        <v>741</v>
      </c>
      <c r="I394" s="12">
        <v>43.65</v>
      </c>
      <c r="J394" s="16" t="s">
        <v>742</v>
      </c>
      <c r="K394" s="12" t="s">
        <v>41</v>
      </c>
      <c r="L394" s="12" t="s">
        <v>28</v>
      </c>
      <c r="N394" s="12">
        <v>190577</v>
      </c>
      <c r="O394" s="12" t="s">
        <v>676</v>
      </c>
      <c r="P394" s="12">
        <f t="shared" si="12"/>
        <v>190577</v>
      </c>
      <c r="Q394" s="12" t="s">
        <v>46</v>
      </c>
      <c r="R394" s="12" t="s">
        <v>677</v>
      </c>
    </row>
    <row r="395" spans="1:18" x14ac:dyDescent="0.35">
      <c r="A395" s="12">
        <v>32</v>
      </c>
      <c r="B395" s="12" t="s">
        <v>670</v>
      </c>
      <c r="C395" s="12">
        <v>2020</v>
      </c>
      <c r="D395" s="12" t="s">
        <v>619</v>
      </c>
      <c r="E395" s="12" t="s">
        <v>671</v>
      </c>
      <c r="F395" s="12" t="s">
        <v>672</v>
      </c>
      <c r="G395" s="12" t="s">
        <v>86</v>
      </c>
      <c r="H395" s="12" t="s">
        <v>743</v>
      </c>
      <c r="I395" s="12">
        <v>43.5</v>
      </c>
      <c r="J395" s="16" t="s">
        <v>744</v>
      </c>
      <c r="K395" s="12" t="s">
        <v>41</v>
      </c>
      <c r="L395" s="12" t="s">
        <v>28</v>
      </c>
      <c r="N395" s="12">
        <v>50986</v>
      </c>
      <c r="O395" s="12" t="s">
        <v>676</v>
      </c>
      <c r="P395" s="12">
        <f t="shared" si="12"/>
        <v>50986</v>
      </c>
      <c r="Q395" s="12" t="s">
        <v>46</v>
      </c>
      <c r="R395" s="12" t="s">
        <v>677</v>
      </c>
    </row>
    <row r="396" spans="1:18" x14ac:dyDescent="0.35">
      <c r="A396" s="12">
        <v>32</v>
      </c>
      <c r="B396" s="12" t="s">
        <v>670</v>
      </c>
      <c r="C396" s="12">
        <v>2020</v>
      </c>
      <c r="D396" s="12" t="s">
        <v>619</v>
      </c>
      <c r="E396" s="12" t="s">
        <v>671</v>
      </c>
      <c r="F396" s="12" t="s">
        <v>672</v>
      </c>
      <c r="G396" s="12" t="s">
        <v>86</v>
      </c>
      <c r="H396" s="12" t="s">
        <v>745</v>
      </c>
      <c r="I396" s="12">
        <v>43.62</v>
      </c>
      <c r="J396" s="16" t="s">
        <v>746</v>
      </c>
      <c r="K396" s="12" t="s">
        <v>41</v>
      </c>
      <c r="L396" s="12" t="s">
        <v>28</v>
      </c>
      <c r="N396" s="12">
        <v>54823</v>
      </c>
      <c r="O396" s="12" t="s">
        <v>676</v>
      </c>
      <c r="P396" s="12">
        <f t="shared" si="12"/>
        <v>54823</v>
      </c>
      <c r="Q396" s="12" t="s">
        <v>46</v>
      </c>
      <c r="R396" s="12" t="s">
        <v>677</v>
      </c>
    </row>
    <row r="397" spans="1:18" x14ac:dyDescent="0.35">
      <c r="A397" s="12">
        <v>32</v>
      </c>
      <c r="B397" s="12" t="s">
        <v>670</v>
      </c>
      <c r="C397" s="12">
        <v>2020</v>
      </c>
      <c r="D397" s="12" t="s">
        <v>619</v>
      </c>
      <c r="E397" s="12" t="s">
        <v>671</v>
      </c>
      <c r="F397" s="12" t="s">
        <v>672</v>
      </c>
      <c r="G397" s="12" t="s">
        <v>86</v>
      </c>
      <c r="H397" s="12" t="s">
        <v>747</v>
      </c>
      <c r="I397" s="12">
        <v>42.21</v>
      </c>
      <c r="J397" s="16" t="s">
        <v>726</v>
      </c>
      <c r="K397" s="12" t="s">
        <v>41</v>
      </c>
      <c r="L397" s="12" t="s">
        <v>28</v>
      </c>
      <c r="N397" s="12">
        <v>6332</v>
      </c>
      <c r="O397" s="12" t="s">
        <v>676</v>
      </c>
      <c r="P397" s="12">
        <f t="shared" si="12"/>
        <v>6332</v>
      </c>
      <c r="Q397" s="12" t="s">
        <v>46</v>
      </c>
      <c r="R397" s="12" t="s">
        <v>677</v>
      </c>
    </row>
    <row r="398" spans="1:18" x14ac:dyDescent="0.35">
      <c r="A398" s="12">
        <v>32</v>
      </c>
      <c r="B398" s="12" t="s">
        <v>670</v>
      </c>
      <c r="C398" s="12">
        <v>2020</v>
      </c>
      <c r="D398" s="12" t="s">
        <v>619</v>
      </c>
      <c r="E398" s="12" t="s">
        <v>671</v>
      </c>
      <c r="F398" s="12" t="s">
        <v>672</v>
      </c>
      <c r="G398" s="12" t="s">
        <v>86</v>
      </c>
      <c r="H398" s="12" t="s">
        <v>748</v>
      </c>
      <c r="I398" s="12">
        <v>42.18</v>
      </c>
      <c r="J398" s="16" t="s">
        <v>749</v>
      </c>
      <c r="K398" s="12" t="s">
        <v>41</v>
      </c>
      <c r="L398" s="12" t="s">
        <v>28</v>
      </c>
      <c r="N398" s="12">
        <v>23577</v>
      </c>
      <c r="O398" s="12" t="s">
        <v>676</v>
      </c>
      <c r="P398" s="12">
        <f t="shared" si="12"/>
        <v>23577</v>
      </c>
      <c r="Q398" s="12" t="s">
        <v>46</v>
      </c>
      <c r="R398" s="12" t="s">
        <v>677</v>
      </c>
    </row>
    <row r="399" spans="1:18" x14ac:dyDescent="0.35">
      <c r="A399" s="12">
        <v>32</v>
      </c>
      <c r="B399" s="12" t="s">
        <v>670</v>
      </c>
      <c r="C399" s="12">
        <v>2020</v>
      </c>
      <c r="D399" s="12" t="s">
        <v>619</v>
      </c>
      <c r="E399" s="12" t="s">
        <v>671</v>
      </c>
      <c r="F399" s="12" t="s">
        <v>672</v>
      </c>
      <c r="G399" s="12" t="s">
        <v>86</v>
      </c>
      <c r="H399" s="12" t="s">
        <v>750</v>
      </c>
      <c r="I399" s="12">
        <v>41.68</v>
      </c>
      <c r="J399" s="16" t="s">
        <v>751</v>
      </c>
      <c r="K399" s="12" t="s">
        <v>41</v>
      </c>
      <c r="L399" s="12" t="s">
        <v>28</v>
      </c>
      <c r="N399" s="12">
        <v>9425</v>
      </c>
      <c r="O399" s="12" t="s">
        <v>676</v>
      </c>
      <c r="P399" s="12">
        <f t="shared" si="12"/>
        <v>9425</v>
      </c>
      <c r="Q399" s="12" t="s">
        <v>46</v>
      </c>
      <c r="R399" s="12" t="s">
        <v>677</v>
      </c>
    </row>
    <row r="400" spans="1:18" x14ac:dyDescent="0.35">
      <c r="A400" s="12">
        <v>32</v>
      </c>
      <c r="B400" s="12" t="s">
        <v>670</v>
      </c>
      <c r="C400" s="12">
        <v>2020</v>
      </c>
      <c r="D400" s="12" t="s">
        <v>619</v>
      </c>
      <c r="E400" s="12" t="s">
        <v>671</v>
      </c>
      <c r="F400" s="12" t="s">
        <v>672</v>
      </c>
      <c r="G400" s="12" t="s">
        <v>86</v>
      </c>
      <c r="H400" s="12" t="s">
        <v>752</v>
      </c>
      <c r="I400" s="12">
        <v>41.71</v>
      </c>
      <c r="J400" s="16" t="s">
        <v>753</v>
      </c>
      <c r="K400" s="12" t="s">
        <v>41</v>
      </c>
      <c r="L400" s="12" t="s">
        <v>28</v>
      </c>
      <c r="N400" s="12">
        <v>6917</v>
      </c>
      <c r="O400" s="12" t="s">
        <v>676</v>
      </c>
      <c r="P400" s="12">
        <f t="shared" si="12"/>
        <v>6917</v>
      </c>
      <c r="Q400" s="12" t="s">
        <v>46</v>
      </c>
      <c r="R400" s="12" t="s">
        <v>677</v>
      </c>
    </row>
    <row r="401" spans="1:18" x14ac:dyDescent="0.35">
      <c r="A401" s="12">
        <v>32</v>
      </c>
      <c r="B401" s="12" t="s">
        <v>670</v>
      </c>
      <c r="C401" s="12">
        <v>2020</v>
      </c>
      <c r="D401" s="12" t="s">
        <v>619</v>
      </c>
      <c r="E401" s="12" t="s">
        <v>671</v>
      </c>
      <c r="F401" s="12" t="s">
        <v>672</v>
      </c>
      <c r="G401" s="12" t="s">
        <v>86</v>
      </c>
      <c r="H401" s="12" t="s">
        <v>754</v>
      </c>
      <c r="I401" s="12">
        <v>41.81</v>
      </c>
      <c r="J401" s="16" t="s">
        <v>755</v>
      </c>
      <c r="K401" s="12" t="s">
        <v>41</v>
      </c>
      <c r="L401" s="12" t="s">
        <v>28</v>
      </c>
      <c r="N401" s="12">
        <v>22467</v>
      </c>
      <c r="O401" s="12" t="s">
        <v>676</v>
      </c>
      <c r="P401" s="12">
        <f t="shared" si="12"/>
        <v>22467</v>
      </c>
      <c r="Q401" s="12" t="s">
        <v>46</v>
      </c>
      <c r="R401" s="12" t="s">
        <v>677</v>
      </c>
    </row>
    <row r="402" spans="1:18" x14ac:dyDescent="0.35">
      <c r="A402" s="12">
        <v>32</v>
      </c>
      <c r="B402" s="12" t="s">
        <v>670</v>
      </c>
      <c r="C402" s="12">
        <v>2020</v>
      </c>
      <c r="D402" s="12" t="s">
        <v>619</v>
      </c>
      <c r="E402" s="12" t="s">
        <v>671</v>
      </c>
      <c r="F402" s="12" t="s">
        <v>672</v>
      </c>
      <c r="G402" s="12" t="s">
        <v>86</v>
      </c>
      <c r="H402" s="12" t="s">
        <v>756</v>
      </c>
      <c r="I402" s="12">
        <v>42.31</v>
      </c>
      <c r="J402" s="16" t="s">
        <v>757</v>
      </c>
      <c r="K402" s="12" t="s">
        <v>41</v>
      </c>
      <c r="L402" s="12" t="s">
        <v>28</v>
      </c>
      <c r="N402" s="12">
        <v>13125</v>
      </c>
      <c r="O402" s="12" t="s">
        <v>676</v>
      </c>
      <c r="P402" s="12">
        <f t="shared" si="12"/>
        <v>13125</v>
      </c>
      <c r="Q402" s="12" t="s">
        <v>46</v>
      </c>
      <c r="R402" s="12" t="s">
        <v>677</v>
      </c>
    </row>
    <row r="403" spans="1:18" x14ac:dyDescent="0.35">
      <c r="A403" s="12">
        <v>32</v>
      </c>
      <c r="B403" s="12" t="s">
        <v>670</v>
      </c>
      <c r="C403" s="12">
        <v>2020</v>
      </c>
      <c r="D403" s="12" t="s">
        <v>619</v>
      </c>
      <c r="E403" s="12" t="s">
        <v>671</v>
      </c>
      <c r="F403" s="12" t="s">
        <v>672</v>
      </c>
      <c r="G403" s="12" t="s">
        <v>86</v>
      </c>
      <c r="H403" s="12" t="s">
        <v>758</v>
      </c>
      <c r="I403" s="12">
        <v>45.27</v>
      </c>
      <c r="J403" s="16" t="s">
        <v>730</v>
      </c>
      <c r="K403" s="12" t="s">
        <v>41</v>
      </c>
      <c r="L403" s="12" t="s">
        <v>28</v>
      </c>
      <c r="N403" s="12">
        <v>56651</v>
      </c>
      <c r="O403" s="12" t="s">
        <v>676</v>
      </c>
      <c r="P403" s="12">
        <f t="shared" si="12"/>
        <v>56651</v>
      </c>
      <c r="Q403" s="12" t="s">
        <v>46</v>
      </c>
      <c r="R403" s="12" t="s">
        <v>677</v>
      </c>
    </row>
    <row r="404" spans="1:18" x14ac:dyDescent="0.35">
      <c r="A404" s="12">
        <v>32</v>
      </c>
      <c r="B404" s="12" t="s">
        <v>670</v>
      </c>
      <c r="C404" s="12">
        <v>2020</v>
      </c>
      <c r="D404" s="12" t="s">
        <v>619</v>
      </c>
      <c r="E404" s="12" t="s">
        <v>671</v>
      </c>
      <c r="F404" s="12" t="s">
        <v>672</v>
      </c>
      <c r="G404" s="12" t="s">
        <v>86</v>
      </c>
      <c r="H404" s="12" t="s">
        <v>759</v>
      </c>
      <c r="I404" s="12">
        <v>44.36</v>
      </c>
      <c r="J404" s="16" t="s">
        <v>760</v>
      </c>
      <c r="K404" s="12" t="s">
        <v>41</v>
      </c>
      <c r="L404" s="12" t="s">
        <v>28</v>
      </c>
      <c r="N404" s="12">
        <v>12702</v>
      </c>
      <c r="O404" s="12" t="s">
        <v>676</v>
      </c>
      <c r="P404" s="12">
        <f t="shared" si="12"/>
        <v>12702</v>
      </c>
      <c r="Q404" s="12" t="s">
        <v>46</v>
      </c>
      <c r="R404" s="12" t="s">
        <v>677</v>
      </c>
    </row>
    <row r="405" spans="1:18" x14ac:dyDescent="0.35">
      <c r="A405" s="12">
        <v>32</v>
      </c>
      <c r="B405" s="12" t="s">
        <v>670</v>
      </c>
      <c r="C405" s="12">
        <v>2020</v>
      </c>
      <c r="D405" s="12" t="s">
        <v>619</v>
      </c>
      <c r="E405" s="12" t="s">
        <v>671</v>
      </c>
      <c r="F405" s="12" t="s">
        <v>672</v>
      </c>
      <c r="G405" s="12" t="s">
        <v>86</v>
      </c>
      <c r="H405" s="12" t="s">
        <v>761</v>
      </c>
      <c r="I405" s="12">
        <v>43.61</v>
      </c>
      <c r="J405" s="16" t="s">
        <v>762</v>
      </c>
      <c r="K405" s="12" t="s">
        <v>41</v>
      </c>
      <c r="L405" s="12" t="s">
        <v>28</v>
      </c>
      <c r="N405" s="12">
        <v>135679</v>
      </c>
      <c r="O405" s="12" t="s">
        <v>676</v>
      </c>
      <c r="P405" s="12">
        <f t="shared" si="12"/>
        <v>135679</v>
      </c>
      <c r="Q405" s="12" t="s">
        <v>46</v>
      </c>
      <c r="R405" s="12" t="s">
        <v>677</v>
      </c>
    </row>
    <row r="406" spans="1:18" x14ac:dyDescent="0.35">
      <c r="A406" s="12">
        <v>32</v>
      </c>
      <c r="B406" s="12" t="s">
        <v>670</v>
      </c>
      <c r="C406" s="12">
        <v>2020</v>
      </c>
      <c r="D406" s="12" t="s">
        <v>619</v>
      </c>
      <c r="E406" s="12" t="s">
        <v>671</v>
      </c>
      <c r="F406" s="12" t="s">
        <v>672</v>
      </c>
      <c r="G406" s="12" t="s">
        <v>86</v>
      </c>
      <c r="H406" s="12" t="s">
        <v>763</v>
      </c>
      <c r="I406" s="12">
        <v>43.41</v>
      </c>
      <c r="J406" s="16" t="s">
        <v>764</v>
      </c>
      <c r="K406" s="12" t="s">
        <v>41</v>
      </c>
      <c r="L406" s="12" t="s">
        <v>28</v>
      </c>
      <c r="N406" s="12">
        <v>39733</v>
      </c>
      <c r="O406" s="12" t="s">
        <v>676</v>
      </c>
      <c r="P406" s="12">
        <f t="shared" si="12"/>
        <v>39733</v>
      </c>
      <c r="Q406" s="12" t="s">
        <v>46</v>
      </c>
      <c r="R406" s="12" t="s">
        <v>677</v>
      </c>
    </row>
    <row r="407" spans="1:18" x14ac:dyDescent="0.35">
      <c r="A407" s="12">
        <v>32</v>
      </c>
      <c r="B407" s="12" t="s">
        <v>670</v>
      </c>
      <c r="C407" s="12">
        <v>2020</v>
      </c>
      <c r="D407" s="12" t="s">
        <v>619</v>
      </c>
      <c r="E407" s="12" t="s">
        <v>671</v>
      </c>
      <c r="F407" s="12" t="s">
        <v>672</v>
      </c>
      <c r="G407" s="12" t="s">
        <v>86</v>
      </c>
      <c r="H407" s="12" t="s">
        <v>765</v>
      </c>
      <c r="I407" s="12">
        <v>41.55</v>
      </c>
      <c r="J407" s="16" t="s">
        <v>766</v>
      </c>
      <c r="K407" s="12" t="s">
        <v>41</v>
      </c>
      <c r="L407" s="12" t="s">
        <v>28</v>
      </c>
      <c r="N407" s="12">
        <v>142874</v>
      </c>
      <c r="O407" s="12" t="s">
        <v>676</v>
      </c>
      <c r="P407" s="12">
        <f t="shared" si="12"/>
        <v>142874</v>
      </c>
      <c r="Q407" s="12" t="s">
        <v>46</v>
      </c>
      <c r="R407" s="12" t="s">
        <v>677</v>
      </c>
    </row>
    <row r="408" spans="1:18" x14ac:dyDescent="0.35">
      <c r="A408" s="12">
        <v>32</v>
      </c>
      <c r="B408" s="12" t="s">
        <v>670</v>
      </c>
      <c r="C408" s="12">
        <v>2020</v>
      </c>
      <c r="D408" s="12" t="s">
        <v>619</v>
      </c>
      <c r="E408" s="12" t="s">
        <v>671</v>
      </c>
      <c r="F408" s="12" t="s">
        <v>672</v>
      </c>
      <c r="G408" s="12" t="s">
        <v>86</v>
      </c>
      <c r="H408" s="12" t="s">
        <v>767</v>
      </c>
      <c r="I408" s="12">
        <v>42.54</v>
      </c>
      <c r="J408" s="16" t="s">
        <v>768</v>
      </c>
      <c r="K408" s="12" t="s">
        <v>41</v>
      </c>
      <c r="L408" s="12" t="s">
        <v>28</v>
      </c>
      <c r="N408" s="12">
        <v>7853</v>
      </c>
      <c r="O408" s="12" t="s">
        <v>676</v>
      </c>
      <c r="P408" s="12">
        <f t="shared" si="12"/>
        <v>7853</v>
      </c>
      <c r="Q408" s="12" t="s">
        <v>46</v>
      </c>
      <c r="R408" s="12" t="s">
        <v>677</v>
      </c>
    </row>
    <row r="409" spans="1:18" x14ac:dyDescent="0.35">
      <c r="A409" s="12">
        <v>32</v>
      </c>
      <c r="B409" s="12" t="s">
        <v>670</v>
      </c>
      <c r="C409" s="12">
        <v>2020</v>
      </c>
      <c r="D409" s="12" t="s">
        <v>619</v>
      </c>
      <c r="E409" s="12" t="s">
        <v>671</v>
      </c>
      <c r="F409" s="12" t="s">
        <v>672</v>
      </c>
      <c r="G409" s="12" t="s">
        <v>86</v>
      </c>
      <c r="H409" s="12" t="s">
        <v>769</v>
      </c>
      <c r="I409" s="12">
        <v>42.66</v>
      </c>
      <c r="J409" s="16" t="s">
        <v>770</v>
      </c>
      <c r="K409" s="12" t="s">
        <v>41</v>
      </c>
      <c r="L409" s="12" t="s">
        <v>28</v>
      </c>
      <c r="N409" s="12">
        <v>9499</v>
      </c>
      <c r="O409" s="12" t="s">
        <v>676</v>
      </c>
      <c r="P409" s="12">
        <f t="shared" si="12"/>
        <v>9499</v>
      </c>
      <c r="Q409" s="12" t="s">
        <v>46</v>
      </c>
      <c r="R409" s="12" t="s">
        <v>677</v>
      </c>
    </row>
    <row r="410" spans="1:18" x14ac:dyDescent="0.35">
      <c r="A410" s="12">
        <v>32</v>
      </c>
      <c r="B410" s="12" t="s">
        <v>670</v>
      </c>
      <c r="C410" s="12">
        <v>2020</v>
      </c>
      <c r="D410" s="12" t="s">
        <v>619</v>
      </c>
      <c r="E410" s="12" t="s">
        <v>671</v>
      </c>
      <c r="F410" s="12" t="s">
        <v>672</v>
      </c>
      <c r="G410" s="12" t="s">
        <v>86</v>
      </c>
      <c r="H410" s="12" t="s">
        <v>771</v>
      </c>
      <c r="I410" s="12">
        <v>42.09</v>
      </c>
      <c r="J410" s="16" t="s">
        <v>772</v>
      </c>
      <c r="K410" s="12" t="s">
        <v>41</v>
      </c>
      <c r="L410" s="12" t="s">
        <v>28</v>
      </c>
      <c r="N410" s="12">
        <v>39335</v>
      </c>
      <c r="O410" s="12" t="s">
        <v>676</v>
      </c>
      <c r="P410" s="12">
        <f t="shared" si="12"/>
        <v>39335</v>
      </c>
      <c r="Q410" s="12" t="s">
        <v>46</v>
      </c>
      <c r="R410" s="12" t="s">
        <v>677</v>
      </c>
    </row>
    <row r="411" spans="1:18" x14ac:dyDescent="0.35">
      <c r="A411" s="12">
        <v>32</v>
      </c>
      <c r="B411" s="12" t="s">
        <v>670</v>
      </c>
      <c r="C411" s="12">
        <v>2020</v>
      </c>
      <c r="D411" s="12" t="s">
        <v>619</v>
      </c>
      <c r="E411" s="12" t="s">
        <v>671</v>
      </c>
      <c r="F411" s="12" t="s">
        <v>672</v>
      </c>
      <c r="G411" s="12" t="s">
        <v>86</v>
      </c>
      <c r="H411" s="12" t="s">
        <v>773</v>
      </c>
      <c r="I411" s="12">
        <v>42.91</v>
      </c>
      <c r="J411" s="16" t="s">
        <v>774</v>
      </c>
      <c r="K411" s="12" t="s">
        <v>41</v>
      </c>
      <c r="L411" s="12" t="s">
        <v>28</v>
      </c>
      <c r="N411" s="12">
        <v>9405</v>
      </c>
      <c r="O411" s="12" t="s">
        <v>676</v>
      </c>
      <c r="P411" s="12">
        <f t="shared" si="12"/>
        <v>9405</v>
      </c>
      <c r="Q411" s="12" t="s">
        <v>46</v>
      </c>
      <c r="R411" s="12" t="s">
        <v>677</v>
      </c>
    </row>
    <row r="412" spans="1:18" x14ac:dyDescent="0.35">
      <c r="A412" s="12">
        <v>32</v>
      </c>
      <c r="B412" s="12" t="s">
        <v>670</v>
      </c>
      <c r="C412" s="12">
        <v>2020</v>
      </c>
      <c r="D412" s="12" t="s">
        <v>619</v>
      </c>
      <c r="E412" s="12" t="s">
        <v>671</v>
      </c>
      <c r="F412" s="12" t="s">
        <v>672</v>
      </c>
      <c r="G412" s="12" t="s">
        <v>86</v>
      </c>
      <c r="H412" s="12" t="s">
        <v>775</v>
      </c>
      <c r="I412" s="12">
        <v>42.11</v>
      </c>
      <c r="J412" s="16" t="s">
        <v>776</v>
      </c>
      <c r="K412" s="12" t="s">
        <v>41</v>
      </c>
      <c r="L412" s="12" t="s">
        <v>28</v>
      </c>
      <c r="N412" s="12">
        <v>37889</v>
      </c>
      <c r="O412" s="12" t="s">
        <v>676</v>
      </c>
      <c r="P412" s="12">
        <f t="shared" si="12"/>
        <v>37889</v>
      </c>
      <c r="Q412" s="12" t="s">
        <v>46</v>
      </c>
      <c r="R412" s="12" t="s">
        <v>677</v>
      </c>
    </row>
    <row r="413" spans="1:18" x14ac:dyDescent="0.35">
      <c r="A413" s="12">
        <v>32</v>
      </c>
      <c r="B413" s="12" t="s">
        <v>670</v>
      </c>
      <c r="C413" s="12">
        <v>2020</v>
      </c>
      <c r="D413" s="12" t="s">
        <v>619</v>
      </c>
      <c r="E413" s="12" t="s">
        <v>671</v>
      </c>
      <c r="F413" s="12" t="s">
        <v>672</v>
      </c>
      <c r="G413" s="12" t="s">
        <v>86</v>
      </c>
      <c r="H413" s="12" t="s">
        <v>777</v>
      </c>
      <c r="I413" s="12">
        <v>42.26</v>
      </c>
      <c r="J413" s="16" t="s">
        <v>778</v>
      </c>
      <c r="K413" s="12" t="s">
        <v>41</v>
      </c>
      <c r="L413" s="12" t="s">
        <v>28</v>
      </c>
      <c r="N413" s="12">
        <v>16383</v>
      </c>
      <c r="O413" s="12" t="s">
        <v>676</v>
      </c>
      <c r="P413" s="12">
        <f t="shared" si="12"/>
        <v>16383</v>
      </c>
      <c r="Q413" s="12" t="s">
        <v>46</v>
      </c>
      <c r="R413" s="12" t="s">
        <v>677</v>
      </c>
    </row>
    <row r="414" spans="1:18" x14ac:dyDescent="0.35">
      <c r="A414" s="12">
        <v>32</v>
      </c>
      <c r="B414" s="12" t="s">
        <v>670</v>
      </c>
      <c r="C414" s="12">
        <v>2020</v>
      </c>
      <c r="D414" s="12" t="s">
        <v>619</v>
      </c>
      <c r="E414" s="12" t="s">
        <v>671</v>
      </c>
      <c r="F414" s="12" t="s">
        <v>672</v>
      </c>
      <c r="G414" s="12" t="s">
        <v>86</v>
      </c>
      <c r="H414" s="12" t="s">
        <v>779</v>
      </c>
      <c r="I414" s="12">
        <v>42.42</v>
      </c>
      <c r="J414" s="16" t="s">
        <v>780</v>
      </c>
      <c r="K414" s="12" t="s">
        <v>41</v>
      </c>
      <c r="L414" s="12" t="s">
        <v>28</v>
      </c>
      <c r="N414" s="12">
        <v>18819</v>
      </c>
      <c r="O414" s="12" t="s">
        <v>676</v>
      </c>
      <c r="P414" s="12">
        <f t="shared" si="12"/>
        <v>18819</v>
      </c>
      <c r="Q414" s="12" t="s">
        <v>46</v>
      </c>
      <c r="R414" s="12" t="s">
        <v>677</v>
      </c>
    </row>
    <row r="415" spans="1:18" x14ac:dyDescent="0.35">
      <c r="A415" s="12">
        <v>32</v>
      </c>
      <c r="B415" s="12" t="s">
        <v>670</v>
      </c>
      <c r="C415" s="12">
        <v>2020</v>
      </c>
      <c r="D415" s="12" t="s">
        <v>619</v>
      </c>
      <c r="E415" s="12" t="s">
        <v>671</v>
      </c>
      <c r="F415" s="12" t="s">
        <v>672</v>
      </c>
      <c r="G415" s="12" t="s">
        <v>86</v>
      </c>
      <c r="H415" s="12" t="s">
        <v>781</v>
      </c>
      <c r="I415" s="12">
        <v>41.95</v>
      </c>
      <c r="J415" s="16" t="s">
        <v>782</v>
      </c>
      <c r="K415" s="12" t="s">
        <v>41</v>
      </c>
      <c r="L415" s="12" t="s">
        <v>28</v>
      </c>
      <c r="N415" s="12">
        <v>47106</v>
      </c>
      <c r="O415" s="12" t="s">
        <v>676</v>
      </c>
      <c r="P415" s="12">
        <f t="shared" si="12"/>
        <v>47106</v>
      </c>
      <c r="Q415" s="12" t="s">
        <v>46</v>
      </c>
      <c r="R415" s="12" t="s">
        <v>677</v>
      </c>
    </row>
    <row r="416" spans="1:18" x14ac:dyDescent="0.35">
      <c r="A416" s="12">
        <v>33</v>
      </c>
      <c r="B416" s="12" t="s">
        <v>783</v>
      </c>
      <c r="C416" s="12">
        <v>2019</v>
      </c>
      <c r="D416" s="12" t="s">
        <v>663</v>
      </c>
      <c r="E416" s="12" t="s">
        <v>784</v>
      </c>
      <c r="F416" s="12" t="s">
        <v>785</v>
      </c>
      <c r="G416" s="12" t="s">
        <v>54</v>
      </c>
      <c r="H416" s="12" t="s">
        <v>786</v>
      </c>
      <c r="I416" s="12">
        <v>49.398269999999997</v>
      </c>
      <c r="J416" s="16">
        <v>-124.57964</v>
      </c>
      <c r="K416" s="12" t="s">
        <v>41</v>
      </c>
      <c r="L416" s="12" t="s">
        <v>163</v>
      </c>
      <c r="M416" s="12" t="s">
        <v>788</v>
      </c>
      <c r="N416" s="12">
        <v>748</v>
      </c>
      <c r="O416" s="12" t="s">
        <v>789</v>
      </c>
      <c r="P416" s="12">
        <f>N416/1000</f>
        <v>0.748</v>
      </c>
      <c r="Q416" s="12" t="s">
        <v>59</v>
      </c>
      <c r="R416" s="12" t="s">
        <v>790</v>
      </c>
    </row>
    <row r="417" spans="1:27" x14ac:dyDescent="0.35">
      <c r="A417" s="12">
        <v>33</v>
      </c>
      <c r="B417" s="12" t="s">
        <v>783</v>
      </c>
      <c r="C417" s="12">
        <v>2019</v>
      </c>
      <c r="D417" s="12" t="s">
        <v>663</v>
      </c>
      <c r="E417" s="12" t="s">
        <v>784</v>
      </c>
      <c r="F417" s="12" t="s">
        <v>785</v>
      </c>
      <c r="G417" s="12" t="s">
        <v>54</v>
      </c>
      <c r="H417" s="12" t="s">
        <v>791</v>
      </c>
      <c r="I417" s="12">
        <v>48.752653000000002</v>
      </c>
      <c r="J417" s="16">
        <v>-123.61667799999999</v>
      </c>
      <c r="K417" s="12" t="s">
        <v>41</v>
      </c>
      <c r="L417" s="12" t="s">
        <v>163</v>
      </c>
      <c r="M417" s="12" t="s">
        <v>788</v>
      </c>
      <c r="N417" s="12">
        <v>591</v>
      </c>
      <c r="O417" s="12" t="s">
        <v>789</v>
      </c>
      <c r="P417" s="12">
        <f>N417/1000</f>
        <v>0.59099999999999997</v>
      </c>
      <c r="Q417" s="12" t="s">
        <v>59</v>
      </c>
      <c r="R417" s="12" t="s">
        <v>792</v>
      </c>
    </row>
    <row r="418" spans="1:27" x14ac:dyDescent="0.35">
      <c r="A418" s="12">
        <v>33</v>
      </c>
      <c r="B418" s="12" t="s">
        <v>783</v>
      </c>
      <c r="C418" s="12">
        <v>2019</v>
      </c>
      <c r="D418" s="12" t="s">
        <v>663</v>
      </c>
      <c r="E418" s="12" t="s">
        <v>784</v>
      </c>
      <c r="F418" s="12" t="s">
        <v>785</v>
      </c>
      <c r="G418" s="12" t="s">
        <v>54</v>
      </c>
      <c r="H418" s="12" t="s">
        <v>793</v>
      </c>
      <c r="I418" s="12">
        <v>49.457154000000003</v>
      </c>
      <c r="J418" s="16">
        <v>-124.68663599999999</v>
      </c>
      <c r="K418" s="12" t="s">
        <v>41</v>
      </c>
      <c r="L418" s="12" t="s">
        <v>163</v>
      </c>
      <c r="M418" s="12" t="s">
        <v>788</v>
      </c>
      <c r="N418" s="12">
        <v>478</v>
      </c>
      <c r="O418" s="12" t="s">
        <v>789</v>
      </c>
      <c r="P418" s="12">
        <f>N418/1000</f>
        <v>0.47799999999999998</v>
      </c>
      <c r="Q418" s="12" t="s">
        <v>59</v>
      </c>
      <c r="R418" s="12" t="s">
        <v>794</v>
      </c>
    </row>
    <row r="419" spans="1:27" x14ac:dyDescent="0.35">
      <c r="A419" s="12">
        <v>33</v>
      </c>
      <c r="B419" s="12" t="s">
        <v>783</v>
      </c>
      <c r="C419" s="12">
        <v>2019</v>
      </c>
      <c r="D419" s="12" t="s">
        <v>663</v>
      </c>
      <c r="E419" s="12" t="s">
        <v>784</v>
      </c>
      <c r="F419" s="12" t="s">
        <v>785</v>
      </c>
      <c r="G419" s="12" t="s">
        <v>54</v>
      </c>
      <c r="H419" s="12" t="s">
        <v>795</v>
      </c>
      <c r="I419" s="12">
        <v>49.201028999999998</v>
      </c>
      <c r="J419" s="16">
        <v>-123.904743</v>
      </c>
      <c r="K419" s="12" t="s">
        <v>41</v>
      </c>
      <c r="L419" s="12" t="s">
        <v>163</v>
      </c>
      <c r="M419" s="12" t="s">
        <v>788</v>
      </c>
      <c r="N419" s="12">
        <v>417</v>
      </c>
      <c r="O419" s="12" t="s">
        <v>789</v>
      </c>
      <c r="P419" s="12">
        <f>N419/1000</f>
        <v>0.41699999999999998</v>
      </c>
      <c r="Q419" s="12" t="s">
        <v>59</v>
      </c>
      <c r="R419" s="12" t="s">
        <v>796</v>
      </c>
    </row>
    <row r="420" spans="1:27" x14ac:dyDescent="0.35">
      <c r="A420" s="12">
        <v>33</v>
      </c>
      <c r="B420" s="12" t="s">
        <v>783</v>
      </c>
      <c r="C420" s="12">
        <v>2019</v>
      </c>
      <c r="D420" s="12" t="s">
        <v>663</v>
      </c>
      <c r="E420" s="12" t="s">
        <v>784</v>
      </c>
      <c r="F420" s="12" t="s">
        <v>785</v>
      </c>
      <c r="G420" s="12" t="s">
        <v>54</v>
      </c>
      <c r="H420" s="12" t="s">
        <v>786</v>
      </c>
      <c r="I420" s="12">
        <v>49.398269999999997</v>
      </c>
      <c r="J420" s="16">
        <v>-124.57964</v>
      </c>
      <c r="K420" s="12" t="s">
        <v>103</v>
      </c>
      <c r="L420" s="12" t="s">
        <v>163</v>
      </c>
      <c r="M420" s="12" t="s">
        <v>788</v>
      </c>
      <c r="N420" s="12">
        <v>52</v>
      </c>
      <c r="O420" s="12" t="s">
        <v>799</v>
      </c>
      <c r="P420" s="12">
        <v>52</v>
      </c>
      <c r="Q420" s="12" t="s">
        <v>107</v>
      </c>
      <c r="R420" s="12" t="s">
        <v>792</v>
      </c>
    </row>
    <row r="421" spans="1:27" x14ac:dyDescent="0.35">
      <c r="A421" s="12">
        <v>33</v>
      </c>
      <c r="B421" s="12" t="s">
        <v>783</v>
      </c>
      <c r="C421" s="12">
        <v>2019</v>
      </c>
      <c r="D421" s="12" t="s">
        <v>663</v>
      </c>
      <c r="E421" s="12" t="s">
        <v>784</v>
      </c>
      <c r="F421" s="12" t="s">
        <v>785</v>
      </c>
      <c r="G421" s="12" t="s">
        <v>54</v>
      </c>
      <c r="H421" s="12" t="s">
        <v>791</v>
      </c>
      <c r="I421" s="12">
        <v>48.752653000000002</v>
      </c>
      <c r="J421" s="16">
        <v>-123.61667799999999</v>
      </c>
      <c r="K421" s="12" t="s">
        <v>103</v>
      </c>
      <c r="L421" s="12" t="s">
        <v>163</v>
      </c>
      <c r="M421" s="12" t="s">
        <v>788</v>
      </c>
      <c r="N421" s="12">
        <v>39</v>
      </c>
      <c r="O421" s="12" t="s">
        <v>799</v>
      </c>
      <c r="P421" s="12">
        <v>39</v>
      </c>
      <c r="Q421" s="12" t="s">
        <v>107</v>
      </c>
      <c r="R421" s="12" t="s">
        <v>792</v>
      </c>
    </row>
    <row r="422" spans="1:27" x14ac:dyDescent="0.35">
      <c r="A422" s="12">
        <v>33</v>
      </c>
      <c r="B422" s="12" t="s">
        <v>783</v>
      </c>
      <c r="C422" s="12">
        <v>2019</v>
      </c>
      <c r="D422" s="12" t="s">
        <v>663</v>
      </c>
      <c r="E422" s="12" t="s">
        <v>784</v>
      </c>
      <c r="F422" s="12" t="s">
        <v>785</v>
      </c>
      <c r="G422" s="12" t="s">
        <v>54</v>
      </c>
      <c r="H422" s="12" t="s">
        <v>793</v>
      </c>
      <c r="I422" s="12">
        <v>49.457154000000003</v>
      </c>
      <c r="J422" s="16">
        <v>-124.68663599999999</v>
      </c>
      <c r="K422" s="12" t="s">
        <v>103</v>
      </c>
      <c r="L422" s="12" t="s">
        <v>163</v>
      </c>
      <c r="M422" s="12" t="s">
        <v>788</v>
      </c>
      <c r="N422" s="12">
        <v>108</v>
      </c>
      <c r="O422" s="12" t="s">
        <v>799</v>
      </c>
      <c r="P422" s="12">
        <v>108</v>
      </c>
      <c r="Q422" s="12" t="s">
        <v>107</v>
      </c>
      <c r="R422" s="12" t="s">
        <v>792</v>
      </c>
    </row>
    <row r="423" spans="1:27" x14ac:dyDescent="0.35">
      <c r="A423" s="12">
        <v>33</v>
      </c>
      <c r="B423" s="12" t="s">
        <v>783</v>
      </c>
      <c r="C423" s="12">
        <v>2019</v>
      </c>
      <c r="D423" s="12" t="s">
        <v>663</v>
      </c>
      <c r="E423" s="12" t="s">
        <v>784</v>
      </c>
      <c r="F423" s="12" t="s">
        <v>785</v>
      </c>
      <c r="G423" s="12" t="s">
        <v>54</v>
      </c>
      <c r="H423" s="12" t="s">
        <v>795</v>
      </c>
      <c r="I423" s="12">
        <v>49.201028999999998</v>
      </c>
      <c r="J423" s="16">
        <v>-123.904743</v>
      </c>
      <c r="K423" s="12" t="s">
        <v>103</v>
      </c>
      <c r="L423" s="12" t="s">
        <v>163</v>
      </c>
      <c r="M423" s="12" t="s">
        <v>788</v>
      </c>
      <c r="N423" s="12">
        <v>29</v>
      </c>
      <c r="O423" s="12" t="s">
        <v>799</v>
      </c>
      <c r="P423" s="12">
        <v>29</v>
      </c>
      <c r="Q423" s="12" t="s">
        <v>107</v>
      </c>
      <c r="R423" s="12" t="s">
        <v>792</v>
      </c>
    </row>
    <row r="424" spans="1:27" x14ac:dyDescent="0.35">
      <c r="A424" s="12">
        <v>34</v>
      </c>
      <c r="B424" s="12" t="s">
        <v>800</v>
      </c>
      <c r="C424" s="12">
        <v>2018</v>
      </c>
      <c r="D424" s="12" t="s">
        <v>801</v>
      </c>
      <c r="E424" s="12" t="s">
        <v>802</v>
      </c>
      <c r="F424" s="12" t="s">
        <v>803</v>
      </c>
      <c r="G424" s="12" t="s">
        <v>804</v>
      </c>
      <c r="H424" s="12" t="s">
        <v>805</v>
      </c>
      <c r="I424" s="12">
        <v>49.723742000000001</v>
      </c>
      <c r="J424" s="12">
        <v>-54.189283000000003</v>
      </c>
      <c r="K424" s="12" t="s">
        <v>138</v>
      </c>
      <c r="L424" s="12" t="s">
        <v>42</v>
      </c>
      <c r="N424" s="16" t="s">
        <v>807</v>
      </c>
      <c r="P424" s="12" t="s">
        <v>807</v>
      </c>
    </row>
    <row r="425" spans="1:27" x14ac:dyDescent="0.35">
      <c r="A425" s="12">
        <v>35</v>
      </c>
      <c r="B425" s="12" t="s">
        <v>808</v>
      </c>
      <c r="C425" s="12">
        <v>2018</v>
      </c>
      <c r="D425" s="12" t="s">
        <v>619</v>
      </c>
      <c r="E425" s="13" t="s">
        <v>809</v>
      </c>
      <c r="F425" s="14" t="s">
        <v>810</v>
      </c>
      <c r="G425" s="14" t="s">
        <v>86</v>
      </c>
      <c r="H425" s="14" t="s">
        <v>811</v>
      </c>
      <c r="I425" s="12">
        <v>42.132434862980098</v>
      </c>
      <c r="J425" s="12">
        <v>-81.184011141334196</v>
      </c>
      <c r="K425" s="12" t="s">
        <v>103</v>
      </c>
      <c r="L425" s="12" t="s">
        <v>28</v>
      </c>
      <c r="M425" s="12" t="s">
        <v>813</v>
      </c>
      <c r="N425" s="12">
        <v>0</v>
      </c>
      <c r="O425" s="12" t="s">
        <v>814</v>
      </c>
      <c r="P425" s="12">
        <f t="shared" ref="P425:P447" si="13">N425</f>
        <v>0</v>
      </c>
      <c r="Q425" s="12" t="s">
        <v>107</v>
      </c>
      <c r="R425" s="12" t="s">
        <v>815</v>
      </c>
    </row>
    <row r="426" spans="1:27" x14ac:dyDescent="0.35">
      <c r="A426" s="12">
        <v>35</v>
      </c>
      <c r="B426" s="12" t="s">
        <v>808</v>
      </c>
      <c r="C426" s="12">
        <v>2018</v>
      </c>
      <c r="D426" s="12" t="s">
        <v>619</v>
      </c>
      <c r="E426" s="13" t="s">
        <v>809</v>
      </c>
      <c r="F426" s="14" t="s">
        <v>810</v>
      </c>
      <c r="G426" s="14" t="s">
        <v>86</v>
      </c>
      <c r="H426" s="14" t="s">
        <v>816</v>
      </c>
      <c r="I426" s="12">
        <v>42.109605529430603</v>
      </c>
      <c r="J426" s="12">
        <v>-83.109996265428194</v>
      </c>
      <c r="K426" s="12" t="s">
        <v>103</v>
      </c>
      <c r="L426" s="12" t="s">
        <v>28</v>
      </c>
      <c r="M426" s="12" t="s">
        <v>817</v>
      </c>
      <c r="N426" s="12">
        <v>27</v>
      </c>
      <c r="O426" s="12" t="s">
        <v>814</v>
      </c>
      <c r="P426" s="12">
        <f t="shared" si="13"/>
        <v>27</v>
      </c>
      <c r="Q426" s="12" t="s">
        <v>107</v>
      </c>
      <c r="R426" s="12" t="s">
        <v>818</v>
      </c>
    </row>
    <row r="427" spans="1:27" x14ac:dyDescent="0.35">
      <c r="A427" s="12">
        <v>35</v>
      </c>
      <c r="B427" s="12" t="s">
        <v>808</v>
      </c>
      <c r="C427" s="12">
        <v>2018</v>
      </c>
      <c r="D427" s="12" t="s">
        <v>619</v>
      </c>
      <c r="E427" s="13" t="s">
        <v>809</v>
      </c>
      <c r="F427" s="14" t="s">
        <v>810</v>
      </c>
      <c r="G427" s="14" t="s">
        <v>86</v>
      </c>
      <c r="H427" s="14" t="s">
        <v>819</v>
      </c>
      <c r="I427" s="12">
        <v>42.023969047022803</v>
      </c>
      <c r="J427" s="12">
        <v>-82.623851236850797</v>
      </c>
      <c r="K427" s="12" t="s">
        <v>103</v>
      </c>
      <c r="L427" s="12" t="s">
        <v>28</v>
      </c>
      <c r="M427" s="12" t="s">
        <v>820</v>
      </c>
      <c r="N427" s="12">
        <v>79</v>
      </c>
      <c r="O427" s="12" t="s">
        <v>814</v>
      </c>
      <c r="P427" s="12">
        <f t="shared" si="13"/>
        <v>79</v>
      </c>
      <c r="Q427" s="12" t="s">
        <v>107</v>
      </c>
      <c r="R427" s="12" t="s">
        <v>2207</v>
      </c>
    </row>
    <row r="428" spans="1:27" x14ac:dyDescent="0.35">
      <c r="A428" s="12">
        <v>35</v>
      </c>
      <c r="B428" s="12" t="s">
        <v>808</v>
      </c>
      <c r="C428" s="12">
        <v>2018</v>
      </c>
      <c r="D428" s="12" t="s">
        <v>619</v>
      </c>
      <c r="E428" s="13" t="s">
        <v>809</v>
      </c>
      <c r="F428" s="14" t="s">
        <v>810</v>
      </c>
      <c r="G428" s="14" t="s">
        <v>86</v>
      </c>
      <c r="H428" s="14" t="s">
        <v>821</v>
      </c>
      <c r="I428" s="12">
        <v>42.040289665126103</v>
      </c>
      <c r="J428" s="12">
        <v>-82.9973863894716</v>
      </c>
      <c r="K428" s="12" t="s">
        <v>103</v>
      </c>
      <c r="L428" s="12" t="s">
        <v>28</v>
      </c>
      <c r="M428" s="12" t="s">
        <v>822</v>
      </c>
      <c r="N428" s="12">
        <v>155</v>
      </c>
      <c r="O428" s="12" t="s">
        <v>814</v>
      </c>
      <c r="P428" s="12">
        <f t="shared" si="13"/>
        <v>155</v>
      </c>
      <c r="Q428" s="12" t="s">
        <v>107</v>
      </c>
      <c r="S428" s="12" t="s">
        <v>823</v>
      </c>
      <c r="T428" s="12">
        <f>0.1+0.5/2</f>
        <v>0.35</v>
      </c>
      <c r="U428" s="12" t="s">
        <v>824</v>
      </c>
      <c r="V428" s="12">
        <f>0.16+1.7/2</f>
        <v>1.01</v>
      </c>
      <c r="W428" s="12" t="s">
        <v>825</v>
      </c>
      <c r="X428" s="12">
        <f>SUM(T428+V428)</f>
        <v>1.3599999999999999</v>
      </c>
    </row>
    <row r="429" spans="1:27" x14ac:dyDescent="0.35">
      <c r="A429" s="12">
        <v>35</v>
      </c>
      <c r="B429" s="12" t="s">
        <v>808</v>
      </c>
      <c r="C429" s="12">
        <v>2018</v>
      </c>
      <c r="D429" s="12" t="s">
        <v>619</v>
      </c>
      <c r="E429" s="13" t="s">
        <v>809</v>
      </c>
      <c r="F429" s="14" t="s">
        <v>810</v>
      </c>
      <c r="G429" s="14" t="s">
        <v>86</v>
      </c>
      <c r="H429" s="14" t="s">
        <v>826</v>
      </c>
      <c r="I429" s="12">
        <v>42.203265315282401</v>
      </c>
      <c r="J429" s="12">
        <v>-82.228343428193398</v>
      </c>
      <c r="K429" s="12" t="s">
        <v>103</v>
      </c>
      <c r="L429" s="12" t="s">
        <v>28</v>
      </c>
      <c r="M429" s="12" t="s">
        <v>827</v>
      </c>
      <c r="N429" s="12">
        <v>62</v>
      </c>
      <c r="O429" s="12" t="s">
        <v>814</v>
      </c>
      <c r="P429" s="12">
        <f t="shared" si="13"/>
        <v>62</v>
      </c>
      <c r="Q429" s="12" t="s">
        <v>107</v>
      </c>
      <c r="R429" s="12" t="s">
        <v>2208</v>
      </c>
    </row>
    <row r="430" spans="1:27" x14ac:dyDescent="0.35">
      <c r="A430" s="12">
        <v>35</v>
      </c>
      <c r="B430" s="12" t="s">
        <v>808</v>
      </c>
      <c r="C430" s="12">
        <v>2018</v>
      </c>
      <c r="D430" s="12" t="s">
        <v>619</v>
      </c>
      <c r="E430" s="13" t="s">
        <v>809</v>
      </c>
      <c r="F430" s="14" t="s">
        <v>810</v>
      </c>
      <c r="G430" s="14" t="s">
        <v>86</v>
      </c>
      <c r="H430" s="14" t="s">
        <v>828</v>
      </c>
      <c r="I430" s="12">
        <v>42.406395192101897</v>
      </c>
      <c r="J430" s="12">
        <v>-81.810862963499503</v>
      </c>
      <c r="K430" s="12" t="s">
        <v>103</v>
      </c>
      <c r="L430" s="12" t="s">
        <v>28</v>
      </c>
      <c r="M430" s="12" t="s">
        <v>829</v>
      </c>
      <c r="N430" s="12">
        <v>36</v>
      </c>
      <c r="O430" s="12" t="s">
        <v>814</v>
      </c>
      <c r="P430" s="12">
        <f t="shared" si="13"/>
        <v>36</v>
      </c>
      <c r="Q430" s="12" t="s">
        <v>107</v>
      </c>
      <c r="S430" s="12" t="s">
        <v>823</v>
      </c>
      <c r="T430" s="12">
        <f>0.07+4/2</f>
        <v>2.0699999999999998</v>
      </c>
      <c r="U430" s="12" t="s">
        <v>824</v>
      </c>
      <c r="V430" s="12">
        <f>0.28+3.8/2</f>
        <v>2.1799999999999997</v>
      </c>
      <c r="W430" s="12" t="s">
        <v>830</v>
      </c>
      <c r="X430" s="12">
        <v>0.4</v>
      </c>
      <c r="Z430" s="12" t="s">
        <v>825</v>
      </c>
      <c r="AA430" s="12">
        <f>SUM(T430+V430+X430)</f>
        <v>4.6500000000000004</v>
      </c>
    </row>
    <row r="431" spans="1:27" x14ac:dyDescent="0.35">
      <c r="A431" s="12">
        <v>35</v>
      </c>
      <c r="B431" s="12" t="s">
        <v>808</v>
      </c>
      <c r="C431" s="12">
        <v>2018</v>
      </c>
      <c r="D431" s="12" t="s">
        <v>619</v>
      </c>
      <c r="E431" s="13" t="s">
        <v>809</v>
      </c>
      <c r="F431" s="14" t="s">
        <v>810</v>
      </c>
      <c r="G431" s="14" t="s">
        <v>86</v>
      </c>
      <c r="H431" s="14" t="s">
        <v>831</v>
      </c>
      <c r="I431" s="12">
        <v>42.671503289529802</v>
      </c>
      <c r="J431" s="12">
        <v>-81.114604425342193</v>
      </c>
      <c r="K431" s="12" t="s">
        <v>103</v>
      </c>
      <c r="L431" s="12" t="s">
        <v>28</v>
      </c>
      <c r="M431" s="12" t="s">
        <v>832</v>
      </c>
      <c r="N431" s="12">
        <v>0</v>
      </c>
      <c r="O431" s="12" t="s">
        <v>814</v>
      </c>
      <c r="P431" s="12">
        <f t="shared" si="13"/>
        <v>0</v>
      </c>
      <c r="Q431" s="12" t="s">
        <v>107</v>
      </c>
    </row>
    <row r="432" spans="1:27" x14ac:dyDescent="0.35">
      <c r="A432" s="12">
        <v>35</v>
      </c>
      <c r="B432" s="12" t="s">
        <v>808</v>
      </c>
      <c r="C432" s="12">
        <v>2018</v>
      </c>
      <c r="D432" s="12" t="s">
        <v>619</v>
      </c>
      <c r="E432" s="13" t="s">
        <v>809</v>
      </c>
      <c r="F432" s="14" t="s">
        <v>810</v>
      </c>
      <c r="G432" s="14" t="s">
        <v>86</v>
      </c>
      <c r="H432" s="14" t="s">
        <v>833</v>
      </c>
      <c r="I432" s="12">
        <v>42.746177258998898</v>
      </c>
      <c r="J432" s="12">
        <v>-80.302989434080501</v>
      </c>
      <c r="K432" s="12" t="s">
        <v>103</v>
      </c>
      <c r="L432" s="12" t="s">
        <v>28</v>
      </c>
      <c r="M432" s="12" t="s">
        <v>834</v>
      </c>
      <c r="N432" s="12">
        <v>118</v>
      </c>
      <c r="O432" s="12" t="s">
        <v>814</v>
      </c>
      <c r="P432" s="12">
        <f t="shared" si="13"/>
        <v>118</v>
      </c>
      <c r="Q432" s="12" t="s">
        <v>107</v>
      </c>
      <c r="R432" s="12" t="s">
        <v>2209</v>
      </c>
    </row>
    <row r="433" spans="1:27" x14ac:dyDescent="0.35">
      <c r="A433" s="12">
        <v>35</v>
      </c>
      <c r="B433" s="12" t="s">
        <v>808</v>
      </c>
      <c r="C433" s="12">
        <v>2018</v>
      </c>
      <c r="D433" s="12" t="s">
        <v>619</v>
      </c>
      <c r="E433" s="13" t="s">
        <v>809</v>
      </c>
      <c r="F433" s="14" t="s">
        <v>810</v>
      </c>
      <c r="G433" s="14" t="s">
        <v>86</v>
      </c>
      <c r="H433" s="14" t="s">
        <v>835</v>
      </c>
      <c r="I433" s="12">
        <v>42.814717369944802</v>
      </c>
      <c r="J433" s="12">
        <v>-80.000865413578296</v>
      </c>
      <c r="K433" s="12" t="s">
        <v>103</v>
      </c>
      <c r="L433" s="12" t="s">
        <v>28</v>
      </c>
      <c r="M433" s="12" t="s">
        <v>836</v>
      </c>
      <c r="N433" s="12">
        <v>26</v>
      </c>
      <c r="O433" s="12" t="s">
        <v>814</v>
      </c>
      <c r="P433" s="12">
        <f t="shared" si="13"/>
        <v>26</v>
      </c>
      <c r="Q433" s="12" t="s">
        <v>107</v>
      </c>
      <c r="S433" s="12" t="s">
        <v>823</v>
      </c>
      <c r="T433" s="12">
        <f>0.15+2.5/2</f>
        <v>1.4</v>
      </c>
      <c r="U433" s="12" t="s">
        <v>824</v>
      </c>
      <c r="V433" s="12">
        <f>0.48+3/2</f>
        <v>1.98</v>
      </c>
      <c r="W433" s="12" t="s">
        <v>830</v>
      </c>
      <c r="X433" s="12">
        <f>0.32+0.48/2</f>
        <v>0.56000000000000005</v>
      </c>
      <c r="Z433" s="12" t="s">
        <v>825</v>
      </c>
      <c r="AA433" s="12">
        <f>SUM(T433+V433+X433)</f>
        <v>3.94</v>
      </c>
    </row>
    <row r="434" spans="1:27" x14ac:dyDescent="0.35">
      <c r="A434" s="12">
        <v>35</v>
      </c>
      <c r="B434" s="12" t="s">
        <v>808</v>
      </c>
      <c r="C434" s="12">
        <v>2018</v>
      </c>
      <c r="D434" s="12" t="s">
        <v>619</v>
      </c>
      <c r="E434" s="13" t="s">
        <v>809</v>
      </c>
      <c r="F434" s="14" t="s">
        <v>810</v>
      </c>
      <c r="G434" s="14" t="s">
        <v>86</v>
      </c>
      <c r="H434" s="14" t="s">
        <v>837</v>
      </c>
      <c r="I434" s="12">
        <v>42.8750318771758</v>
      </c>
      <c r="J434" s="12">
        <v>-79.408889398700296</v>
      </c>
      <c r="K434" s="12" t="s">
        <v>103</v>
      </c>
      <c r="L434" s="12" t="s">
        <v>28</v>
      </c>
      <c r="M434" s="12" t="s">
        <v>838</v>
      </c>
      <c r="N434" s="12">
        <v>126</v>
      </c>
      <c r="O434" s="12" t="s">
        <v>814</v>
      </c>
      <c r="P434" s="12">
        <f t="shared" si="13"/>
        <v>126</v>
      </c>
      <c r="Q434" s="12" t="s">
        <v>107</v>
      </c>
    </row>
    <row r="435" spans="1:27" x14ac:dyDescent="0.35">
      <c r="A435" s="12">
        <v>35</v>
      </c>
      <c r="B435" s="12" t="s">
        <v>808</v>
      </c>
      <c r="C435" s="12">
        <v>2018</v>
      </c>
      <c r="D435" s="12" t="s">
        <v>619</v>
      </c>
      <c r="E435" s="13" t="s">
        <v>809</v>
      </c>
      <c r="F435" s="14" t="s">
        <v>810</v>
      </c>
      <c r="G435" s="14" t="s">
        <v>86</v>
      </c>
      <c r="H435" s="14" t="s">
        <v>839</v>
      </c>
      <c r="I435" s="12">
        <v>42.882076287195503</v>
      </c>
      <c r="J435" s="12">
        <v>-78.921371089343793</v>
      </c>
      <c r="K435" s="12" t="s">
        <v>103</v>
      </c>
      <c r="L435" s="12" t="s">
        <v>28</v>
      </c>
      <c r="M435" s="12" t="s">
        <v>840</v>
      </c>
      <c r="N435" s="12">
        <v>24</v>
      </c>
      <c r="O435" s="12" t="s">
        <v>814</v>
      </c>
      <c r="P435" s="12">
        <f t="shared" si="13"/>
        <v>24</v>
      </c>
      <c r="Q435" s="12" t="s">
        <v>107</v>
      </c>
      <c r="R435" s="12" t="s">
        <v>841</v>
      </c>
    </row>
    <row r="436" spans="1:27" x14ac:dyDescent="0.35">
      <c r="A436" s="12">
        <v>35</v>
      </c>
      <c r="B436" s="12" t="s">
        <v>808</v>
      </c>
      <c r="C436" s="12">
        <v>2018</v>
      </c>
      <c r="D436" s="12" t="s">
        <v>619</v>
      </c>
      <c r="E436" s="13" t="s">
        <v>809</v>
      </c>
      <c r="F436" s="14" t="s">
        <v>810</v>
      </c>
      <c r="G436" s="14" t="s">
        <v>86</v>
      </c>
      <c r="H436" s="14" t="s">
        <v>842</v>
      </c>
      <c r="I436" s="12">
        <v>42.878582957014601</v>
      </c>
      <c r="J436" s="12">
        <v>-79.450495402121902</v>
      </c>
      <c r="K436" s="12" t="s">
        <v>103</v>
      </c>
      <c r="L436" s="12" t="s">
        <v>28</v>
      </c>
      <c r="M436" s="12" t="s">
        <v>843</v>
      </c>
      <c r="N436" s="12">
        <v>66</v>
      </c>
      <c r="O436" s="12" t="s">
        <v>814</v>
      </c>
      <c r="P436" s="12">
        <f t="shared" si="13"/>
        <v>66</v>
      </c>
      <c r="Q436" s="12" t="s">
        <v>107</v>
      </c>
      <c r="R436" s="12" t="s">
        <v>844</v>
      </c>
    </row>
    <row r="437" spans="1:27" x14ac:dyDescent="0.35">
      <c r="A437" s="12">
        <v>35</v>
      </c>
      <c r="B437" s="12" t="s">
        <v>808</v>
      </c>
      <c r="C437" s="12">
        <v>2018</v>
      </c>
      <c r="D437" s="12" t="s">
        <v>619</v>
      </c>
      <c r="E437" s="13" t="s">
        <v>809</v>
      </c>
      <c r="F437" s="14" t="s">
        <v>810</v>
      </c>
      <c r="G437" s="14" t="s">
        <v>86</v>
      </c>
      <c r="H437" s="14" t="s">
        <v>845</v>
      </c>
      <c r="I437" s="12">
        <v>41.915156800583098</v>
      </c>
      <c r="J437" s="12">
        <v>-82.998049407956003</v>
      </c>
      <c r="K437" s="12" t="s">
        <v>103</v>
      </c>
      <c r="L437" s="12" t="s">
        <v>28</v>
      </c>
      <c r="M437" s="12" t="s">
        <v>846</v>
      </c>
      <c r="N437" s="12">
        <v>391</v>
      </c>
      <c r="O437" s="12" t="s">
        <v>814</v>
      </c>
      <c r="P437" s="12">
        <f t="shared" si="13"/>
        <v>391</v>
      </c>
      <c r="Q437" s="12" t="s">
        <v>107</v>
      </c>
    </row>
    <row r="438" spans="1:27" x14ac:dyDescent="0.35">
      <c r="A438" s="12">
        <v>35</v>
      </c>
      <c r="B438" s="12" t="s">
        <v>808</v>
      </c>
      <c r="C438" s="12">
        <v>2018</v>
      </c>
      <c r="D438" s="12" t="s">
        <v>619</v>
      </c>
      <c r="E438" s="13" t="s">
        <v>809</v>
      </c>
      <c r="F438" s="14" t="s">
        <v>810</v>
      </c>
      <c r="G438" s="14" t="s">
        <v>86</v>
      </c>
      <c r="H438" s="14" t="s">
        <v>847</v>
      </c>
      <c r="I438" s="12">
        <v>42.015807166521597</v>
      </c>
      <c r="J438" s="12">
        <v>-82.799632485142993</v>
      </c>
      <c r="K438" s="12" t="s">
        <v>103</v>
      </c>
      <c r="L438" s="12" t="s">
        <v>28</v>
      </c>
      <c r="M438" s="12" t="s">
        <v>848</v>
      </c>
      <c r="N438" s="12">
        <v>42</v>
      </c>
      <c r="O438" s="12" t="s">
        <v>814</v>
      </c>
      <c r="P438" s="12">
        <f t="shared" si="13"/>
        <v>42</v>
      </c>
      <c r="Q438" s="12" t="s">
        <v>107</v>
      </c>
    </row>
    <row r="439" spans="1:27" x14ac:dyDescent="0.35">
      <c r="A439" s="12">
        <v>35</v>
      </c>
      <c r="B439" s="12" t="s">
        <v>808</v>
      </c>
      <c r="C439" s="12">
        <v>2018</v>
      </c>
      <c r="D439" s="12" t="s">
        <v>619</v>
      </c>
      <c r="E439" s="13" t="s">
        <v>809</v>
      </c>
      <c r="F439" s="14" t="s">
        <v>810</v>
      </c>
      <c r="G439" s="14" t="s">
        <v>86</v>
      </c>
      <c r="H439" s="14" t="s">
        <v>849</v>
      </c>
      <c r="I439" s="12">
        <v>42.370141245316603</v>
      </c>
      <c r="J439" s="12">
        <v>-81.825130011271796</v>
      </c>
      <c r="K439" s="12" t="s">
        <v>103</v>
      </c>
      <c r="L439" s="12" t="s">
        <v>28</v>
      </c>
      <c r="M439" s="12" t="s">
        <v>850</v>
      </c>
      <c r="N439" s="12">
        <v>10</v>
      </c>
      <c r="O439" s="12" t="s">
        <v>814</v>
      </c>
      <c r="P439" s="12">
        <f t="shared" si="13"/>
        <v>10</v>
      </c>
      <c r="Q439" s="12" t="s">
        <v>107</v>
      </c>
    </row>
    <row r="440" spans="1:27" x14ac:dyDescent="0.35">
      <c r="A440" s="12">
        <v>35</v>
      </c>
      <c r="B440" s="12" t="s">
        <v>808</v>
      </c>
      <c r="C440" s="12">
        <v>2018</v>
      </c>
      <c r="D440" s="12" t="s">
        <v>619</v>
      </c>
      <c r="E440" s="13" t="s">
        <v>809</v>
      </c>
      <c r="F440" s="14" t="s">
        <v>810</v>
      </c>
      <c r="G440" s="14" t="s">
        <v>86</v>
      </c>
      <c r="H440" s="14" t="s">
        <v>851</v>
      </c>
      <c r="I440" s="12">
        <v>42.857189063566402</v>
      </c>
      <c r="J440" s="12">
        <v>-79.576532350667193</v>
      </c>
      <c r="K440" s="12" t="s">
        <v>103</v>
      </c>
      <c r="L440" s="12" t="s">
        <v>28</v>
      </c>
      <c r="M440" s="12" t="s">
        <v>852</v>
      </c>
      <c r="N440" s="12">
        <v>42</v>
      </c>
      <c r="O440" s="12" t="s">
        <v>814</v>
      </c>
      <c r="P440" s="12">
        <f t="shared" si="13"/>
        <v>42</v>
      </c>
      <c r="Q440" s="12" t="s">
        <v>107</v>
      </c>
    </row>
    <row r="441" spans="1:27" x14ac:dyDescent="0.35">
      <c r="A441" s="12">
        <v>35</v>
      </c>
      <c r="B441" s="12" t="s">
        <v>808</v>
      </c>
      <c r="C441" s="12">
        <v>2018</v>
      </c>
      <c r="D441" s="12" t="s">
        <v>619</v>
      </c>
      <c r="E441" s="13" t="s">
        <v>809</v>
      </c>
      <c r="F441" s="14" t="s">
        <v>810</v>
      </c>
      <c r="G441" s="14" t="s">
        <v>86</v>
      </c>
      <c r="H441" s="14" t="s">
        <v>853</v>
      </c>
      <c r="I441" s="12">
        <v>42.875899756210302</v>
      </c>
      <c r="J441" s="12">
        <v>-79.248775570823199</v>
      </c>
      <c r="K441" s="12" t="s">
        <v>103</v>
      </c>
      <c r="L441" s="12" t="s">
        <v>28</v>
      </c>
      <c r="M441" s="12" t="s">
        <v>854</v>
      </c>
      <c r="N441" s="12">
        <v>462</v>
      </c>
      <c r="O441" s="12" t="s">
        <v>814</v>
      </c>
      <c r="P441" s="12">
        <f t="shared" si="13"/>
        <v>462</v>
      </c>
      <c r="Q441" s="12" t="s">
        <v>107</v>
      </c>
    </row>
    <row r="442" spans="1:27" x14ac:dyDescent="0.35">
      <c r="A442" s="12">
        <v>35</v>
      </c>
      <c r="B442" s="12" t="s">
        <v>808</v>
      </c>
      <c r="C442" s="12">
        <v>2018</v>
      </c>
      <c r="D442" s="12" t="s">
        <v>619</v>
      </c>
      <c r="E442" s="13" t="s">
        <v>809</v>
      </c>
      <c r="F442" s="14" t="s">
        <v>810</v>
      </c>
      <c r="G442" s="14" t="s">
        <v>86</v>
      </c>
      <c r="H442" s="14" t="s">
        <v>855</v>
      </c>
      <c r="I442" s="12">
        <v>42.882992964762003</v>
      </c>
      <c r="J442" s="12">
        <v>-78.9416732452557</v>
      </c>
      <c r="K442" s="12" t="s">
        <v>103</v>
      </c>
      <c r="L442" s="12" t="s">
        <v>28</v>
      </c>
      <c r="M442" s="12" t="s">
        <v>856</v>
      </c>
      <c r="N442" s="12">
        <v>60</v>
      </c>
      <c r="O442" s="12" t="s">
        <v>814</v>
      </c>
      <c r="P442" s="12">
        <f t="shared" si="13"/>
        <v>60</v>
      </c>
      <c r="Q442" s="12" t="s">
        <v>107</v>
      </c>
    </row>
    <row r="443" spans="1:27" x14ac:dyDescent="0.35">
      <c r="A443" s="12">
        <v>35</v>
      </c>
      <c r="B443" s="12" t="s">
        <v>808</v>
      </c>
      <c r="C443" s="12">
        <v>2018</v>
      </c>
      <c r="D443" s="12" t="s">
        <v>619</v>
      </c>
      <c r="E443" s="13" t="s">
        <v>809</v>
      </c>
      <c r="F443" s="14" t="s">
        <v>810</v>
      </c>
      <c r="G443" s="14" t="s">
        <v>86</v>
      </c>
      <c r="H443" s="14" t="s">
        <v>857</v>
      </c>
      <c r="I443" s="12">
        <v>42.8604410166025</v>
      </c>
      <c r="J443" s="12">
        <v>-79.057373755880505</v>
      </c>
      <c r="K443" s="12" t="s">
        <v>103</v>
      </c>
      <c r="L443" s="12" t="s">
        <v>28</v>
      </c>
      <c r="M443" s="12" t="s">
        <v>858</v>
      </c>
      <c r="N443" s="12">
        <v>66</v>
      </c>
      <c r="O443" s="12" t="s">
        <v>814</v>
      </c>
      <c r="P443" s="12">
        <f t="shared" si="13"/>
        <v>66</v>
      </c>
      <c r="Q443" s="12" t="s">
        <v>107</v>
      </c>
    </row>
    <row r="444" spans="1:27" x14ac:dyDescent="0.35">
      <c r="A444" s="12">
        <v>35</v>
      </c>
      <c r="B444" s="12" t="s">
        <v>808</v>
      </c>
      <c r="C444" s="12">
        <v>2018</v>
      </c>
      <c r="D444" s="12" t="s">
        <v>619</v>
      </c>
      <c r="E444" s="13" t="s">
        <v>809</v>
      </c>
      <c r="F444" s="14" t="s">
        <v>810</v>
      </c>
      <c r="G444" s="14" t="s">
        <v>86</v>
      </c>
      <c r="H444" s="14" t="s">
        <v>859</v>
      </c>
      <c r="I444" s="12">
        <v>42.866476868620097</v>
      </c>
      <c r="J444" s="12">
        <v>-79.385672197692998</v>
      </c>
      <c r="K444" s="12" t="s">
        <v>103</v>
      </c>
      <c r="L444" s="12" t="s">
        <v>28</v>
      </c>
      <c r="M444" s="12" t="s">
        <v>860</v>
      </c>
      <c r="N444" s="12">
        <v>127</v>
      </c>
      <c r="O444" s="12" t="s">
        <v>814</v>
      </c>
      <c r="P444" s="12">
        <f t="shared" si="13"/>
        <v>127</v>
      </c>
      <c r="Q444" s="12" t="s">
        <v>107</v>
      </c>
    </row>
    <row r="445" spans="1:27" x14ac:dyDescent="0.35">
      <c r="A445" s="12">
        <v>35</v>
      </c>
      <c r="B445" s="12" t="s">
        <v>808</v>
      </c>
      <c r="C445" s="12">
        <v>2018</v>
      </c>
      <c r="D445" s="12" t="s">
        <v>619</v>
      </c>
      <c r="E445" s="13" t="s">
        <v>809</v>
      </c>
      <c r="F445" s="14" t="s">
        <v>810</v>
      </c>
      <c r="G445" s="14" t="s">
        <v>86</v>
      </c>
      <c r="H445" s="14" t="s">
        <v>861</v>
      </c>
      <c r="I445" s="12">
        <v>42.3201271587143</v>
      </c>
      <c r="J445" s="12">
        <v>-81.841331287177098</v>
      </c>
      <c r="K445" s="12" t="s">
        <v>103</v>
      </c>
      <c r="L445" s="12" t="s">
        <v>28</v>
      </c>
      <c r="M445" s="12" t="s">
        <v>862</v>
      </c>
      <c r="N445" s="12">
        <v>146</v>
      </c>
      <c r="O445" s="12" t="s">
        <v>814</v>
      </c>
      <c r="P445" s="12">
        <f t="shared" si="13"/>
        <v>146</v>
      </c>
      <c r="Q445" s="12" t="s">
        <v>107</v>
      </c>
    </row>
    <row r="446" spans="1:27" x14ac:dyDescent="0.35">
      <c r="A446" s="12">
        <v>35</v>
      </c>
      <c r="B446" s="12" t="s">
        <v>808</v>
      </c>
      <c r="C446" s="12">
        <v>2018</v>
      </c>
      <c r="D446" s="12" t="s">
        <v>619</v>
      </c>
      <c r="E446" s="13" t="s">
        <v>809</v>
      </c>
      <c r="F446" s="14" t="s">
        <v>810</v>
      </c>
      <c r="G446" s="14" t="s">
        <v>86</v>
      </c>
      <c r="H446" s="14" t="s">
        <v>863</v>
      </c>
      <c r="I446" s="12">
        <v>42.029481166475797</v>
      </c>
      <c r="J446" s="12">
        <v>-82.605654531404895</v>
      </c>
      <c r="K446" s="12" t="s">
        <v>103</v>
      </c>
      <c r="L446" s="12" t="s">
        <v>28</v>
      </c>
      <c r="M446" s="12" t="s">
        <v>864</v>
      </c>
      <c r="N446" s="12">
        <v>63</v>
      </c>
      <c r="O446" s="12" t="s">
        <v>814</v>
      </c>
      <c r="P446" s="12">
        <f t="shared" si="13"/>
        <v>63</v>
      </c>
      <c r="Q446" s="12" t="s">
        <v>107</v>
      </c>
    </row>
    <row r="447" spans="1:27" x14ac:dyDescent="0.35">
      <c r="A447" s="12">
        <v>35</v>
      </c>
      <c r="B447" s="12" t="s">
        <v>808</v>
      </c>
      <c r="C447" s="12">
        <v>2018</v>
      </c>
      <c r="D447" s="12" t="s">
        <v>619</v>
      </c>
      <c r="E447" s="13" t="s">
        <v>809</v>
      </c>
      <c r="F447" s="14" t="s">
        <v>810</v>
      </c>
      <c r="G447" s="14" t="s">
        <v>86</v>
      </c>
      <c r="H447" s="14" t="s">
        <v>865</v>
      </c>
      <c r="I447" s="12">
        <v>42.038544847562399</v>
      </c>
      <c r="J447" s="12">
        <v>-83.072742507009096</v>
      </c>
      <c r="K447" s="12" t="s">
        <v>103</v>
      </c>
      <c r="L447" s="12" t="s">
        <v>28</v>
      </c>
      <c r="M447" s="12" t="s">
        <v>866</v>
      </c>
      <c r="N447" s="12">
        <v>50</v>
      </c>
      <c r="O447" s="12" t="s">
        <v>814</v>
      </c>
      <c r="P447" s="12">
        <f t="shared" si="13"/>
        <v>50</v>
      </c>
      <c r="Q447" s="12" t="s">
        <v>107</v>
      </c>
    </row>
    <row r="448" spans="1:27" x14ac:dyDescent="0.35">
      <c r="A448" s="12">
        <v>36</v>
      </c>
      <c r="B448" s="12" t="s">
        <v>867</v>
      </c>
      <c r="C448" s="12">
        <v>2016</v>
      </c>
      <c r="D448" s="12" t="s">
        <v>420</v>
      </c>
      <c r="E448" s="12" t="s">
        <v>868</v>
      </c>
      <c r="F448" s="12" t="s">
        <v>869</v>
      </c>
      <c r="G448" s="12" t="s">
        <v>86</v>
      </c>
      <c r="H448" s="12" t="s">
        <v>870</v>
      </c>
      <c r="I448" s="12">
        <v>43.311999999999998</v>
      </c>
      <c r="J448" s="12" t="s">
        <v>871</v>
      </c>
      <c r="K448" s="12" t="s">
        <v>103</v>
      </c>
      <c r="L448" s="12" t="s">
        <v>28</v>
      </c>
      <c r="M448" s="12" t="s">
        <v>875</v>
      </c>
      <c r="N448" s="12">
        <v>60</v>
      </c>
      <c r="O448" s="12" t="s">
        <v>876</v>
      </c>
      <c r="P448" s="12">
        <v>60</v>
      </c>
      <c r="Q448" s="12" t="s">
        <v>107</v>
      </c>
    </row>
    <row r="449" spans="1:17" x14ac:dyDescent="0.35">
      <c r="A449" s="12">
        <v>36</v>
      </c>
      <c r="B449" s="12" t="s">
        <v>867</v>
      </c>
      <c r="C449" s="12">
        <v>2016</v>
      </c>
      <c r="D449" s="12" t="s">
        <v>420</v>
      </c>
      <c r="E449" s="12" t="s">
        <v>868</v>
      </c>
      <c r="F449" s="12" t="s">
        <v>869</v>
      </c>
      <c r="G449" s="12" t="s">
        <v>86</v>
      </c>
      <c r="H449" s="12" t="s">
        <v>877</v>
      </c>
      <c r="I449" s="12" t="s">
        <v>878</v>
      </c>
      <c r="J449" s="12" t="s">
        <v>879</v>
      </c>
      <c r="K449" s="12" t="s">
        <v>103</v>
      </c>
      <c r="L449" s="12" t="s">
        <v>28</v>
      </c>
      <c r="M449" s="12" t="s">
        <v>875</v>
      </c>
      <c r="N449" s="12">
        <v>45</v>
      </c>
      <c r="O449" s="12" t="s">
        <v>876</v>
      </c>
      <c r="P449" s="12">
        <v>45</v>
      </c>
      <c r="Q449" s="12" t="s">
        <v>107</v>
      </c>
    </row>
    <row r="450" spans="1:17" x14ac:dyDescent="0.35">
      <c r="A450" s="12">
        <v>36</v>
      </c>
      <c r="B450" s="12" t="s">
        <v>867</v>
      </c>
      <c r="C450" s="12">
        <v>2016</v>
      </c>
      <c r="D450" s="12" t="s">
        <v>420</v>
      </c>
      <c r="E450" s="12" t="s">
        <v>868</v>
      </c>
      <c r="F450" s="12" t="s">
        <v>869</v>
      </c>
      <c r="G450" s="12" t="s">
        <v>86</v>
      </c>
      <c r="H450" s="12" t="s">
        <v>881</v>
      </c>
      <c r="I450" s="12">
        <v>43.584000000000003</v>
      </c>
      <c r="J450" s="12" t="s">
        <v>882</v>
      </c>
      <c r="K450" s="12" t="s">
        <v>103</v>
      </c>
      <c r="L450" s="12" t="s">
        <v>28</v>
      </c>
      <c r="M450" s="12" t="s">
        <v>875</v>
      </c>
      <c r="N450" s="12">
        <v>120</v>
      </c>
      <c r="O450" s="12" t="s">
        <v>876</v>
      </c>
      <c r="P450" s="12">
        <v>120</v>
      </c>
      <c r="Q450" s="12" t="s">
        <v>107</v>
      </c>
    </row>
    <row r="451" spans="1:17" x14ac:dyDescent="0.35">
      <c r="A451" s="12">
        <v>36</v>
      </c>
      <c r="B451" s="12" t="s">
        <v>867</v>
      </c>
      <c r="C451" s="12">
        <v>2016</v>
      </c>
      <c r="D451" s="12" t="s">
        <v>420</v>
      </c>
      <c r="E451" s="12" t="s">
        <v>868</v>
      </c>
      <c r="F451" s="12" t="s">
        <v>869</v>
      </c>
      <c r="G451" s="12" t="s">
        <v>86</v>
      </c>
      <c r="H451" s="12" t="s">
        <v>883</v>
      </c>
      <c r="I451" s="12">
        <v>43.637</v>
      </c>
      <c r="J451" s="12" t="s">
        <v>884</v>
      </c>
      <c r="K451" s="12" t="s">
        <v>103</v>
      </c>
      <c r="L451" s="12" t="s">
        <v>28</v>
      </c>
      <c r="M451" s="12" t="s">
        <v>875</v>
      </c>
      <c r="N451" s="12">
        <v>360</v>
      </c>
      <c r="O451" s="12" t="s">
        <v>876</v>
      </c>
      <c r="P451" s="12">
        <v>360</v>
      </c>
      <c r="Q451" s="12" t="s">
        <v>107</v>
      </c>
    </row>
    <row r="452" spans="1:17" x14ac:dyDescent="0.35">
      <c r="A452" s="12">
        <v>36</v>
      </c>
      <c r="B452" s="12" t="s">
        <v>867</v>
      </c>
      <c r="C452" s="12">
        <v>2016</v>
      </c>
      <c r="D452" s="12" t="s">
        <v>420</v>
      </c>
      <c r="E452" s="12" t="s">
        <v>868</v>
      </c>
      <c r="F452" s="12" t="s">
        <v>869</v>
      </c>
      <c r="G452" s="12" t="s">
        <v>86</v>
      </c>
      <c r="H452" s="12" t="s">
        <v>885</v>
      </c>
      <c r="I452" s="12">
        <v>43.665999999999997</v>
      </c>
      <c r="J452" s="12" t="s">
        <v>886</v>
      </c>
      <c r="K452" s="12" t="s">
        <v>103</v>
      </c>
      <c r="L452" s="12" t="s">
        <v>28</v>
      </c>
      <c r="M452" s="12" t="s">
        <v>875</v>
      </c>
      <c r="N452" s="12">
        <v>110</v>
      </c>
      <c r="O452" s="12" t="s">
        <v>876</v>
      </c>
      <c r="P452" s="12">
        <v>110</v>
      </c>
      <c r="Q452" s="12" t="s">
        <v>107</v>
      </c>
    </row>
    <row r="453" spans="1:17" x14ac:dyDescent="0.35">
      <c r="A453" s="12">
        <v>36</v>
      </c>
      <c r="B453" s="12" t="s">
        <v>867</v>
      </c>
      <c r="C453" s="12">
        <v>2016</v>
      </c>
      <c r="D453" s="12" t="s">
        <v>420</v>
      </c>
      <c r="E453" s="12" t="s">
        <v>868</v>
      </c>
      <c r="F453" s="12" t="s">
        <v>869</v>
      </c>
      <c r="G453" s="12" t="s">
        <v>86</v>
      </c>
      <c r="H453" s="12" t="s">
        <v>887</v>
      </c>
      <c r="I453" s="12">
        <v>43.32</v>
      </c>
      <c r="J453" s="12" t="s">
        <v>888</v>
      </c>
      <c r="K453" s="12" t="s">
        <v>103</v>
      </c>
      <c r="L453" s="12" t="s">
        <v>28</v>
      </c>
      <c r="M453" s="12" t="s">
        <v>889</v>
      </c>
      <c r="N453" s="12">
        <v>320</v>
      </c>
      <c r="O453" s="12" t="s">
        <v>876</v>
      </c>
      <c r="P453" s="12">
        <v>320</v>
      </c>
      <c r="Q453" s="12" t="s">
        <v>107</v>
      </c>
    </row>
    <row r="454" spans="1:17" x14ac:dyDescent="0.35">
      <c r="A454" s="12">
        <v>36</v>
      </c>
      <c r="B454" s="12" t="s">
        <v>867</v>
      </c>
      <c r="C454" s="12">
        <v>2016</v>
      </c>
      <c r="D454" s="12" t="s">
        <v>420</v>
      </c>
      <c r="E454" s="12" t="s">
        <v>868</v>
      </c>
      <c r="F454" s="12" t="s">
        <v>869</v>
      </c>
      <c r="G454" s="12" t="s">
        <v>86</v>
      </c>
      <c r="H454" s="12" t="s">
        <v>890</v>
      </c>
      <c r="I454" s="12" t="s">
        <v>891</v>
      </c>
      <c r="J454" s="12" t="s">
        <v>892</v>
      </c>
      <c r="K454" s="12" t="s">
        <v>103</v>
      </c>
      <c r="L454" s="12" t="s">
        <v>28</v>
      </c>
      <c r="M454" s="12" t="s">
        <v>889</v>
      </c>
      <c r="N454" s="12">
        <v>290</v>
      </c>
      <c r="O454" s="12" t="s">
        <v>876</v>
      </c>
      <c r="P454" s="12">
        <v>290</v>
      </c>
      <c r="Q454" s="12" t="s">
        <v>107</v>
      </c>
    </row>
    <row r="455" spans="1:17" x14ac:dyDescent="0.35">
      <c r="A455" s="12">
        <v>36</v>
      </c>
      <c r="B455" s="12" t="s">
        <v>867</v>
      </c>
      <c r="C455" s="12">
        <v>2016</v>
      </c>
      <c r="D455" s="12" t="s">
        <v>420</v>
      </c>
      <c r="E455" s="12" t="s">
        <v>868</v>
      </c>
      <c r="F455" s="12" t="s">
        <v>869</v>
      </c>
      <c r="G455" s="12" t="s">
        <v>86</v>
      </c>
      <c r="H455" s="12" t="s">
        <v>893</v>
      </c>
      <c r="I455" s="12">
        <v>43.268000000000001</v>
      </c>
      <c r="J455" s="12" t="s">
        <v>894</v>
      </c>
      <c r="K455" s="12" t="s">
        <v>103</v>
      </c>
      <c r="L455" s="12" t="s">
        <v>28</v>
      </c>
      <c r="M455" s="12" t="s">
        <v>889</v>
      </c>
      <c r="N455" s="12">
        <v>70</v>
      </c>
      <c r="O455" s="12" t="s">
        <v>876</v>
      </c>
      <c r="P455" s="12">
        <v>70</v>
      </c>
      <c r="Q455" s="12" t="s">
        <v>107</v>
      </c>
    </row>
    <row r="456" spans="1:17" x14ac:dyDescent="0.35">
      <c r="A456" s="12">
        <v>36</v>
      </c>
      <c r="B456" s="12" t="s">
        <v>867</v>
      </c>
      <c r="C456" s="12">
        <v>2016</v>
      </c>
      <c r="D456" s="12" t="s">
        <v>420</v>
      </c>
      <c r="E456" s="12" t="s">
        <v>868</v>
      </c>
      <c r="F456" s="12" t="s">
        <v>869</v>
      </c>
      <c r="G456" s="12" t="s">
        <v>86</v>
      </c>
      <c r="H456" s="12" t="s">
        <v>895</v>
      </c>
      <c r="I456" s="12">
        <v>43.426000000000002</v>
      </c>
      <c r="J456" s="12" t="s">
        <v>896</v>
      </c>
      <c r="K456" s="12" t="s">
        <v>103</v>
      </c>
      <c r="L456" s="12" t="s">
        <v>28</v>
      </c>
      <c r="M456" s="12" t="s">
        <v>889</v>
      </c>
      <c r="N456" s="12">
        <v>1360</v>
      </c>
      <c r="O456" s="12" t="s">
        <v>876</v>
      </c>
      <c r="P456" s="12">
        <v>1360</v>
      </c>
      <c r="Q456" s="12" t="s">
        <v>107</v>
      </c>
    </row>
    <row r="457" spans="1:17" x14ac:dyDescent="0.35">
      <c r="A457" s="12">
        <v>36</v>
      </c>
      <c r="B457" s="12" t="s">
        <v>867</v>
      </c>
      <c r="C457" s="12">
        <v>2016</v>
      </c>
      <c r="D457" s="12" t="s">
        <v>420</v>
      </c>
      <c r="E457" s="12" t="s">
        <v>868</v>
      </c>
      <c r="F457" s="12" t="s">
        <v>869</v>
      </c>
      <c r="G457" s="12" t="s">
        <v>86</v>
      </c>
      <c r="H457" s="12" t="s">
        <v>897</v>
      </c>
      <c r="I457" s="12">
        <v>43.622999999999998</v>
      </c>
      <c r="J457" s="12" t="s">
        <v>898</v>
      </c>
      <c r="K457" s="12" t="s">
        <v>103</v>
      </c>
      <c r="L457" s="12" t="s">
        <v>28</v>
      </c>
      <c r="M457" s="12" t="s">
        <v>889</v>
      </c>
      <c r="N457" s="12">
        <v>280</v>
      </c>
      <c r="O457" s="12" t="s">
        <v>876</v>
      </c>
      <c r="P457" s="12">
        <v>280</v>
      </c>
      <c r="Q457" s="12" t="s">
        <v>107</v>
      </c>
    </row>
    <row r="458" spans="1:17" x14ac:dyDescent="0.35">
      <c r="A458" s="12">
        <v>36</v>
      </c>
      <c r="B458" s="12" t="s">
        <v>867</v>
      </c>
      <c r="C458" s="12">
        <v>2016</v>
      </c>
      <c r="D458" s="12" t="s">
        <v>420</v>
      </c>
      <c r="E458" s="12" t="s">
        <v>868</v>
      </c>
      <c r="F458" s="12" t="s">
        <v>869</v>
      </c>
      <c r="G458" s="12" t="s">
        <v>86</v>
      </c>
      <c r="H458" s="12" t="s">
        <v>899</v>
      </c>
      <c r="I458" s="12">
        <v>43.631999999999998</v>
      </c>
      <c r="J458" s="12" t="s">
        <v>900</v>
      </c>
      <c r="K458" s="12" t="s">
        <v>103</v>
      </c>
      <c r="L458" s="12" t="s">
        <v>28</v>
      </c>
      <c r="M458" s="12" t="s">
        <v>901</v>
      </c>
      <c r="N458" s="12">
        <v>3210</v>
      </c>
      <c r="O458" s="12" t="s">
        <v>876</v>
      </c>
      <c r="P458" s="12">
        <v>3210</v>
      </c>
      <c r="Q458" s="12" t="s">
        <v>107</v>
      </c>
    </row>
    <row r="459" spans="1:17" x14ac:dyDescent="0.35">
      <c r="A459" s="12">
        <v>36</v>
      </c>
      <c r="B459" s="12" t="s">
        <v>867</v>
      </c>
      <c r="C459" s="12">
        <v>2017</v>
      </c>
      <c r="D459" s="12" t="s">
        <v>420</v>
      </c>
      <c r="E459" s="12" t="s">
        <v>902</v>
      </c>
      <c r="F459" s="12" t="s">
        <v>903</v>
      </c>
      <c r="G459" s="12" t="s">
        <v>86</v>
      </c>
      <c r="H459" s="12" t="s">
        <v>904</v>
      </c>
      <c r="I459" s="12">
        <v>43.793999999999997</v>
      </c>
      <c r="J459" s="12" t="s">
        <v>905</v>
      </c>
      <c r="K459" s="12" t="s">
        <v>103</v>
      </c>
      <c r="L459" s="12" t="s">
        <v>28</v>
      </c>
      <c r="M459" s="12" t="s">
        <v>889</v>
      </c>
      <c r="N459" s="12">
        <v>230</v>
      </c>
      <c r="O459" s="12" t="s">
        <v>876</v>
      </c>
      <c r="P459" s="12">
        <v>230</v>
      </c>
      <c r="Q459" s="12" t="s">
        <v>107</v>
      </c>
    </row>
    <row r="460" spans="1:17" x14ac:dyDescent="0.35">
      <c r="A460" s="12">
        <v>36</v>
      </c>
      <c r="B460" s="12" t="s">
        <v>867</v>
      </c>
      <c r="C460" s="12">
        <v>2016</v>
      </c>
      <c r="D460" s="12" t="s">
        <v>420</v>
      </c>
      <c r="E460" s="12" t="s">
        <v>868</v>
      </c>
      <c r="F460" s="12" t="s">
        <v>869</v>
      </c>
      <c r="G460" s="12" t="s">
        <v>86</v>
      </c>
      <c r="H460" s="12" t="s">
        <v>906</v>
      </c>
      <c r="I460" s="12">
        <v>43.953000000000003</v>
      </c>
      <c r="J460" s="12" t="s">
        <v>907</v>
      </c>
      <c r="K460" s="12" t="s">
        <v>103</v>
      </c>
      <c r="L460" s="12" t="s">
        <v>28</v>
      </c>
      <c r="M460" s="12" t="s">
        <v>889</v>
      </c>
      <c r="N460" s="12">
        <v>140</v>
      </c>
      <c r="O460" s="12" t="s">
        <v>876</v>
      </c>
      <c r="P460" s="12">
        <v>140</v>
      </c>
      <c r="Q460" s="12" t="s">
        <v>107</v>
      </c>
    </row>
    <row r="461" spans="1:17" x14ac:dyDescent="0.35">
      <c r="A461" s="12">
        <v>36</v>
      </c>
      <c r="B461" s="12" t="s">
        <v>867</v>
      </c>
      <c r="C461" s="12">
        <v>2016</v>
      </c>
      <c r="D461" s="12" t="s">
        <v>420</v>
      </c>
      <c r="E461" s="12" t="s">
        <v>868</v>
      </c>
      <c r="F461" s="12" t="s">
        <v>869</v>
      </c>
      <c r="G461" s="12" t="s">
        <v>86</v>
      </c>
      <c r="H461" s="12" t="s">
        <v>908</v>
      </c>
      <c r="I461" s="12">
        <v>44.088000000000001</v>
      </c>
      <c r="J461" s="12" t="s">
        <v>909</v>
      </c>
      <c r="K461" s="12" t="s">
        <v>103</v>
      </c>
      <c r="L461" s="12" t="s">
        <v>28</v>
      </c>
      <c r="M461" s="12" t="s">
        <v>889</v>
      </c>
      <c r="N461" s="12">
        <v>800</v>
      </c>
      <c r="O461" s="12" t="s">
        <v>876</v>
      </c>
      <c r="P461" s="12">
        <v>800</v>
      </c>
      <c r="Q461" s="12" t="s">
        <v>107</v>
      </c>
    </row>
    <row r="462" spans="1:17" x14ac:dyDescent="0.35">
      <c r="A462" s="12">
        <v>36</v>
      </c>
      <c r="B462" s="12" t="s">
        <v>867</v>
      </c>
      <c r="C462" s="12">
        <v>2017</v>
      </c>
      <c r="D462" s="12" t="s">
        <v>420</v>
      </c>
      <c r="E462" s="12" t="s">
        <v>902</v>
      </c>
      <c r="F462" s="12" t="s">
        <v>903</v>
      </c>
      <c r="G462" s="12" t="s">
        <v>86</v>
      </c>
      <c r="H462" s="12" t="s">
        <v>910</v>
      </c>
      <c r="I462" s="12" t="s">
        <v>911</v>
      </c>
      <c r="J462" s="12" t="s">
        <v>912</v>
      </c>
      <c r="K462" s="12" t="s">
        <v>103</v>
      </c>
      <c r="L462" s="12" t="s">
        <v>28</v>
      </c>
      <c r="M462" s="12" t="s">
        <v>889</v>
      </c>
      <c r="N462" s="12">
        <v>430</v>
      </c>
      <c r="O462" s="12" t="s">
        <v>876</v>
      </c>
      <c r="P462" s="12">
        <v>430</v>
      </c>
      <c r="Q462" s="12" t="s">
        <v>107</v>
      </c>
    </row>
    <row r="463" spans="1:17" x14ac:dyDescent="0.35">
      <c r="A463" s="12">
        <v>36</v>
      </c>
      <c r="B463" s="12" t="s">
        <v>867</v>
      </c>
      <c r="C463" s="12">
        <v>2017</v>
      </c>
      <c r="D463" s="12" t="s">
        <v>420</v>
      </c>
      <c r="E463" s="12" t="s">
        <v>902</v>
      </c>
      <c r="F463" s="12" t="s">
        <v>903</v>
      </c>
      <c r="G463" s="12" t="s">
        <v>86</v>
      </c>
      <c r="H463" s="12" t="s">
        <v>913</v>
      </c>
      <c r="I463" s="12">
        <v>44.180999999999997</v>
      </c>
      <c r="J463" s="12" t="s">
        <v>914</v>
      </c>
      <c r="K463" s="12" t="s">
        <v>103</v>
      </c>
      <c r="L463" s="12" t="s">
        <v>28</v>
      </c>
      <c r="M463" s="12" t="s">
        <v>889</v>
      </c>
      <c r="N463" s="12">
        <v>780</v>
      </c>
      <c r="O463" s="12" t="s">
        <v>876</v>
      </c>
      <c r="P463" s="12">
        <v>780</v>
      </c>
      <c r="Q463" s="12" t="s">
        <v>107</v>
      </c>
    </row>
    <row r="464" spans="1:17" x14ac:dyDescent="0.35">
      <c r="A464" s="12">
        <v>36</v>
      </c>
      <c r="B464" s="12" t="s">
        <v>867</v>
      </c>
      <c r="C464" s="12">
        <v>2016</v>
      </c>
      <c r="D464" s="12" t="s">
        <v>420</v>
      </c>
      <c r="E464" s="12" t="s">
        <v>868</v>
      </c>
      <c r="F464" s="12" t="s">
        <v>869</v>
      </c>
      <c r="G464" s="12" t="s">
        <v>86</v>
      </c>
      <c r="H464" s="12" t="s">
        <v>915</v>
      </c>
      <c r="I464" s="12">
        <v>44.234000000000002</v>
      </c>
      <c r="J464" s="12" t="s">
        <v>916</v>
      </c>
      <c r="K464" s="12" t="s">
        <v>103</v>
      </c>
      <c r="L464" s="12" t="s">
        <v>28</v>
      </c>
      <c r="M464" s="12" t="s">
        <v>889</v>
      </c>
      <c r="N464" s="12">
        <v>120</v>
      </c>
      <c r="O464" s="12" t="s">
        <v>876</v>
      </c>
      <c r="P464" s="12">
        <v>120</v>
      </c>
      <c r="Q464" s="12" t="s">
        <v>107</v>
      </c>
    </row>
    <row r="465" spans="1:18" x14ac:dyDescent="0.35">
      <c r="A465" s="12">
        <v>36</v>
      </c>
      <c r="B465" s="12" t="s">
        <v>867</v>
      </c>
      <c r="C465" s="12">
        <v>2016</v>
      </c>
      <c r="D465" s="12" t="s">
        <v>420</v>
      </c>
      <c r="E465" s="12" t="s">
        <v>868</v>
      </c>
      <c r="F465" s="12" t="s">
        <v>869</v>
      </c>
      <c r="G465" s="12" t="s">
        <v>86</v>
      </c>
      <c r="H465" s="12" t="s">
        <v>917</v>
      </c>
      <c r="I465" s="12">
        <v>44.698</v>
      </c>
      <c r="J465" s="12" t="s">
        <v>918</v>
      </c>
      <c r="K465" s="12" t="s">
        <v>103</v>
      </c>
      <c r="L465" s="12" t="s">
        <v>28</v>
      </c>
      <c r="M465" s="12" t="s">
        <v>889</v>
      </c>
      <c r="N465" s="12">
        <v>40</v>
      </c>
      <c r="O465" s="12" t="s">
        <v>876</v>
      </c>
      <c r="P465" s="12">
        <v>40</v>
      </c>
      <c r="Q465" s="12" t="s">
        <v>107</v>
      </c>
    </row>
    <row r="466" spans="1:18" x14ac:dyDescent="0.35">
      <c r="A466" s="12">
        <v>36</v>
      </c>
      <c r="B466" s="12" t="s">
        <v>867</v>
      </c>
      <c r="C466" s="12">
        <v>2017</v>
      </c>
      <c r="D466" s="12" t="s">
        <v>420</v>
      </c>
      <c r="E466" s="12" t="s">
        <v>902</v>
      </c>
      <c r="F466" s="12" t="s">
        <v>903</v>
      </c>
      <c r="G466" s="12" t="s">
        <v>86</v>
      </c>
      <c r="H466" s="12" t="s">
        <v>919</v>
      </c>
      <c r="I466" s="12">
        <v>45.137</v>
      </c>
      <c r="J466" s="12" t="s">
        <v>920</v>
      </c>
      <c r="K466" s="12" t="s">
        <v>103</v>
      </c>
      <c r="L466" s="12" t="s">
        <v>28</v>
      </c>
      <c r="M466" s="12" t="s">
        <v>889</v>
      </c>
      <c r="N466" s="12">
        <v>80</v>
      </c>
      <c r="O466" s="12" t="s">
        <v>876</v>
      </c>
      <c r="P466" s="12">
        <v>80</v>
      </c>
      <c r="Q466" s="12" t="s">
        <v>107</v>
      </c>
    </row>
    <row r="467" spans="1:18" x14ac:dyDescent="0.35">
      <c r="A467" s="12">
        <v>36</v>
      </c>
      <c r="B467" s="12" t="s">
        <v>867</v>
      </c>
      <c r="C467" s="12">
        <v>2016</v>
      </c>
      <c r="D467" s="12" t="s">
        <v>420</v>
      </c>
      <c r="E467" s="12" t="s">
        <v>868</v>
      </c>
      <c r="F467" s="12" t="s">
        <v>869</v>
      </c>
      <c r="G467" s="12" t="s">
        <v>86</v>
      </c>
      <c r="H467" s="12" t="s">
        <v>921</v>
      </c>
      <c r="I467" s="12">
        <v>43.622999999999998</v>
      </c>
      <c r="J467" s="12" t="s">
        <v>898</v>
      </c>
      <c r="K467" s="12" t="s">
        <v>103</v>
      </c>
      <c r="L467" s="12" t="s">
        <v>28</v>
      </c>
      <c r="M467" s="12" t="s">
        <v>922</v>
      </c>
      <c r="N467" s="12">
        <v>1433.75</v>
      </c>
      <c r="O467" s="12" t="s">
        <v>876</v>
      </c>
      <c r="P467" s="12">
        <v>1433.75</v>
      </c>
      <c r="Q467" s="12" t="s">
        <v>107</v>
      </c>
    </row>
    <row r="468" spans="1:18" x14ac:dyDescent="0.35">
      <c r="A468" s="12">
        <v>36</v>
      </c>
      <c r="B468" s="12" t="s">
        <v>867</v>
      </c>
      <c r="C468" s="12">
        <v>2016</v>
      </c>
      <c r="D468" s="12" t="s">
        <v>420</v>
      </c>
      <c r="E468" s="12" t="s">
        <v>868</v>
      </c>
      <c r="F468" s="12" t="s">
        <v>869</v>
      </c>
      <c r="G468" s="12" t="s">
        <v>86</v>
      </c>
      <c r="H468" s="12" t="s">
        <v>923</v>
      </c>
      <c r="I468" s="12">
        <v>43.631999999999998</v>
      </c>
      <c r="J468" s="12" t="s">
        <v>900</v>
      </c>
      <c r="K468" s="12" t="s">
        <v>103</v>
      </c>
      <c r="L468" s="12" t="s">
        <v>28</v>
      </c>
      <c r="M468" s="12" t="s">
        <v>924</v>
      </c>
      <c r="N468" s="12">
        <v>1766.66</v>
      </c>
      <c r="O468" s="12" t="s">
        <v>876</v>
      </c>
      <c r="P468" s="12">
        <v>1766.66</v>
      </c>
      <c r="Q468" s="12" t="s">
        <v>107</v>
      </c>
    </row>
    <row r="469" spans="1:18" x14ac:dyDescent="0.35">
      <c r="A469" s="12">
        <v>36</v>
      </c>
      <c r="B469" s="12" t="s">
        <v>867</v>
      </c>
      <c r="C469" s="12">
        <v>2016</v>
      </c>
      <c r="D469" s="12" t="s">
        <v>420</v>
      </c>
      <c r="E469" s="12" t="s">
        <v>868</v>
      </c>
      <c r="F469" s="12" t="s">
        <v>869</v>
      </c>
      <c r="G469" s="12" t="s">
        <v>86</v>
      </c>
      <c r="H469" s="12" t="s">
        <v>925</v>
      </c>
      <c r="I469" s="12">
        <v>43.642000000000003</v>
      </c>
      <c r="J469" s="12" t="s">
        <v>926</v>
      </c>
      <c r="K469" s="12" t="s">
        <v>103</v>
      </c>
      <c r="L469" s="12" t="s">
        <v>28</v>
      </c>
      <c r="M469" s="12" t="s">
        <v>889</v>
      </c>
      <c r="N469" s="12">
        <v>1250</v>
      </c>
      <c r="O469" s="12" t="s">
        <v>876</v>
      </c>
      <c r="P469" s="12">
        <v>1250</v>
      </c>
      <c r="Q469" s="12" t="s">
        <v>107</v>
      </c>
    </row>
    <row r="470" spans="1:18" x14ac:dyDescent="0.35">
      <c r="A470" s="12">
        <v>36</v>
      </c>
      <c r="B470" s="12" t="s">
        <v>867</v>
      </c>
      <c r="C470" s="12">
        <v>2016</v>
      </c>
      <c r="D470" s="12" t="s">
        <v>420</v>
      </c>
      <c r="E470" s="12" t="s">
        <v>868</v>
      </c>
      <c r="F470" s="12" t="s">
        <v>869</v>
      </c>
      <c r="G470" s="12" t="s">
        <v>86</v>
      </c>
      <c r="H470" s="12" t="s">
        <v>927</v>
      </c>
      <c r="I470" s="12">
        <v>43.289000000000001</v>
      </c>
      <c r="J470" s="12" t="s">
        <v>928</v>
      </c>
      <c r="K470" s="12" t="s">
        <v>103</v>
      </c>
      <c r="L470" s="12" t="s">
        <v>28</v>
      </c>
      <c r="M470" s="12" t="s">
        <v>929</v>
      </c>
      <c r="N470" s="12">
        <v>190</v>
      </c>
      <c r="O470" s="12" t="s">
        <v>876</v>
      </c>
      <c r="P470" s="12">
        <v>190</v>
      </c>
      <c r="Q470" s="12" t="s">
        <v>107</v>
      </c>
    </row>
    <row r="471" spans="1:18" ht="18" customHeight="1" x14ac:dyDescent="0.35">
      <c r="A471" s="12">
        <v>36</v>
      </c>
      <c r="B471" s="12" t="s">
        <v>867</v>
      </c>
      <c r="C471" s="12">
        <v>2016</v>
      </c>
      <c r="D471" s="12" t="s">
        <v>420</v>
      </c>
      <c r="E471" s="12" t="s">
        <v>868</v>
      </c>
      <c r="F471" s="12" t="s">
        <v>869</v>
      </c>
      <c r="G471" s="12" t="s">
        <v>86</v>
      </c>
      <c r="H471" s="12" t="s">
        <v>930</v>
      </c>
      <c r="I471" s="12">
        <v>43.691000000000003</v>
      </c>
      <c r="J471" s="12" t="s">
        <v>931</v>
      </c>
      <c r="K471" s="12" t="s">
        <v>103</v>
      </c>
      <c r="L471" s="12" t="s">
        <v>28</v>
      </c>
      <c r="M471" s="12" t="s">
        <v>932</v>
      </c>
      <c r="N471" s="12">
        <v>480</v>
      </c>
      <c r="O471" s="12" t="s">
        <v>876</v>
      </c>
      <c r="P471" s="12">
        <v>480</v>
      </c>
      <c r="Q471" s="12" t="s">
        <v>107</v>
      </c>
    </row>
    <row r="472" spans="1:18" ht="18" customHeight="1" x14ac:dyDescent="0.35">
      <c r="A472" s="12">
        <v>36</v>
      </c>
      <c r="B472" s="12" t="s">
        <v>867</v>
      </c>
      <c r="C472" s="12">
        <v>2016</v>
      </c>
      <c r="D472" s="12" t="s">
        <v>420</v>
      </c>
      <c r="E472" s="12" t="s">
        <v>868</v>
      </c>
      <c r="F472" s="12" t="s">
        <v>869</v>
      </c>
      <c r="G472" s="12" t="s">
        <v>86</v>
      </c>
      <c r="H472" s="12" t="s">
        <v>933</v>
      </c>
      <c r="I472" s="12">
        <v>43.652000000000001</v>
      </c>
      <c r="J472" s="12" t="s">
        <v>934</v>
      </c>
      <c r="K472" s="12" t="s">
        <v>103</v>
      </c>
      <c r="L472" s="12" t="s">
        <v>28</v>
      </c>
      <c r="M472" s="12" t="s">
        <v>875</v>
      </c>
      <c r="N472" s="12">
        <v>920</v>
      </c>
      <c r="O472" s="12" t="s">
        <v>876</v>
      </c>
      <c r="P472" s="12">
        <v>920</v>
      </c>
      <c r="Q472" s="12" t="s">
        <v>107</v>
      </c>
    </row>
    <row r="473" spans="1:18" ht="18" customHeight="1" x14ac:dyDescent="0.35">
      <c r="A473" s="12">
        <v>36</v>
      </c>
      <c r="B473" s="12" t="s">
        <v>867</v>
      </c>
      <c r="C473" s="12">
        <v>2016</v>
      </c>
      <c r="D473" s="12" t="s">
        <v>420</v>
      </c>
      <c r="E473" s="12" t="s">
        <v>868</v>
      </c>
      <c r="F473" s="12" t="s">
        <v>869</v>
      </c>
      <c r="G473" s="12" t="s">
        <v>86</v>
      </c>
      <c r="H473" s="12" t="s">
        <v>935</v>
      </c>
      <c r="I473" s="12">
        <v>43.587000000000003</v>
      </c>
      <c r="J473" s="12" t="s">
        <v>936</v>
      </c>
      <c r="K473" s="12" t="s">
        <v>103</v>
      </c>
      <c r="L473" s="12" t="s">
        <v>28</v>
      </c>
      <c r="M473" s="12" t="s">
        <v>875</v>
      </c>
      <c r="N473" s="12">
        <v>14520</v>
      </c>
      <c r="O473" s="12" t="s">
        <v>876</v>
      </c>
      <c r="P473" s="12">
        <v>14520</v>
      </c>
      <c r="Q473" s="12" t="s">
        <v>107</v>
      </c>
    </row>
    <row r="474" spans="1:18" ht="18" customHeight="1" x14ac:dyDescent="0.35">
      <c r="A474" s="12">
        <v>36</v>
      </c>
      <c r="B474" s="12" t="s">
        <v>867</v>
      </c>
      <c r="C474" s="12">
        <v>2016</v>
      </c>
      <c r="D474" s="12" t="s">
        <v>420</v>
      </c>
      <c r="E474" s="12" t="s">
        <v>868</v>
      </c>
      <c r="F474" s="12" t="s">
        <v>869</v>
      </c>
      <c r="G474" s="12" t="s">
        <v>86</v>
      </c>
      <c r="H474" s="12" t="s">
        <v>937</v>
      </c>
      <c r="I474" s="12">
        <v>43.24</v>
      </c>
      <c r="J474" s="12" t="s">
        <v>938</v>
      </c>
      <c r="K474" s="12" t="s">
        <v>103</v>
      </c>
      <c r="L474" s="12" t="s">
        <v>28</v>
      </c>
      <c r="M474" s="12" t="s">
        <v>875</v>
      </c>
      <c r="N474" s="12">
        <v>70</v>
      </c>
      <c r="O474" s="12" t="s">
        <v>876</v>
      </c>
      <c r="P474" s="12">
        <v>70</v>
      </c>
      <c r="Q474" s="12" t="s">
        <v>107</v>
      </c>
    </row>
    <row r="475" spans="1:18" ht="18" customHeight="1" x14ac:dyDescent="0.35">
      <c r="A475" s="12">
        <v>37</v>
      </c>
      <c r="B475" s="12" t="s">
        <v>939</v>
      </c>
      <c r="C475" s="12">
        <v>2015</v>
      </c>
      <c r="D475" s="12" t="s">
        <v>940</v>
      </c>
      <c r="E475" s="12" t="s">
        <v>941</v>
      </c>
      <c r="F475" s="12" t="s">
        <v>942</v>
      </c>
      <c r="G475" s="12" t="s">
        <v>86</v>
      </c>
      <c r="H475" s="12" t="s">
        <v>943</v>
      </c>
      <c r="I475" s="16">
        <v>43.337642000000002</v>
      </c>
      <c r="J475" s="16">
        <v>-79.046317000000002</v>
      </c>
      <c r="K475" s="12" t="s">
        <v>103</v>
      </c>
      <c r="L475" s="12" t="s">
        <v>28</v>
      </c>
      <c r="N475" s="16">
        <f>9/103.241</f>
        <v>8.7174668978409739E-2</v>
      </c>
      <c r="O475" s="12" t="s">
        <v>944</v>
      </c>
      <c r="P475" s="16">
        <f>N475*1000</f>
        <v>87.174668978409741</v>
      </c>
      <c r="Q475" s="12" t="s">
        <v>107</v>
      </c>
      <c r="R475" s="12" t="s">
        <v>945</v>
      </c>
    </row>
    <row r="476" spans="1:18" ht="18" customHeight="1" x14ac:dyDescent="0.35">
      <c r="A476" s="12">
        <v>37</v>
      </c>
      <c r="B476" s="12" t="s">
        <v>939</v>
      </c>
      <c r="C476" s="12">
        <v>2015</v>
      </c>
      <c r="D476" s="12" t="s">
        <v>940</v>
      </c>
      <c r="E476" s="12" t="s">
        <v>941</v>
      </c>
      <c r="F476" s="12" t="s">
        <v>942</v>
      </c>
      <c r="G476" s="12" t="s">
        <v>86</v>
      </c>
      <c r="H476" s="12" t="s">
        <v>946</v>
      </c>
      <c r="I476" s="16">
        <v>43.807673999999999</v>
      </c>
      <c r="J476" s="16">
        <v>-77.895954000000003</v>
      </c>
      <c r="K476" s="12" t="s">
        <v>103</v>
      </c>
      <c r="L476" s="12" t="s">
        <v>28</v>
      </c>
      <c r="N476" s="16">
        <f>26/42.235</f>
        <v>0.61560317272404408</v>
      </c>
      <c r="O476" s="12" t="s">
        <v>944</v>
      </c>
      <c r="P476" s="16">
        <f>N476*1000</f>
        <v>615.60317272404404</v>
      </c>
      <c r="Q476" s="12" t="s">
        <v>107</v>
      </c>
      <c r="R476" s="12" t="s">
        <v>947</v>
      </c>
    </row>
    <row r="477" spans="1:18" ht="18" customHeight="1" x14ac:dyDescent="0.35">
      <c r="A477" s="12">
        <v>38</v>
      </c>
      <c r="B477" s="12" t="s">
        <v>948</v>
      </c>
      <c r="C477" s="12">
        <v>2014</v>
      </c>
      <c r="D477" s="12" t="s">
        <v>420</v>
      </c>
      <c r="E477" s="12" t="s">
        <v>949</v>
      </c>
      <c r="F477" s="12" t="s">
        <v>950</v>
      </c>
      <c r="G477" s="12" t="s">
        <v>494</v>
      </c>
      <c r="H477" s="12" t="s">
        <v>951</v>
      </c>
      <c r="I477" s="12">
        <v>44.609000000000002</v>
      </c>
      <c r="J477" s="16">
        <v>-63.493000000000002</v>
      </c>
      <c r="K477" s="12" t="s">
        <v>103</v>
      </c>
      <c r="L477" s="12" t="s">
        <v>163</v>
      </c>
      <c r="N477" s="12">
        <v>40</v>
      </c>
      <c r="O477" s="12" t="s">
        <v>954</v>
      </c>
      <c r="P477" s="12">
        <f t="shared" ref="P477:P485" si="14">N477*100</f>
        <v>4000</v>
      </c>
      <c r="Q477" s="12" t="s">
        <v>107</v>
      </c>
      <c r="R477" s="12" t="s">
        <v>955</v>
      </c>
    </row>
    <row r="478" spans="1:18" ht="18" customHeight="1" x14ac:dyDescent="0.35">
      <c r="A478" s="12">
        <v>38</v>
      </c>
      <c r="B478" s="12" t="s">
        <v>948</v>
      </c>
      <c r="C478" s="12">
        <v>2014</v>
      </c>
      <c r="D478" s="12" t="s">
        <v>420</v>
      </c>
      <c r="E478" s="12" t="s">
        <v>949</v>
      </c>
      <c r="F478" s="12" t="s">
        <v>950</v>
      </c>
      <c r="G478" s="12" t="s">
        <v>494</v>
      </c>
      <c r="H478" s="12" t="s">
        <v>956</v>
      </c>
      <c r="I478" s="12">
        <v>44.609000000000002</v>
      </c>
      <c r="J478" s="16">
        <v>-63.493000000000002</v>
      </c>
      <c r="K478" s="12" t="s">
        <v>103</v>
      </c>
      <c r="L478" s="12" t="s">
        <v>163</v>
      </c>
      <c r="N478" s="12">
        <v>28</v>
      </c>
      <c r="O478" s="12" t="s">
        <v>954</v>
      </c>
      <c r="P478" s="12">
        <f t="shared" si="14"/>
        <v>2800</v>
      </c>
      <c r="Q478" s="12" t="s">
        <v>107</v>
      </c>
      <c r="R478" s="12" t="s">
        <v>955</v>
      </c>
    </row>
    <row r="479" spans="1:18" ht="18" customHeight="1" x14ac:dyDescent="0.35">
      <c r="A479" s="12">
        <v>38</v>
      </c>
      <c r="B479" s="12" t="s">
        <v>948</v>
      </c>
      <c r="C479" s="12">
        <v>2014</v>
      </c>
      <c r="D479" s="12" t="s">
        <v>420</v>
      </c>
      <c r="E479" s="12" t="s">
        <v>949</v>
      </c>
      <c r="F479" s="12" t="s">
        <v>950</v>
      </c>
      <c r="G479" s="12" t="s">
        <v>494</v>
      </c>
      <c r="H479" s="12" t="s">
        <v>957</v>
      </c>
      <c r="I479" s="12">
        <v>44.609000000000002</v>
      </c>
      <c r="J479" s="12">
        <v>-63.493000000000002</v>
      </c>
      <c r="K479" s="12" t="s">
        <v>103</v>
      </c>
      <c r="L479" s="12" t="s">
        <v>163</v>
      </c>
      <c r="N479" s="12">
        <v>51</v>
      </c>
      <c r="O479" s="12" t="s">
        <v>954</v>
      </c>
      <c r="P479" s="12">
        <f t="shared" si="14"/>
        <v>5100</v>
      </c>
      <c r="Q479" s="12" t="s">
        <v>107</v>
      </c>
      <c r="R479" s="12" t="s">
        <v>955</v>
      </c>
    </row>
    <row r="480" spans="1:18" ht="18" customHeight="1" x14ac:dyDescent="0.35">
      <c r="A480" s="12">
        <v>38</v>
      </c>
      <c r="B480" s="12" t="s">
        <v>948</v>
      </c>
      <c r="C480" s="12">
        <v>2014</v>
      </c>
      <c r="D480" s="12" t="s">
        <v>420</v>
      </c>
      <c r="E480" s="12" t="s">
        <v>949</v>
      </c>
      <c r="F480" s="12" t="s">
        <v>950</v>
      </c>
      <c r="G480" s="12" t="s">
        <v>494</v>
      </c>
      <c r="H480" s="12" t="s">
        <v>958</v>
      </c>
      <c r="I480" s="12">
        <v>44.650126999999998</v>
      </c>
      <c r="J480" s="16">
        <v>-63.419676000000003</v>
      </c>
      <c r="K480" s="12" t="s">
        <v>103</v>
      </c>
      <c r="L480" s="12" t="s">
        <v>163</v>
      </c>
      <c r="N480" s="12">
        <v>22</v>
      </c>
      <c r="O480" s="12" t="s">
        <v>954</v>
      </c>
      <c r="P480" s="12">
        <f t="shared" si="14"/>
        <v>2200</v>
      </c>
      <c r="Q480" s="12" t="s">
        <v>107</v>
      </c>
      <c r="R480" s="12" t="s">
        <v>955</v>
      </c>
    </row>
    <row r="481" spans="1:18" ht="18" customHeight="1" x14ac:dyDescent="0.35">
      <c r="A481" s="12">
        <v>38</v>
      </c>
      <c r="B481" s="12" t="s">
        <v>948</v>
      </c>
      <c r="C481" s="12">
        <v>2014</v>
      </c>
      <c r="D481" s="12" t="s">
        <v>420</v>
      </c>
      <c r="E481" s="12" t="s">
        <v>949</v>
      </c>
      <c r="F481" s="12" t="s">
        <v>950</v>
      </c>
      <c r="G481" s="12" t="s">
        <v>494</v>
      </c>
      <c r="H481" s="12" t="s">
        <v>959</v>
      </c>
      <c r="I481" s="12">
        <v>44.650126999999998</v>
      </c>
      <c r="J481" s="16">
        <v>-63.419676000000003</v>
      </c>
      <c r="K481" s="12" t="s">
        <v>103</v>
      </c>
      <c r="L481" s="12" t="s">
        <v>163</v>
      </c>
      <c r="N481" s="12">
        <v>25</v>
      </c>
      <c r="O481" s="12" t="s">
        <v>954</v>
      </c>
      <c r="P481" s="12">
        <f t="shared" si="14"/>
        <v>2500</v>
      </c>
      <c r="Q481" s="12" t="s">
        <v>107</v>
      </c>
      <c r="R481" s="12" t="s">
        <v>955</v>
      </c>
    </row>
    <row r="482" spans="1:18" ht="18" customHeight="1" x14ac:dyDescent="0.35">
      <c r="A482" s="12">
        <v>38</v>
      </c>
      <c r="B482" s="12" t="s">
        <v>948</v>
      </c>
      <c r="C482" s="12">
        <v>2014</v>
      </c>
      <c r="D482" s="12" t="s">
        <v>420</v>
      </c>
      <c r="E482" s="12" t="s">
        <v>949</v>
      </c>
      <c r="F482" s="12" t="s">
        <v>950</v>
      </c>
      <c r="G482" s="12" t="s">
        <v>494</v>
      </c>
      <c r="H482" s="12" t="s">
        <v>960</v>
      </c>
      <c r="I482" s="12">
        <v>44.650126999999998</v>
      </c>
      <c r="J482" s="16">
        <v>-63.419676000000003</v>
      </c>
      <c r="K482" s="12" t="s">
        <v>103</v>
      </c>
      <c r="L482" s="12" t="s">
        <v>163</v>
      </c>
      <c r="N482" s="12">
        <v>60</v>
      </c>
      <c r="O482" s="12" t="s">
        <v>954</v>
      </c>
      <c r="P482" s="12">
        <f t="shared" si="14"/>
        <v>6000</v>
      </c>
      <c r="Q482" s="12" t="s">
        <v>107</v>
      </c>
      <c r="R482" s="12" t="s">
        <v>955</v>
      </c>
    </row>
    <row r="483" spans="1:18" ht="18" customHeight="1" x14ac:dyDescent="0.35">
      <c r="A483" s="12">
        <v>38</v>
      </c>
      <c r="B483" s="12" t="s">
        <v>948</v>
      </c>
      <c r="C483" s="12">
        <v>2014</v>
      </c>
      <c r="D483" s="12" t="s">
        <v>420</v>
      </c>
      <c r="E483" s="12" t="s">
        <v>949</v>
      </c>
      <c r="F483" s="12" t="s">
        <v>950</v>
      </c>
      <c r="G483" s="12" t="s">
        <v>494</v>
      </c>
      <c r="H483" s="12" t="s">
        <v>961</v>
      </c>
      <c r="I483" s="12">
        <v>44.647863999999998</v>
      </c>
      <c r="J483" s="16">
        <v>-63.416229000000001</v>
      </c>
      <c r="K483" s="12" t="s">
        <v>103</v>
      </c>
      <c r="L483" s="12" t="s">
        <v>163</v>
      </c>
      <c r="N483" s="12">
        <v>74</v>
      </c>
      <c r="O483" s="12" t="s">
        <v>954</v>
      </c>
      <c r="P483" s="12">
        <f t="shared" si="14"/>
        <v>7400</v>
      </c>
      <c r="Q483" s="12" t="s">
        <v>107</v>
      </c>
      <c r="R483" s="12" t="s">
        <v>955</v>
      </c>
    </row>
    <row r="484" spans="1:18" ht="18" customHeight="1" x14ac:dyDescent="0.35">
      <c r="A484" s="12">
        <v>38</v>
      </c>
      <c r="B484" s="12" t="s">
        <v>948</v>
      </c>
      <c r="C484" s="12">
        <v>2014</v>
      </c>
      <c r="D484" s="12" t="s">
        <v>420</v>
      </c>
      <c r="E484" s="12" t="s">
        <v>949</v>
      </c>
      <c r="F484" s="12" t="s">
        <v>950</v>
      </c>
      <c r="G484" s="12" t="s">
        <v>494</v>
      </c>
      <c r="H484" s="12" t="s">
        <v>962</v>
      </c>
      <c r="I484" s="12">
        <v>44.647863999999998</v>
      </c>
      <c r="J484" s="16">
        <v>-63.416229000000001</v>
      </c>
      <c r="K484" s="12" t="s">
        <v>103</v>
      </c>
      <c r="L484" s="12" t="s">
        <v>163</v>
      </c>
      <c r="N484" s="12">
        <v>39</v>
      </c>
      <c r="O484" s="12" t="s">
        <v>954</v>
      </c>
      <c r="P484" s="12">
        <f t="shared" si="14"/>
        <v>3900</v>
      </c>
      <c r="Q484" s="12" t="s">
        <v>107</v>
      </c>
      <c r="R484" s="12" t="s">
        <v>955</v>
      </c>
    </row>
    <row r="485" spans="1:18" ht="18" customHeight="1" x14ac:dyDescent="0.35">
      <c r="A485" s="12">
        <v>38</v>
      </c>
      <c r="B485" s="12" t="s">
        <v>948</v>
      </c>
      <c r="C485" s="12">
        <v>2014</v>
      </c>
      <c r="D485" s="12" t="s">
        <v>420</v>
      </c>
      <c r="E485" s="12" t="s">
        <v>949</v>
      </c>
      <c r="F485" s="12" t="s">
        <v>950</v>
      </c>
      <c r="G485" s="12" t="s">
        <v>494</v>
      </c>
      <c r="H485" s="12" t="s">
        <v>963</v>
      </c>
      <c r="I485" s="12">
        <v>44.647863999999998</v>
      </c>
      <c r="J485" s="16">
        <v>-63.416229000000001</v>
      </c>
      <c r="K485" s="12" t="s">
        <v>103</v>
      </c>
      <c r="L485" s="12" t="s">
        <v>163</v>
      </c>
      <c r="N485" s="12">
        <v>38</v>
      </c>
      <c r="O485" s="12" t="s">
        <v>954</v>
      </c>
      <c r="P485" s="12">
        <f t="shared" si="14"/>
        <v>3800</v>
      </c>
      <c r="Q485" s="12" t="s">
        <v>107</v>
      </c>
      <c r="R485" s="12" t="s">
        <v>955</v>
      </c>
    </row>
    <row r="486" spans="1:18" ht="18" customHeight="1" x14ac:dyDescent="0.35">
      <c r="A486" s="12">
        <v>39</v>
      </c>
      <c r="B486" s="12" t="s">
        <v>964</v>
      </c>
      <c r="C486" s="12">
        <v>2014</v>
      </c>
      <c r="D486" s="12" t="s">
        <v>801</v>
      </c>
      <c r="E486" s="12" t="s">
        <v>965</v>
      </c>
      <c r="F486" s="12" t="s">
        <v>966</v>
      </c>
      <c r="G486" s="12" t="s">
        <v>54</v>
      </c>
      <c r="H486" s="12" t="s">
        <v>967</v>
      </c>
      <c r="I486" s="12">
        <v>48.343516000000001</v>
      </c>
      <c r="J486" s="12">
        <v>-127.385931</v>
      </c>
      <c r="K486" s="12" t="s">
        <v>41</v>
      </c>
      <c r="L486" s="12" t="s">
        <v>42</v>
      </c>
      <c r="M486" s="12" t="s">
        <v>969</v>
      </c>
      <c r="N486" s="12">
        <v>1710</v>
      </c>
      <c r="O486" s="12" t="s">
        <v>248</v>
      </c>
      <c r="P486" s="12">
        <f>N486/1000</f>
        <v>1.71</v>
      </c>
      <c r="Q486" s="12" t="s">
        <v>59</v>
      </c>
      <c r="R486" s="12" t="s">
        <v>970</v>
      </c>
    </row>
    <row r="487" spans="1:18" x14ac:dyDescent="0.35">
      <c r="A487" s="12">
        <v>39</v>
      </c>
      <c r="B487" s="12" t="s">
        <v>964</v>
      </c>
      <c r="C487" s="12">
        <v>2014</v>
      </c>
      <c r="D487" s="12" t="s">
        <v>801</v>
      </c>
      <c r="E487" s="12" t="s">
        <v>965</v>
      </c>
      <c r="F487" s="12" t="s">
        <v>966</v>
      </c>
      <c r="G487" s="12" t="s">
        <v>54</v>
      </c>
      <c r="H487" s="12" t="s">
        <v>971</v>
      </c>
      <c r="I487" s="12">
        <v>51.026397000000003</v>
      </c>
      <c r="J487" s="12">
        <v>-127.978523</v>
      </c>
      <c r="K487" s="12" t="s">
        <v>41</v>
      </c>
      <c r="L487" s="12" t="s">
        <v>42</v>
      </c>
      <c r="M487" s="12" t="s">
        <v>973</v>
      </c>
      <c r="N487" s="12">
        <v>7630</v>
      </c>
      <c r="O487" s="12" t="s">
        <v>248</v>
      </c>
      <c r="P487" s="12">
        <f>N487/1000</f>
        <v>7.63</v>
      </c>
      <c r="Q487" s="12" t="s">
        <v>59</v>
      </c>
      <c r="R487" s="12" t="s">
        <v>974</v>
      </c>
    </row>
    <row r="488" spans="1:18" x14ac:dyDescent="0.35">
      <c r="A488" s="12">
        <v>39</v>
      </c>
      <c r="B488" s="12" t="s">
        <v>964</v>
      </c>
      <c r="C488" s="12">
        <v>2014</v>
      </c>
      <c r="D488" s="12" t="s">
        <v>801</v>
      </c>
      <c r="E488" s="12" t="s">
        <v>965</v>
      </c>
      <c r="F488" s="12" t="s">
        <v>966</v>
      </c>
      <c r="G488" s="12" t="s">
        <v>54</v>
      </c>
      <c r="H488" s="12" t="s">
        <v>971</v>
      </c>
      <c r="I488" s="12">
        <v>50.510174999999997</v>
      </c>
      <c r="J488" s="12">
        <v>-126.622497</v>
      </c>
      <c r="K488" s="12" t="s">
        <v>41</v>
      </c>
      <c r="L488" s="12" t="s">
        <v>42</v>
      </c>
      <c r="M488" s="12" t="s">
        <v>973</v>
      </c>
      <c r="N488" s="12">
        <v>7630</v>
      </c>
      <c r="O488" s="12" t="s">
        <v>248</v>
      </c>
      <c r="P488" s="12">
        <f>N488/1000</f>
        <v>7.63</v>
      </c>
      <c r="Q488" s="12" t="s">
        <v>59</v>
      </c>
      <c r="R488" s="12" t="s">
        <v>974</v>
      </c>
    </row>
    <row r="489" spans="1:18" x14ac:dyDescent="0.35">
      <c r="A489" s="12">
        <v>39</v>
      </c>
      <c r="B489" s="12" t="s">
        <v>964</v>
      </c>
      <c r="C489" s="12">
        <v>2014</v>
      </c>
      <c r="D489" s="12" t="s">
        <v>801</v>
      </c>
      <c r="E489" s="12" t="s">
        <v>965</v>
      </c>
      <c r="F489" s="12" t="s">
        <v>966</v>
      </c>
      <c r="G489" s="12" t="s">
        <v>54</v>
      </c>
      <c r="H489" s="12" t="s">
        <v>975</v>
      </c>
      <c r="I489" s="12">
        <v>49.941507000000001</v>
      </c>
      <c r="J489" s="12">
        <v>-125.050481</v>
      </c>
      <c r="K489" s="12" t="s">
        <v>41</v>
      </c>
      <c r="L489" s="12" t="s">
        <v>163</v>
      </c>
      <c r="M489" s="12" t="s">
        <v>977</v>
      </c>
      <c r="N489" s="12">
        <v>3210</v>
      </c>
      <c r="O489" s="12" t="s">
        <v>248</v>
      </c>
      <c r="P489" s="12">
        <f>N489/1000</f>
        <v>3.21</v>
      </c>
      <c r="Q489" s="12" t="s">
        <v>59</v>
      </c>
    </row>
    <row r="490" spans="1:18" x14ac:dyDescent="0.35">
      <c r="A490" s="12">
        <v>40</v>
      </c>
      <c r="B490" s="12" t="s">
        <v>978</v>
      </c>
      <c r="C490" s="12">
        <v>2024</v>
      </c>
      <c r="D490" s="12" t="s">
        <v>468</v>
      </c>
      <c r="E490" s="12" t="s">
        <v>979</v>
      </c>
      <c r="G490" s="12" t="s">
        <v>86</v>
      </c>
      <c r="H490" s="12" t="s">
        <v>980</v>
      </c>
      <c r="I490" s="12">
        <v>45.081220000000002</v>
      </c>
      <c r="J490" s="12">
        <v>-74.245900000000006</v>
      </c>
      <c r="K490" s="12" t="s">
        <v>41</v>
      </c>
      <c r="L490" s="12" t="s">
        <v>28</v>
      </c>
      <c r="M490" s="12" t="s">
        <v>983</v>
      </c>
      <c r="N490" s="12">
        <f>(18200+78500)/2</f>
        <v>48350</v>
      </c>
      <c r="O490" s="12" t="s">
        <v>984</v>
      </c>
      <c r="P490" s="12">
        <f>(18200+78500)/2</f>
        <v>48350</v>
      </c>
      <c r="Q490" s="12" t="s">
        <v>46</v>
      </c>
    </row>
    <row r="491" spans="1:18" x14ac:dyDescent="0.35">
      <c r="A491" s="12">
        <v>40</v>
      </c>
      <c r="B491" s="12" t="s">
        <v>978</v>
      </c>
      <c r="C491" s="12">
        <v>2024</v>
      </c>
      <c r="D491" s="12" t="s">
        <v>468</v>
      </c>
      <c r="E491" s="12" t="s">
        <v>979</v>
      </c>
      <c r="G491" s="12" t="s">
        <v>86</v>
      </c>
      <c r="H491" s="12" t="s">
        <v>985</v>
      </c>
      <c r="I491" s="12">
        <v>44.14228</v>
      </c>
      <c r="J491" s="12">
        <v>-76.240799999999993</v>
      </c>
      <c r="K491" s="12" t="s">
        <v>41</v>
      </c>
      <c r="L491" s="12" t="s">
        <v>28</v>
      </c>
      <c r="M491" s="12" t="s">
        <v>983</v>
      </c>
      <c r="N491" s="12">
        <f>(35000+27800)/2</f>
        <v>31400</v>
      </c>
      <c r="P491" s="12">
        <f>(35000+27800)/2</f>
        <v>31400</v>
      </c>
      <c r="Q491" s="12" t="s">
        <v>46</v>
      </c>
    </row>
    <row r="492" spans="1:18" x14ac:dyDescent="0.35">
      <c r="A492" s="12">
        <v>40</v>
      </c>
      <c r="B492" s="12" t="s">
        <v>978</v>
      </c>
      <c r="C492" s="12">
        <v>2024</v>
      </c>
      <c r="D492" s="12" t="s">
        <v>468</v>
      </c>
      <c r="E492" s="12" t="s">
        <v>979</v>
      </c>
      <c r="G492" s="12" t="s">
        <v>86</v>
      </c>
      <c r="H492" s="12" t="s">
        <v>986</v>
      </c>
      <c r="I492" s="12">
        <v>43.572949999999999</v>
      </c>
      <c r="J492" s="12">
        <v>-76.484250000000003</v>
      </c>
      <c r="K492" s="12" t="s">
        <v>41</v>
      </c>
      <c r="L492" s="12" t="s">
        <v>28</v>
      </c>
      <c r="M492" s="12" t="s">
        <v>983</v>
      </c>
      <c r="N492" s="12">
        <f>(12600+560000)/2</f>
        <v>286300</v>
      </c>
      <c r="P492" s="12">
        <f>(12600+560000)/2</f>
        <v>286300</v>
      </c>
      <c r="Q492" s="12" t="s">
        <v>46</v>
      </c>
    </row>
    <row r="493" spans="1:18" x14ac:dyDescent="0.35">
      <c r="A493" s="12">
        <v>40</v>
      </c>
      <c r="B493" s="12" t="s">
        <v>978</v>
      </c>
      <c r="C493" s="12">
        <v>2024</v>
      </c>
      <c r="D493" s="12" t="s">
        <v>468</v>
      </c>
      <c r="E493" s="12" t="s">
        <v>979</v>
      </c>
      <c r="G493" s="12" t="s">
        <v>86</v>
      </c>
      <c r="H493" s="12" t="s">
        <v>987</v>
      </c>
      <c r="I493" s="12">
        <v>43.191189999999999</v>
      </c>
      <c r="J493" s="12">
        <v>-78.584350000000001</v>
      </c>
      <c r="K493" s="12" t="s">
        <v>41</v>
      </c>
      <c r="L493" s="12" t="s">
        <v>28</v>
      </c>
      <c r="M493" s="12" t="s">
        <v>983</v>
      </c>
      <c r="N493" s="12">
        <f>(446000+56100)/2</f>
        <v>251050</v>
      </c>
      <c r="P493" s="12">
        <f>(446000+56100)/2</f>
        <v>251050</v>
      </c>
      <c r="Q493" s="12" t="s">
        <v>46</v>
      </c>
    </row>
    <row r="494" spans="1:18" x14ac:dyDescent="0.35">
      <c r="A494" s="12">
        <v>40</v>
      </c>
      <c r="B494" s="12" t="s">
        <v>978</v>
      </c>
      <c r="C494" s="12">
        <v>2024</v>
      </c>
      <c r="D494" s="12" t="s">
        <v>468</v>
      </c>
      <c r="E494" s="12" t="s">
        <v>979</v>
      </c>
      <c r="G494" s="12" t="s">
        <v>86</v>
      </c>
      <c r="H494" s="12" t="s">
        <v>988</v>
      </c>
      <c r="I494" s="12">
        <v>43.171970000000002</v>
      </c>
      <c r="J494" s="12">
        <v>-79.501050000000006</v>
      </c>
      <c r="K494" s="12" t="s">
        <v>41</v>
      </c>
      <c r="L494" s="12" t="s">
        <v>28</v>
      </c>
      <c r="M494" s="12" t="s">
        <v>983</v>
      </c>
      <c r="N494" s="12">
        <f>(147058.823529412+1500)/2</f>
        <v>74279.411764706005</v>
      </c>
      <c r="P494" s="12">
        <f>(147058.823529412+1500)/2</f>
        <v>74279.411764706005</v>
      </c>
      <c r="Q494" s="12" t="s">
        <v>46</v>
      </c>
    </row>
    <row r="495" spans="1:18" x14ac:dyDescent="0.35">
      <c r="A495" s="12">
        <v>40</v>
      </c>
      <c r="B495" s="12" t="s">
        <v>978</v>
      </c>
      <c r="C495" s="12">
        <v>2024</v>
      </c>
      <c r="D495" s="12" t="s">
        <v>468</v>
      </c>
      <c r="E495" s="12" t="s">
        <v>979</v>
      </c>
      <c r="G495" s="12" t="s">
        <v>86</v>
      </c>
      <c r="H495" s="12" t="s">
        <v>989</v>
      </c>
      <c r="I495" s="12">
        <v>43.160550000000001</v>
      </c>
      <c r="J495" s="12">
        <v>-79.401600000000002</v>
      </c>
      <c r="K495" s="12" t="s">
        <v>41</v>
      </c>
      <c r="L495" s="12" t="s">
        <v>28</v>
      </c>
      <c r="M495" s="12" t="s">
        <v>983</v>
      </c>
      <c r="N495" s="12">
        <f>(2640000+226000)/2</f>
        <v>1433000</v>
      </c>
      <c r="P495" s="12">
        <f>(2640000+226000)/2</f>
        <v>1433000</v>
      </c>
      <c r="Q495" s="12" t="s">
        <v>46</v>
      </c>
    </row>
    <row r="496" spans="1:18" x14ac:dyDescent="0.35">
      <c r="A496" s="12">
        <v>40</v>
      </c>
      <c r="B496" s="12" t="s">
        <v>978</v>
      </c>
      <c r="C496" s="12">
        <v>2024</v>
      </c>
      <c r="D496" s="12" t="s">
        <v>468</v>
      </c>
      <c r="E496" s="12" t="s">
        <v>979</v>
      </c>
      <c r="G496" s="12" t="s">
        <v>86</v>
      </c>
      <c r="H496" s="12" t="s">
        <v>990</v>
      </c>
      <c r="I496" s="12">
        <v>43.25329</v>
      </c>
      <c r="J496" s="12">
        <v>-79.393839999999997</v>
      </c>
      <c r="K496" s="12" t="s">
        <v>41</v>
      </c>
      <c r="L496" s="12" t="s">
        <v>28</v>
      </c>
      <c r="M496" s="12" t="s">
        <v>983</v>
      </c>
      <c r="N496" s="12">
        <f>(525000+677000)/2</f>
        <v>601000</v>
      </c>
      <c r="P496" s="12">
        <f>(525000+677000)/2</f>
        <v>601000</v>
      </c>
      <c r="Q496" s="12" t="s">
        <v>46</v>
      </c>
    </row>
    <row r="497" spans="1:17" x14ac:dyDescent="0.35">
      <c r="A497" s="12">
        <v>40</v>
      </c>
      <c r="B497" s="12" t="s">
        <v>978</v>
      </c>
      <c r="C497" s="12">
        <v>2024</v>
      </c>
      <c r="D497" s="12" t="s">
        <v>468</v>
      </c>
      <c r="E497" s="12" t="s">
        <v>979</v>
      </c>
      <c r="G497" s="12" t="s">
        <v>86</v>
      </c>
      <c r="H497" s="12" t="s">
        <v>991</v>
      </c>
      <c r="I497" s="12">
        <v>44.051789999999997</v>
      </c>
      <c r="J497" s="12">
        <v>-77.323779999999999</v>
      </c>
      <c r="K497" s="12" t="s">
        <v>41</v>
      </c>
      <c r="L497" s="12" t="s">
        <v>28</v>
      </c>
      <c r="M497" s="12" t="s">
        <v>983</v>
      </c>
      <c r="N497" s="12">
        <f>(28800+60600)/2</f>
        <v>44700</v>
      </c>
      <c r="P497" s="12">
        <f>(28800+60600)/2</f>
        <v>44700</v>
      </c>
      <c r="Q497" s="12" t="s">
        <v>46</v>
      </c>
    </row>
    <row r="498" spans="1:17" x14ac:dyDescent="0.35">
      <c r="A498" s="12">
        <v>40</v>
      </c>
      <c r="B498" s="12" t="s">
        <v>978</v>
      </c>
      <c r="C498" s="12">
        <v>2024</v>
      </c>
      <c r="D498" s="12" t="s">
        <v>468</v>
      </c>
      <c r="E498" s="12" t="s">
        <v>979</v>
      </c>
      <c r="G498" s="12" t="s">
        <v>86</v>
      </c>
      <c r="H498" s="12" t="s">
        <v>992</v>
      </c>
      <c r="I498" s="12">
        <v>43.571199999999997</v>
      </c>
      <c r="J498" s="12">
        <v>-78.004450000000006</v>
      </c>
      <c r="K498" s="12" t="s">
        <v>41</v>
      </c>
      <c r="L498" s="12" t="s">
        <v>28</v>
      </c>
      <c r="M498" s="12" t="s">
        <v>983</v>
      </c>
      <c r="N498" s="12">
        <f>(111000+157000)/2</f>
        <v>134000</v>
      </c>
      <c r="P498" s="12">
        <f>(111000+157000)/2</f>
        <v>134000</v>
      </c>
      <c r="Q498" s="12" t="s">
        <v>46</v>
      </c>
    </row>
    <row r="499" spans="1:17" x14ac:dyDescent="0.35">
      <c r="A499" s="12">
        <v>40</v>
      </c>
      <c r="B499" s="12" t="s">
        <v>978</v>
      </c>
      <c r="C499" s="12">
        <v>2024</v>
      </c>
      <c r="D499" s="12" t="s">
        <v>468</v>
      </c>
      <c r="E499" s="12" t="s">
        <v>979</v>
      </c>
      <c r="G499" s="12" t="s">
        <v>86</v>
      </c>
      <c r="H499" s="12" t="s">
        <v>993</v>
      </c>
      <c r="I499" s="12">
        <v>43.473700000000001</v>
      </c>
      <c r="J499" s="12">
        <v>-79.050600000000003</v>
      </c>
      <c r="K499" s="12" t="s">
        <v>41</v>
      </c>
      <c r="L499" s="12" t="s">
        <v>28</v>
      </c>
      <c r="M499" s="12" t="s">
        <v>983</v>
      </c>
      <c r="N499" s="12">
        <f>(654000+1120000)/2</f>
        <v>887000</v>
      </c>
      <c r="P499" s="12">
        <f>(654000+1120000)/2</f>
        <v>887000</v>
      </c>
      <c r="Q499" s="12" t="s">
        <v>46</v>
      </c>
    </row>
    <row r="500" spans="1:17" x14ac:dyDescent="0.35">
      <c r="A500" s="12">
        <v>40</v>
      </c>
      <c r="B500" s="12" t="s">
        <v>978</v>
      </c>
      <c r="C500" s="12">
        <v>2024</v>
      </c>
      <c r="D500" s="12" t="s">
        <v>468</v>
      </c>
      <c r="E500" s="12" t="s">
        <v>979</v>
      </c>
      <c r="G500" s="12" t="s">
        <v>86</v>
      </c>
      <c r="H500" s="12" t="s">
        <v>994</v>
      </c>
      <c r="I500" s="12">
        <v>43.375369999999997</v>
      </c>
      <c r="J500" s="12">
        <v>-7922118</v>
      </c>
      <c r="K500" s="12" t="s">
        <v>41</v>
      </c>
      <c r="L500" s="12" t="s">
        <v>28</v>
      </c>
      <c r="M500" s="12" t="s">
        <v>983</v>
      </c>
      <c r="N500" s="12">
        <f>(1940000+240000)/2</f>
        <v>1090000</v>
      </c>
      <c r="P500" s="12">
        <f>(1940000+240000)/2</f>
        <v>1090000</v>
      </c>
      <c r="Q500" s="12" t="s">
        <v>46</v>
      </c>
    </row>
    <row r="501" spans="1:17" x14ac:dyDescent="0.35">
      <c r="A501" s="12">
        <v>40</v>
      </c>
      <c r="B501" s="12" t="s">
        <v>978</v>
      </c>
      <c r="C501" s="12">
        <v>2024</v>
      </c>
      <c r="D501" s="12" t="s">
        <v>468</v>
      </c>
      <c r="E501" s="12" t="s">
        <v>979</v>
      </c>
      <c r="G501" s="12" t="s">
        <v>86</v>
      </c>
      <c r="H501" s="12" t="s">
        <v>995</v>
      </c>
      <c r="I501" s="12">
        <v>43.37238</v>
      </c>
      <c r="J501" s="12">
        <v>-79.264750000000006</v>
      </c>
      <c r="K501" s="12" t="s">
        <v>41</v>
      </c>
      <c r="L501" s="12" t="s">
        <v>28</v>
      </c>
      <c r="M501" s="12" t="s">
        <v>983</v>
      </c>
      <c r="N501" s="12">
        <f>(19200+2710000)/2</f>
        <v>1364600</v>
      </c>
      <c r="P501" s="12">
        <f>(19200+2710000)/2</f>
        <v>1364600</v>
      </c>
      <c r="Q501" s="12" t="s">
        <v>46</v>
      </c>
    </row>
    <row r="502" spans="1:17" x14ac:dyDescent="0.35">
      <c r="A502" s="12">
        <v>40</v>
      </c>
      <c r="B502" s="12" t="s">
        <v>978</v>
      </c>
      <c r="C502" s="12">
        <v>2024</v>
      </c>
      <c r="D502" s="12" t="s">
        <v>468</v>
      </c>
      <c r="E502" s="12" t="s">
        <v>979</v>
      </c>
      <c r="G502" s="12" t="s">
        <v>86</v>
      </c>
      <c r="H502" s="12" t="s">
        <v>996</v>
      </c>
      <c r="I502" s="12">
        <v>43.342179999999999</v>
      </c>
      <c r="J502" s="12">
        <v>-79.30574</v>
      </c>
      <c r="K502" s="12" t="s">
        <v>41</v>
      </c>
      <c r="L502" s="12" t="s">
        <v>28</v>
      </c>
      <c r="M502" s="12" t="s">
        <v>983</v>
      </c>
      <c r="N502" s="12">
        <f>(135000+71200)/2</f>
        <v>103100</v>
      </c>
      <c r="P502" s="12">
        <f>(135000+71200)/2</f>
        <v>103100</v>
      </c>
      <c r="Q502" s="12" t="s">
        <v>46</v>
      </c>
    </row>
    <row r="503" spans="1:17" x14ac:dyDescent="0.35">
      <c r="A503" s="12">
        <v>40</v>
      </c>
      <c r="B503" s="12" t="s">
        <v>978</v>
      </c>
      <c r="C503" s="12">
        <v>2024</v>
      </c>
      <c r="D503" s="12" t="s">
        <v>468</v>
      </c>
      <c r="E503" s="12" t="s">
        <v>979</v>
      </c>
      <c r="G503" s="12" t="s">
        <v>86</v>
      </c>
      <c r="H503" s="12" t="s">
        <v>997</v>
      </c>
      <c r="I503" s="12">
        <v>43.323230000000002</v>
      </c>
      <c r="J503" s="12">
        <v>-79.34084</v>
      </c>
      <c r="K503" s="12" t="s">
        <v>41</v>
      </c>
      <c r="L503" s="12" t="s">
        <v>28</v>
      </c>
      <c r="M503" s="12" t="s">
        <v>983</v>
      </c>
      <c r="N503" s="12">
        <f>(858000+212000)/2</f>
        <v>535000</v>
      </c>
      <c r="P503" s="12">
        <f>(858000+212000)/2</f>
        <v>535000</v>
      </c>
      <c r="Q503" s="12" t="s">
        <v>46</v>
      </c>
    </row>
    <row r="504" spans="1:17" ht="18" customHeight="1" x14ac:dyDescent="0.35">
      <c r="A504" s="12">
        <v>40</v>
      </c>
      <c r="B504" s="12" t="s">
        <v>978</v>
      </c>
      <c r="C504" s="12">
        <v>2024</v>
      </c>
      <c r="D504" s="12" t="s">
        <v>468</v>
      </c>
      <c r="E504" s="12" t="s">
        <v>979</v>
      </c>
      <c r="G504" s="12" t="s">
        <v>86</v>
      </c>
      <c r="H504" s="12" t="s">
        <v>998</v>
      </c>
      <c r="I504" s="12">
        <v>41.512450000000001</v>
      </c>
      <c r="J504" s="12">
        <v>-83.054670000000002</v>
      </c>
      <c r="K504" s="12" t="s">
        <v>41</v>
      </c>
      <c r="L504" s="12" t="s">
        <v>28</v>
      </c>
      <c r="M504" s="12" t="s">
        <v>983</v>
      </c>
      <c r="N504" s="12">
        <f>(229000+86400+644000)/3</f>
        <v>319800</v>
      </c>
      <c r="P504" s="12">
        <f>(229000+86400+644000)/3</f>
        <v>319800</v>
      </c>
      <c r="Q504" s="12" t="s">
        <v>46</v>
      </c>
    </row>
    <row r="505" spans="1:17" x14ac:dyDescent="0.35">
      <c r="A505" s="12">
        <v>40</v>
      </c>
      <c r="B505" s="12" t="s">
        <v>978</v>
      </c>
      <c r="C505" s="12">
        <v>2024</v>
      </c>
      <c r="D505" s="12" t="s">
        <v>468</v>
      </c>
      <c r="E505" s="12" t="s">
        <v>979</v>
      </c>
      <c r="G505" s="12" t="s">
        <v>86</v>
      </c>
      <c r="H505" s="12" t="s">
        <v>999</v>
      </c>
      <c r="I505" s="12">
        <v>42.50264</v>
      </c>
      <c r="J505" s="12">
        <v>-79.352379999999997</v>
      </c>
      <c r="K505" s="12" t="s">
        <v>41</v>
      </c>
      <c r="L505" s="12" t="s">
        <v>28</v>
      </c>
      <c r="M505" s="12" t="s">
        <v>983</v>
      </c>
      <c r="N505" s="12">
        <f>(14600+112000+198000)/3</f>
        <v>108200</v>
      </c>
      <c r="P505" s="12">
        <f>(14600+112000+198000)/3</f>
        <v>108200</v>
      </c>
      <c r="Q505" s="12" t="s">
        <v>46</v>
      </c>
    </row>
    <row r="506" spans="1:17" x14ac:dyDescent="0.35">
      <c r="A506" s="12">
        <v>40</v>
      </c>
      <c r="B506" s="12" t="s">
        <v>978</v>
      </c>
      <c r="C506" s="12">
        <v>2024</v>
      </c>
      <c r="D506" s="12" t="s">
        <v>468</v>
      </c>
      <c r="E506" s="12" t="s">
        <v>979</v>
      </c>
      <c r="G506" s="12" t="s">
        <v>86</v>
      </c>
      <c r="H506" s="12" t="s">
        <v>1000</v>
      </c>
      <c r="I506" s="12">
        <v>42.511389999999999</v>
      </c>
      <c r="J506" s="12">
        <v>-78.561049999999994</v>
      </c>
      <c r="K506" s="12" t="s">
        <v>41</v>
      </c>
      <c r="L506" s="12" t="s">
        <v>28</v>
      </c>
      <c r="M506" s="12" t="s">
        <v>983</v>
      </c>
      <c r="N506" s="12">
        <f>(41700+82500+21200)/3</f>
        <v>48466.666666666664</v>
      </c>
      <c r="P506" s="12">
        <f>(41700+82500+21200)/3</f>
        <v>48466.666666666664</v>
      </c>
      <c r="Q506" s="12" t="s">
        <v>46</v>
      </c>
    </row>
    <row r="507" spans="1:17" x14ac:dyDescent="0.35">
      <c r="A507" s="12">
        <v>40</v>
      </c>
      <c r="B507" s="12" t="s">
        <v>978</v>
      </c>
      <c r="C507" s="12">
        <v>2024</v>
      </c>
      <c r="D507" s="12" t="s">
        <v>468</v>
      </c>
      <c r="E507" s="12" t="s">
        <v>979</v>
      </c>
      <c r="G507" s="12" t="s">
        <v>86</v>
      </c>
      <c r="H507" s="12" t="s">
        <v>1001</v>
      </c>
      <c r="I507" s="12">
        <v>42.380519999999997</v>
      </c>
      <c r="J507" s="12">
        <v>-81.105009999999993</v>
      </c>
      <c r="K507" s="12" t="s">
        <v>41</v>
      </c>
      <c r="L507" s="12" t="s">
        <v>28</v>
      </c>
      <c r="M507" s="12" t="s">
        <v>983</v>
      </c>
      <c r="N507" s="12">
        <f>(37200+23100+30400)/3</f>
        <v>30233.333333333332</v>
      </c>
      <c r="P507" s="12">
        <f>(37200+23100+30400)/3</f>
        <v>30233.333333333332</v>
      </c>
      <c r="Q507" s="12" t="s">
        <v>46</v>
      </c>
    </row>
    <row r="508" spans="1:17" x14ac:dyDescent="0.35">
      <c r="A508" s="12">
        <v>40</v>
      </c>
      <c r="B508" s="12" t="s">
        <v>978</v>
      </c>
      <c r="C508" s="12">
        <v>2024</v>
      </c>
      <c r="D508" s="12" t="s">
        <v>468</v>
      </c>
      <c r="E508" s="12" t="s">
        <v>979</v>
      </c>
      <c r="G508" s="12" t="s">
        <v>86</v>
      </c>
      <c r="H508" s="12" t="s">
        <v>1002</v>
      </c>
      <c r="I508" s="12">
        <v>41.575530000000001</v>
      </c>
      <c r="J508" s="12">
        <v>-82.335669999999993</v>
      </c>
      <c r="K508" s="12" t="s">
        <v>41</v>
      </c>
      <c r="L508" s="12" t="s">
        <v>28</v>
      </c>
      <c r="M508" s="12" t="s">
        <v>983</v>
      </c>
      <c r="N508" s="12">
        <f>(194000+323000+279000)/3</f>
        <v>265333.33333333331</v>
      </c>
      <c r="P508" s="12">
        <f>(194000+323000+279000)/3</f>
        <v>265333.33333333331</v>
      </c>
      <c r="Q508" s="12" t="s">
        <v>46</v>
      </c>
    </row>
    <row r="509" spans="1:17" x14ac:dyDescent="0.35">
      <c r="A509" s="12">
        <v>40</v>
      </c>
      <c r="B509" s="12" t="s">
        <v>978</v>
      </c>
      <c r="C509" s="12">
        <v>2024</v>
      </c>
      <c r="D509" s="12" t="s">
        <v>468</v>
      </c>
      <c r="E509" s="12" t="s">
        <v>979</v>
      </c>
      <c r="G509" s="12" t="s">
        <v>86</v>
      </c>
      <c r="H509" s="12" t="s">
        <v>1003</v>
      </c>
      <c r="I509" s="12">
        <v>46.102379999999997</v>
      </c>
      <c r="J509" s="12" t="s">
        <v>1004</v>
      </c>
      <c r="K509" s="12" t="s">
        <v>41</v>
      </c>
      <c r="L509" s="12" t="s">
        <v>28</v>
      </c>
      <c r="M509" s="12" t="s">
        <v>983</v>
      </c>
      <c r="N509" s="12">
        <f>(31000+15400)/2</f>
        <v>23200</v>
      </c>
      <c r="P509" s="12">
        <f>(31000+15400)/2</f>
        <v>23200</v>
      </c>
      <c r="Q509" s="12" t="s">
        <v>46</v>
      </c>
    </row>
    <row r="510" spans="1:17" ht="15.75" customHeight="1" x14ac:dyDescent="0.35">
      <c r="A510" s="12">
        <v>40</v>
      </c>
      <c r="B510" s="12" t="s">
        <v>978</v>
      </c>
      <c r="C510" s="12">
        <v>2024</v>
      </c>
      <c r="D510" s="12" t="s">
        <v>468</v>
      </c>
      <c r="E510" s="12" t="s">
        <v>979</v>
      </c>
      <c r="G510" s="12" t="s">
        <v>86</v>
      </c>
      <c r="H510" s="12" t="s">
        <v>1005</v>
      </c>
      <c r="I510" s="12">
        <v>46.292380000000001</v>
      </c>
      <c r="J510" s="12">
        <v>-84.021209999999996</v>
      </c>
      <c r="K510" s="12" t="s">
        <v>41</v>
      </c>
      <c r="L510" s="12" t="s">
        <v>28</v>
      </c>
      <c r="M510" s="12" t="s">
        <v>983</v>
      </c>
      <c r="N510" s="12">
        <f>(1700+27500)/2</f>
        <v>14600</v>
      </c>
      <c r="P510" s="12">
        <f>(1700+27500)/2</f>
        <v>14600</v>
      </c>
      <c r="Q510" s="12" t="s">
        <v>46</v>
      </c>
    </row>
    <row r="511" spans="1:17" x14ac:dyDescent="0.35">
      <c r="A511" s="12">
        <v>40</v>
      </c>
      <c r="B511" s="12" t="s">
        <v>978</v>
      </c>
      <c r="C511" s="12">
        <v>2024</v>
      </c>
      <c r="D511" s="12" t="s">
        <v>468</v>
      </c>
      <c r="E511" s="12" t="s">
        <v>979</v>
      </c>
      <c r="G511" s="12" t="s">
        <v>86</v>
      </c>
      <c r="H511" s="12" t="s">
        <v>1006</v>
      </c>
      <c r="I511" s="12">
        <v>48.06174</v>
      </c>
      <c r="J511" s="12">
        <v>-86.021870000000007</v>
      </c>
      <c r="K511" s="12" t="s">
        <v>41</v>
      </c>
      <c r="L511" s="12" t="s">
        <v>28</v>
      </c>
      <c r="M511" s="12" t="s">
        <v>983</v>
      </c>
      <c r="N511" s="12">
        <f>(10000+50800)/2</f>
        <v>30400</v>
      </c>
      <c r="P511" s="12">
        <f>(10000+50800)/2</f>
        <v>30400</v>
      </c>
      <c r="Q511" s="12" t="s">
        <v>46</v>
      </c>
    </row>
    <row r="512" spans="1:17" x14ac:dyDescent="0.35">
      <c r="A512" s="12">
        <v>40</v>
      </c>
      <c r="B512" s="12" t="s">
        <v>978</v>
      </c>
      <c r="C512" s="12">
        <v>2024</v>
      </c>
      <c r="D512" s="12" t="s">
        <v>468</v>
      </c>
      <c r="E512" s="12" t="s">
        <v>979</v>
      </c>
      <c r="G512" s="12" t="s">
        <v>86</v>
      </c>
      <c r="H512" s="12" t="s">
        <v>1007</v>
      </c>
      <c r="I512" s="12">
        <v>48.560409999999997</v>
      </c>
      <c r="J512" s="12">
        <v>-8811592</v>
      </c>
      <c r="K512" s="12" t="s">
        <v>41</v>
      </c>
      <c r="L512" s="12" t="s">
        <v>28</v>
      </c>
      <c r="M512" s="12" t="s">
        <v>983</v>
      </c>
      <c r="N512" s="12">
        <f>(12100+2600)/2</f>
        <v>7350</v>
      </c>
      <c r="P512" s="12">
        <f>(12100+2600)/2</f>
        <v>7350</v>
      </c>
      <c r="Q512" s="12" t="s">
        <v>46</v>
      </c>
    </row>
    <row r="513" spans="1:28" x14ac:dyDescent="0.35">
      <c r="A513" s="12">
        <v>40</v>
      </c>
      <c r="B513" s="12" t="s">
        <v>978</v>
      </c>
      <c r="C513" s="12">
        <v>2024</v>
      </c>
      <c r="D513" s="12" t="s">
        <v>468</v>
      </c>
      <c r="E513" s="12" t="s">
        <v>979</v>
      </c>
      <c r="G513" s="12" t="s">
        <v>86</v>
      </c>
      <c r="H513" s="12" t="s">
        <v>1008</v>
      </c>
      <c r="I513" s="12">
        <v>48.220170000000003</v>
      </c>
      <c r="J513" s="12">
        <v>-89.092110000000005</v>
      </c>
      <c r="K513" s="12" t="s">
        <v>41</v>
      </c>
      <c r="L513" s="12" t="s">
        <v>28</v>
      </c>
      <c r="M513" s="12" t="s">
        <v>983</v>
      </c>
      <c r="N513" s="12">
        <f>(19000+9500)/2</f>
        <v>14250</v>
      </c>
      <c r="P513" s="12">
        <f>(19000+9500)/2</f>
        <v>14250</v>
      </c>
      <c r="Q513" s="12" t="s">
        <v>46</v>
      </c>
    </row>
    <row r="514" spans="1:28" x14ac:dyDescent="0.35">
      <c r="A514" s="14">
        <v>42</v>
      </c>
      <c r="B514" s="14" t="s">
        <v>1009</v>
      </c>
      <c r="C514" s="14">
        <v>2020</v>
      </c>
      <c r="D514" s="14" t="s">
        <v>1010</v>
      </c>
      <c r="E514" s="14" t="s">
        <v>1011</v>
      </c>
      <c r="F514" s="14" t="s">
        <v>1012</v>
      </c>
      <c r="G514" s="14" t="s">
        <v>274</v>
      </c>
      <c r="H514" s="12" t="s">
        <v>1013</v>
      </c>
      <c r="I514" s="12">
        <v>46.583570000000002</v>
      </c>
      <c r="J514" s="12">
        <v>90.513400000000004</v>
      </c>
      <c r="K514" s="12" t="s">
        <v>138</v>
      </c>
      <c r="L514" s="14" t="s">
        <v>28</v>
      </c>
      <c r="M514" s="12" t="s">
        <v>1017</v>
      </c>
      <c r="N514" s="12">
        <v>1</v>
      </c>
      <c r="O514" s="12" t="s">
        <v>1018</v>
      </c>
      <c r="P514" s="12">
        <f t="shared" ref="P514:P525" si="15">(N514*1000)/200</f>
        <v>5</v>
      </c>
      <c r="Q514" s="12" t="s">
        <v>107</v>
      </c>
      <c r="S514" s="14"/>
      <c r="T514" s="14"/>
      <c r="U514" s="14"/>
      <c r="V514" s="14"/>
      <c r="W514" s="14"/>
      <c r="X514" s="14"/>
      <c r="Y514" s="14"/>
      <c r="Z514" s="14"/>
      <c r="AA514" s="14"/>
      <c r="AB514" s="14"/>
    </row>
    <row r="515" spans="1:28" x14ac:dyDescent="0.35">
      <c r="A515" s="14">
        <v>42</v>
      </c>
      <c r="B515" s="14" t="s">
        <v>1009</v>
      </c>
      <c r="C515" s="14">
        <v>2020</v>
      </c>
      <c r="D515" s="14" t="s">
        <v>1010</v>
      </c>
      <c r="E515" s="14" t="s">
        <v>1011</v>
      </c>
      <c r="F515" s="14" t="s">
        <v>1012</v>
      </c>
      <c r="G515" s="14" t="s">
        <v>274</v>
      </c>
      <c r="H515" s="12" t="s">
        <v>1019</v>
      </c>
      <c r="I515" s="14">
        <v>47.011200000000002</v>
      </c>
      <c r="J515" s="14">
        <v>90.042400000000001</v>
      </c>
      <c r="K515" s="12" t="s">
        <v>138</v>
      </c>
      <c r="L515" s="14" t="s">
        <v>28</v>
      </c>
      <c r="M515" s="12" t="s">
        <v>1017</v>
      </c>
      <c r="N515" s="14">
        <v>1.33</v>
      </c>
      <c r="O515" s="12" t="s">
        <v>1018</v>
      </c>
      <c r="P515" s="12">
        <f t="shared" si="15"/>
        <v>6.65</v>
      </c>
      <c r="Q515" s="12" t="s">
        <v>107</v>
      </c>
      <c r="R515" s="14"/>
      <c r="S515" s="14"/>
      <c r="T515" s="14"/>
      <c r="U515" s="14"/>
      <c r="V515" s="14"/>
      <c r="W515" s="14"/>
      <c r="X515" s="14"/>
      <c r="Y515" s="14"/>
      <c r="Z515" s="14"/>
      <c r="AA515" s="14"/>
      <c r="AB515" s="14"/>
    </row>
    <row r="516" spans="1:28" x14ac:dyDescent="0.35">
      <c r="A516" s="14">
        <v>42</v>
      </c>
      <c r="B516" s="14" t="s">
        <v>1009</v>
      </c>
      <c r="C516" s="14">
        <v>2020</v>
      </c>
      <c r="D516" s="14" t="s">
        <v>1010</v>
      </c>
      <c r="E516" s="14" t="s">
        <v>1011</v>
      </c>
      <c r="F516" s="14" t="s">
        <v>1012</v>
      </c>
      <c r="G516" s="14" t="s">
        <v>274</v>
      </c>
      <c r="H516" s="12" t="s">
        <v>1020</v>
      </c>
      <c r="I516" s="14">
        <v>46.594290000000001</v>
      </c>
      <c r="J516" s="14">
        <v>90.280289999999994</v>
      </c>
      <c r="K516" s="12" t="s">
        <v>138</v>
      </c>
      <c r="L516" s="14" t="s">
        <v>28</v>
      </c>
      <c r="M516" s="12" t="s">
        <v>1017</v>
      </c>
      <c r="N516" s="14">
        <v>1.2</v>
      </c>
      <c r="O516" s="12" t="s">
        <v>1018</v>
      </c>
      <c r="P516" s="12">
        <f t="shared" si="15"/>
        <v>6</v>
      </c>
      <c r="Q516" s="12" t="s">
        <v>107</v>
      </c>
      <c r="R516" s="14"/>
      <c r="S516" s="14"/>
      <c r="T516" s="14"/>
      <c r="U516" s="14"/>
      <c r="V516" s="14"/>
      <c r="W516" s="14"/>
      <c r="X516" s="14"/>
      <c r="Y516" s="14"/>
      <c r="Z516" s="14"/>
      <c r="AA516" s="14"/>
      <c r="AB516" s="14"/>
    </row>
    <row r="517" spans="1:28" x14ac:dyDescent="0.35">
      <c r="A517" s="14">
        <v>42</v>
      </c>
      <c r="B517" s="14" t="s">
        <v>1009</v>
      </c>
      <c r="C517" s="14">
        <v>2020</v>
      </c>
      <c r="D517" s="14" t="s">
        <v>1010</v>
      </c>
      <c r="E517" s="14" t="s">
        <v>1011</v>
      </c>
      <c r="F517" s="14" t="s">
        <v>1012</v>
      </c>
      <c r="G517" s="14" t="s">
        <v>274</v>
      </c>
      <c r="H517" s="12" t="s">
        <v>1021</v>
      </c>
      <c r="I517" s="14">
        <v>46.551200000000001</v>
      </c>
      <c r="J517" s="14">
        <v>90.324920000000006</v>
      </c>
      <c r="K517" s="12" t="s">
        <v>138</v>
      </c>
      <c r="L517" s="14" t="s">
        <v>28</v>
      </c>
      <c r="M517" s="12" t="s">
        <v>1017</v>
      </c>
      <c r="N517" s="14">
        <v>2</v>
      </c>
      <c r="O517" s="12" t="s">
        <v>1018</v>
      </c>
      <c r="P517" s="12">
        <f t="shared" si="15"/>
        <v>10</v>
      </c>
      <c r="Q517" s="12" t="s">
        <v>107</v>
      </c>
      <c r="R517" s="14"/>
      <c r="S517" s="14"/>
      <c r="T517" s="14"/>
      <c r="U517" s="14"/>
      <c r="V517" s="14"/>
      <c r="W517" s="14"/>
      <c r="X517" s="14"/>
      <c r="Y517" s="14"/>
      <c r="Z517" s="14"/>
      <c r="AA517" s="14"/>
      <c r="AB517" s="14"/>
    </row>
    <row r="518" spans="1:28" x14ac:dyDescent="0.35">
      <c r="A518" s="14">
        <v>42</v>
      </c>
      <c r="B518" s="14" t="s">
        <v>1009</v>
      </c>
      <c r="C518" s="14">
        <v>2020</v>
      </c>
      <c r="D518" s="14" t="s">
        <v>1010</v>
      </c>
      <c r="E518" s="14" t="s">
        <v>1011</v>
      </c>
      <c r="F518" s="14" t="s">
        <v>1012</v>
      </c>
      <c r="G518" s="14" t="s">
        <v>274</v>
      </c>
      <c r="H518" s="12" t="s">
        <v>1022</v>
      </c>
      <c r="I518" s="14">
        <v>46.551189999999998</v>
      </c>
      <c r="J518" s="14">
        <v>90.331770000000006</v>
      </c>
      <c r="K518" s="12" t="s">
        <v>138</v>
      </c>
      <c r="L518" s="14" t="s">
        <v>28</v>
      </c>
      <c r="M518" s="12" t="s">
        <v>1017</v>
      </c>
      <c r="N518" s="14">
        <v>2.66</v>
      </c>
      <c r="O518" s="12" t="s">
        <v>1018</v>
      </c>
      <c r="P518" s="12">
        <f t="shared" si="15"/>
        <v>13.3</v>
      </c>
      <c r="Q518" s="12" t="s">
        <v>107</v>
      </c>
      <c r="R518" s="14"/>
      <c r="S518" s="14"/>
      <c r="T518" s="14"/>
      <c r="U518" s="14"/>
      <c r="V518" s="14"/>
      <c r="W518" s="14"/>
      <c r="X518" s="14"/>
      <c r="Y518" s="14"/>
      <c r="Z518" s="14"/>
      <c r="AA518" s="14"/>
      <c r="AB518" s="14"/>
    </row>
    <row r="519" spans="1:28" x14ac:dyDescent="0.35">
      <c r="A519" s="14">
        <v>42</v>
      </c>
      <c r="B519" s="14" t="s">
        <v>1009</v>
      </c>
      <c r="C519" s="14">
        <v>2020</v>
      </c>
      <c r="D519" s="14" t="s">
        <v>1010</v>
      </c>
      <c r="E519" s="14" t="s">
        <v>1011</v>
      </c>
      <c r="F519" s="14" t="s">
        <v>1012</v>
      </c>
      <c r="G519" s="14" t="s">
        <v>274</v>
      </c>
      <c r="H519" s="12" t="s">
        <v>1023</v>
      </c>
      <c r="I519" s="14">
        <v>46.421559999999999</v>
      </c>
      <c r="J519" s="14">
        <v>90.454409999999996</v>
      </c>
      <c r="K519" s="12" t="s">
        <v>138</v>
      </c>
      <c r="L519" s="14" t="s">
        <v>28</v>
      </c>
      <c r="M519" s="12" t="s">
        <v>1017</v>
      </c>
      <c r="N519" s="14">
        <v>2</v>
      </c>
      <c r="O519" s="12" t="s">
        <v>1018</v>
      </c>
      <c r="P519" s="12">
        <f t="shared" si="15"/>
        <v>10</v>
      </c>
      <c r="Q519" s="12" t="s">
        <v>107</v>
      </c>
      <c r="R519" s="14"/>
      <c r="S519" s="14"/>
      <c r="T519" s="14"/>
      <c r="U519" s="14"/>
      <c r="V519" s="14"/>
      <c r="W519" s="14"/>
      <c r="X519" s="14"/>
      <c r="Y519" s="14"/>
      <c r="Z519" s="14"/>
      <c r="AA519" s="14"/>
      <c r="AB519" s="14"/>
    </row>
    <row r="520" spans="1:28" ht="15.75" customHeight="1" x14ac:dyDescent="0.35">
      <c r="A520" s="14">
        <v>42</v>
      </c>
      <c r="B520" s="14" t="s">
        <v>1009</v>
      </c>
      <c r="C520" s="14">
        <v>2020</v>
      </c>
      <c r="D520" s="14" t="s">
        <v>1010</v>
      </c>
      <c r="E520" s="14" t="s">
        <v>1011</v>
      </c>
      <c r="F520" s="14" t="s">
        <v>1012</v>
      </c>
      <c r="G520" s="14" t="s">
        <v>274</v>
      </c>
      <c r="H520" s="12" t="s">
        <v>1024</v>
      </c>
      <c r="I520" s="14">
        <v>46.53022</v>
      </c>
      <c r="J520" s="14">
        <v>91.025369999999995</v>
      </c>
      <c r="K520" s="12" t="s">
        <v>138</v>
      </c>
      <c r="L520" s="14" t="s">
        <v>28</v>
      </c>
      <c r="M520" s="12" t="s">
        <v>1017</v>
      </c>
      <c r="N520" s="14">
        <v>3.87</v>
      </c>
      <c r="O520" s="12" t="s">
        <v>1018</v>
      </c>
      <c r="P520" s="12">
        <f t="shared" si="15"/>
        <v>19.350000000000001</v>
      </c>
      <c r="Q520" s="12" t="s">
        <v>107</v>
      </c>
      <c r="R520" s="14"/>
      <c r="S520" s="14"/>
      <c r="T520" s="14"/>
      <c r="U520" s="14"/>
      <c r="V520" s="14"/>
      <c r="W520" s="14"/>
      <c r="X520" s="14"/>
      <c r="Y520" s="14"/>
      <c r="Z520" s="14"/>
      <c r="AA520" s="14"/>
      <c r="AB520" s="14"/>
    </row>
    <row r="521" spans="1:28" x14ac:dyDescent="0.35">
      <c r="A521" s="14">
        <v>42</v>
      </c>
      <c r="B521" s="14" t="s">
        <v>1009</v>
      </c>
      <c r="C521" s="14">
        <v>2020</v>
      </c>
      <c r="D521" s="14" t="s">
        <v>1010</v>
      </c>
      <c r="E521" s="14" t="s">
        <v>1011</v>
      </c>
      <c r="F521" s="14" t="s">
        <v>1012</v>
      </c>
      <c r="G521" s="14" t="s">
        <v>274</v>
      </c>
      <c r="H521" s="12" t="s">
        <v>1025</v>
      </c>
      <c r="I521" s="14">
        <v>46.443179999999998</v>
      </c>
      <c r="J521" s="14">
        <v>91.362099999999998</v>
      </c>
      <c r="K521" s="12" t="s">
        <v>138</v>
      </c>
      <c r="L521" s="14" t="s">
        <v>28</v>
      </c>
      <c r="M521" s="12" t="s">
        <v>1017</v>
      </c>
      <c r="N521" s="14">
        <v>0.5</v>
      </c>
      <c r="O521" s="12" t="s">
        <v>1018</v>
      </c>
      <c r="P521" s="12">
        <f t="shared" si="15"/>
        <v>2.5</v>
      </c>
      <c r="Q521" s="12" t="s">
        <v>107</v>
      </c>
      <c r="R521" s="14"/>
      <c r="S521" s="14"/>
      <c r="T521" s="14"/>
      <c r="U521" s="14"/>
      <c r="V521" s="14"/>
      <c r="W521" s="14"/>
      <c r="X521" s="14"/>
      <c r="Y521" s="14"/>
      <c r="Z521" s="14"/>
      <c r="AA521" s="14"/>
      <c r="AB521" s="14"/>
    </row>
    <row r="522" spans="1:28" x14ac:dyDescent="0.35">
      <c r="A522" s="14">
        <v>42</v>
      </c>
      <c r="B522" s="14" t="s">
        <v>1009</v>
      </c>
      <c r="C522" s="14">
        <v>2020</v>
      </c>
      <c r="D522" s="14" t="s">
        <v>1010</v>
      </c>
      <c r="E522" s="14" t="s">
        <v>1011</v>
      </c>
      <c r="F522" s="14" t="s">
        <v>1012</v>
      </c>
      <c r="G522" s="14" t="s">
        <v>274</v>
      </c>
      <c r="H522" s="12" t="s">
        <v>1026</v>
      </c>
      <c r="I522" s="14">
        <v>46.42342</v>
      </c>
      <c r="J522" s="14">
        <v>90.46011</v>
      </c>
      <c r="K522" s="12" t="s">
        <v>138</v>
      </c>
      <c r="L522" s="14" t="s">
        <v>28</v>
      </c>
      <c r="M522" s="12" t="s">
        <v>1017</v>
      </c>
      <c r="N522" s="14">
        <v>0.5</v>
      </c>
      <c r="O522" s="12" t="s">
        <v>1018</v>
      </c>
      <c r="P522" s="12">
        <f t="shared" si="15"/>
        <v>2.5</v>
      </c>
      <c r="Q522" s="12" t="s">
        <v>107</v>
      </c>
      <c r="R522" s="14"/>
      <c r="S522" s="14"/>
      <c r="T522" s="14"/>
      <c r="U522" s="14"/>
      <c r="V522" s="14"/>
      <c r="W522" s="14"/>
      <c r="X522" s="14"/>
      <c r="Y522" s="14"/>
      <c r="Z522" s="14"/>
      <c r="AA522" s="14"/>
      <c r="AB522" s="14"/>
    </row>
    <row r="523" spans="1:28" x14ac:dyDescent="0.35">
      <c r="A523" s="14">
        <v>42</v>
      </c>
      <c r="B523" s="14" t="s">
        <v>1009</v>
      </c>
      <c r="C523" s="14">
        <v>2020</v>
      </c>
      <c r="D523" s="14" t="s">
        <v>1010</v>
      </c>
      <c r="E523" s="14" t="s">
        <v>1011</v>
      </c>
      <c r="F523" s="14" t="s">
        <v>1012</v>
      </c>
      <c r="G523" s="14" t="s">
        <v>274</v>
      </c>
      <c r="H523" s="12" t="s">
        <v>1027</v>
      </c>
      <c r="I523" s="14">
        <v>46.56467</v>
      </c>
      <c r="J523" s="14">
        <v>91.465170000000001</v>
      </c>
      <c r="K523" s="12" t="s">
        <v>138</v>
      </c>
      <c r="L523" s="14" t="s">
        <v>28</v>
      </c>
      <c r="M523" s="12" t="s">
        <v>1017</v>
      </c>
      <c r="N523" s="14">
        <v>0</v>
      </c>
      <c r="O523" s="12" t="s">
        <v>1018</v>
      </c>
      <c r="P523" s="12">
        <f t="shared" si="15"/>
        <v>0</v>
      </c>
      <c r="Q523" s="12" t="s">
        <v>107</v>
      </c>
      <c r="R523" s="14"/>
      <c r="S523" s="14"/>
      <c r="T523" s="14"/>
      <c r="U523" s="14"/>
      <c r="V523" s="14"/>
      <c r="W523" s="14"/>
      <c r="X523" s="14"/>
      <c r="Y523" s="14"/>
      <c r="Z523" s="14"/>
      <c r="AA523" s="14"/>
      <c r="AB523" s="14"/>
    </row>
    <row r="524" spans="1:28" x14ac:dyDescent="0.35">
      <c r="A524" s="14">
        <v>42</v>
      </c>
      <c r="B524" s="14" t="s">
        <v>1009</v>
      </c>
      <c r="C524" s="14">
        <v>2020</v>
      </c>
      <c r="D524" s="14" t="s">
        <v>1010</v>
      </c>
      <c r="E524" s="14" t="s">
        <v>1011</v>
      </c>
      <c r="F524" s="14" t="s">
        <v>1012</v>
      </c>
      <c r="G524" s="14" t="s">
        <v>274</v>
      </c>
      <c r="H524" s="12" t="s">
        <v>1028</v>
      </c>
      <c r="I524" s="14">
        <v>46.434849999999997</v>
      </c>
      <c r="J524" s="14">
        <v>92.025620000000004</v>
      </c>
      <c r="K524" s="12" t="s">
        <v>138</v>
      </c>
      <c r="L524" s="14" t="s">
        <v>28</v>
      </c>
      <c r="M524" s="12" t="s">
        <v>1017</v>
      </c>
      <c r="N524" s="14">
        <v>1</v>
      </c>
      <c r="O524" s="12" t="s">
        <v>1018</v>
      </c>
      <c r="P524" s="12">
        <f t="shared" si="15"/>
        <v>5</v>
      </c>
      <c r="Q524" s="12" t="s">
        <v>107</v>
      </c>
      <c r="R524" s="14"/>
      <c r="S524" s="14"/>
      <c r="T524" s="14"/>
      <c r="U524" s="14"/>
      <c r="V524" s="14"/>
      <c r="W524" s="14"/>
      <c r="X524" s="14"/>
      <c r="Y524" s="14"/>
      <c r="Z524" s="14"/>
      <c r="AA524" s="14"/>
      <c r="AB524" s="14"/>
    </row>
    <row r="525" spans="1:28" x14ac:dyDescent="0.35">
      <c r="A525" s="14">
        <v>42</v>
      </c>
      <c r="B525" s="14" t="s">
        <v>1009</v>
      </c>
      <c r="C525" s="14">
        <v>2020</v>
      </c>
      <c r="D525" s="14" t="s">
        <v>1010</v>
      </c>
      <c r="E525" s="14" t="s">
        <v>1011</v>
      </c>
      <c r="F525" s="14" t="s">
        <v>1012</v>
      </c>
      <c r="G525" s="14" t="s">
        <v>274</v>
      </c>
      <c r="H525" s="12" t="s">
        <v>1029</v>
      </c>
      <c r="I525" s="14">
        <v>46.53031</v>
      </c>
      <c r="J525" s="14" t="s">
        <v>1030</v>
      </c>
      <c r="K525" s="12" t="s">
        <v>138</v>
      </c>
      <c r="L525" s="14" t="s">
        <v>28</v>
      </c>
      <c r="M525" s="12" t="s">
        <v>1017</v>
      </c>
      <c r="N525" s="14">
        <v>0</v>
      </c>
      <c r="O525" s="12" t="s">
        <v>1018</v>
      </c>
      <c r="P525" s="12">
        <f t="shared" si="15"/>
        <v>0</v>
      </c>
      <c r="Q525" s="12" t="s">
        <v>107</v>
      </c>
      <c r="R525" s="14"/>
      <c r="S525" s="14"/>
      <c r="T525" s="14"/>
      <c r="U525" s="14"/>
      <c r="V525" s="14"/>
      <c r="W525" s="14"/>
      <c r="X525" s="14"/>
      <c r="Y525" s="14"/>
      <c r="Z525" s="14"/>
      <c r="AA525" s="14"/>
      <c r="AB525" s="14"/>
    </row>
    <row r="526" spans="1:28" x14ac:dyDescent="0.35">
      <c r="A526" s="14">
        <v>42</v>
      </c>
      <c r="B526" s="14" t="s">
        <v>1009</v>
      </c>
      <c r="C526" s="14">
        <v>2020</v>
      </c>
      <c r="D526" s="14" t="s">
        <v>1010</v>
      </c>
      <c r="E526" s="14" t="s">
        <v>1011</v>
      </c>
      <c r="F526" s="14" t="s">
        <v>1012</v>
      </c>
      <c r="G526" s="14" t="s">
        <v>274</v>
      </c>
      <c r="H526" s="14" t="s">
        <v>1031</v>
      </c>
      <c r="I526" s="14">
        <v>46.886580052657401</v>
      </c>
      <c r="J526" s="14">
        <v>-91.055767071164595</v>
      </c>
      <c r="K526" s="14" t="s">
        <v>41</v>
      </c>
      <c r="L526" s="14" t="s">
        <v>28</v>
      </c>
      <c r="M526" s="14" t="s">
        <v>1034</v>
      </c>
      <c r="N526" s="14">
        <f>9000+40000</f>
        <v>49000</v>
      </c>
      <c r="O526" s="14" t="s">
        <v>46</v>
      </c>
      <c r="P526" s="14">
        <f>N526</f>
        <v>49000</v>
      </c>
      <c r="Q526" s="14" t="s">
        <v>46</v>
      </c>
      <c r="R526" s="14" t="s">
        <v>1035</v>
      </c>
      <c r="S526" s="14"/>
      <c r="T526" s="14"/>
      <c r="U526" s="14"/>
      <c r="V526" s="14"/>
      <c r="W526" s="14"/>
      <c r="X526" s="14"/>
      <c r="Y526" s="14"/>
      <c r="Z526" s="14"/>
      <c r="AA526" s="14"/>
      <c r="AB526" s="14"/>
    </row>
    <row r="527" spans="1:28" x14ac:dyDescent="0.35">
      <c r="A527" s="14">
        <v>42</v>
      </c>
      <c r="B527" s="14" t="s">
        <v>1009</v>
      </c>
      <c r="C527" s="14">
        <v>2020</v>
      </c>
      <c r="D527" s="14" t="s">
        <v>1010</v>
      </c>
      <c r="E527" s="14" t="s">
        <v>1011</v>
      </c>
      <c r="F527" s="14" t="s">
        <v>1012</v>
      </c>
      <c r="G527" s="14" t="s">
        <v>274</v>
      </c>
      <c r="H527" s="14" t="s">
        <v>1036</v>
      </c>
      <c r="I527" s="14">
        <v>46.746537511930299</v>
      </c>
      <c r="J527" s="14">
        <v>-90.798978545361095</v>
      </c>
      <c r="K527" s="14" t="s">
        <v>41</v>
      </c>
      <c r="L527" s="14" t="s">
        <v>28</v>
      </c>
      <c r="M527" s="14" t="s">
        <v>1034</v>
      </c>
      <c r="N527" s="14">
        <f>11000+18000</f>
        <v>29000</v>
      </c>
      <c r="O527" s="14" t="s">
        <v>46</v>
      </c>
      <c r="P527" s="14">
        <f>N527</f>
        <v>29000</v>
      </c>
      <c r="Q527" s="14" t="s">
        <v>46</v>
      </c>
      <c r="R527" s="14" t="s">
        <v>1037</v>
      </c>
      <c r="S527" s="14"/>
      <c r="T527" s="14"/>
      <c r="U527" s="14"/>
      <c r="V527" s="14"/>
      <c r="W527" s="14"/>
      <c r="X527" s="14"/>
      <c r="Y527" s="14"/>
      <c r="Z527" s="14"/>
      <c r="AA527" s="14"/>
      <c r="AB527" s="14"/>
    </row>
    <row r="528" spans="1:28" x14ac:dyDescent="0.35">
      <c r="A528" s="14">
        <v>42</v>
      </c>
      <c r="B528" s="14" t="s">
        <v>1009</v>
      </c>
      <c r="C528" s="14">
        <v>2020</v>
      </c>
      <c r="D528" s="14" t="s">
        <v>1010</v>
      </c>
      <c r="E528" s="14" t="s">
        <v>1011</v>
      </c>
      <c r="F528" s="14" t="s">
        <v>1012</v>
      </c>
      <c r="G528" s="14" t="s">
        <v>274</v>
      </c>
      <c r="H528" s="14" t="s">
        <v>1038</v>
      </c>
      <c r="I528" s="14">
        <v>46.960915407244599</v>
      </c>
      <c r="J528" s="14">
        <v>-90.621572574186303</v>
      </c>
      <c r="K528" s="14" t="s">
        <v>41</v>
      </c>
      <c r="L528" s="14" t="s">
        <v>28</v>
      </c>
      <c r="M528" s="14" t="s">
        <v>1039</v>
      </c>
      <c r="N528" s="14">
        <v>19000</v>
      </c>
      <c r="O528" s="14" t="s">
        <v>46</v>
      </c>
      <c r="P528" s="14">
        <f>N528</f>
        <v>19000</v>
      </c>
      <c r="Q528" s="14" t="s">
        <v>46</v>
      </c>
      <c r="R528" s="14"/>
      <c r="S528" s="14"/>
      <c r="T528" s="14"/>
      <c r="U528" s="14"/>
      <c r="V528" s="14"/>
      <c r="W528" s="14"/>
      <c r="X528" s="14"/>
      <c r="Y528" s="14"/>
      <c r="Z528" s="14"/>
      <c r="AA528" s="14"/>
      <c r="AB528" s="14"/>
    </row>
    <row r="529" spans="1:17" x14ac:dyDescent="0.35">
      <c r="A529" s="12">
        <v>45</v>
      </c>
      <c r="B529" s="12" t="s">
        <v>1040</v>
      </c>
      <c r="C529" s="12">
        <v>2023</v>
      </c>
      <c r="D529" s="12" t="s">
        <v>1041</v>
      </c>
      <c r="E529" s="12" t="s">
        <v>1042</v>
      </c>
      <c r="F529" s="12" t="s">
        <v>1043</v>
      </c>
      <c r="G529" s="12" t="s">
        <v>86</v>
      </c>
      <c r="H529" s="12" t="s">
        <v>1044</v>
      </c>
      <c r="I529" s="12">
        <v>45.535539</v>
      </c>
      <c r="J529" s="12">
        <v>-73.878570999999994</v>
      </c>
      <c r="K529" s="12" t="s">
        <v>41</v>
      </c>
      <c r="L529" s="12" t="s">
        <v>223</v>
      </c>
      <c r="M529" s="12" t="s">
        <v>1046</v>
      </c>
      <c r="N529" s="12">
        <v>0.26</v>
      </c>
      <c r="O529" s="12" t="s">
        <v>59</v>
      </c>
      <c r="P529" s="12">
        <v>0.26</v>
      </c>
      <c r="Q529" s="12" t="s">
        <v>59</v>
      </c>
    </row>
    <row r="530" spans="1:17" x14ac:dyDescent="0.35">
      <c r="A530" s="12">
        <v>45</v>
      </c>
      <c r="B530" s="12" t="s">
        <v>1040</v>
      </c>
      <c r="C530" s="12">
        <v>2023</v>
      </c>
      <c r="D530" s="12" t="s">
        <v>1041</v>
      </c>
      <c r="E530" s="12" t="s">
        <v>1042</v>
      </c>
      <c r="F530" s="12" t="s">
        <v>1043</v>
      </c>
      <c r="G530" s="12" t="s">
        <v>86</v>
      </c>
      <c r="H530" s="12" t="s">
        <v>1047</v>
      </c>
      <c r="I530" s="12">
        <v>45.462367</v>
      </c>
      <c r="J530" s="12">
        <v>-74.043336999999994</v>
      </c>
      <c r="K530" s="12" t="s">
        <v>41</v>
      </c>
      <c r="L530" s="12" t="s">
        <v>223</v>
      </c>
      <c r="M530" s="12" t="s">
        <v>1048</v>
      </c>
      <c r="N530" s="12">
        <v>0.11899999999999999</v>
      </c>
      <c r="O530" s="12" t="s">
        <v>59</v>
      </c>
      <c r="P530" s="12">
        <v>0.11899999999999999</v>
      </c>
      <c r="Q530" s="12" t="s">
        <v>59</v>
      </c>
    </row>
    <row r="531" spans="1:17" x14ac:dyDescent="0.35">
      <c r="A531" s="12">
        <v>45</v>
      </c>
      <c r="B531" s="12" t="s">
        <v>1040</v>
      </c>
      <c r="C531" s="12">
        <v>2023</v>
      </c>
      <c r="D531" s="12" t="s">
        <v>1041</v>
      </c>
      <c r="E531" s="12" t="s">
        <v>1042</v>
      </c>
      <c r="F531" s="12" t="s">
        <v>1043</v>
      </c>
      <c r="G531" s="12" t="s">
        <v>86</v>
      </c>
      <c r="H531" s="12" t="s">
        <v>1049</v>
      </c>
      <c r="I531" s="12">
        <v>45.562930000000001</v>
      </c>
      <c r="J531" s="12">
        <v>-74.427169000000006</v>
      </c>
      <c r="K531" s="12" t="s">
        <v>41</v>
      </c>
      <c r="L531" s="12" t="s">
        <v>223</v>
      </c>
      <c r="M531" s="12" t="s">
        <v>1050</v>
      </c>
      <c r="N531" s="12">
        <v>0.14899999999999999</v>
      </c>
      <c r="O531" s="12" t="s">
        <v>59</v>
      </c>
      <c r="P531" s="12">
        <v>0.14899999999999999</v>
      </c>
      <c r="Q531" s="12" t="s">
        <v>59</v>
      </c>
    </row>
    <row r="532" spans="1:17" x14ac:dyDescent="0.35">
      <c r="A532" s="12">
        <v>45</v>
      </c>
      <c r="B532" s="12" t="s">
        <v>1040</v>
      </c>
      <c r="C532" s="12">
        <v>2023</v>
      </c>
      <c r="D532" s="12" t="s">
        <v>1041</v>
      </c>
      <c r="E532" s="12" t="s">
        <v>1042</v>
      </c>
      <c r="F532" s="12" t="s">
        <v>1043</v>
      </c>
      <c r="G532" s="12" t="s">
        <v>86</v>
      </c>
      <c r="H532" s="12" t="s">
        <v>1051</v>
      </c>
      <c r="I532" s="12">
        <v>45.616245999999997</v>
      </c>
      <c r="J532" s="12">
        <v>-74.599430999999996</v>
      </c>
      <c r="K532" s="12" t="s">
        <v>41</v>
      </c>
      <c r="L532" s="12" t="s">
        <v>223</v>
      </c>
      <c r="M532" s="12" t="s">
        <v>1052</v>
      </c>
      <c r="N532" s="12">
        <v>0.59099999999999997</v>
      </c>
      <c r="O532" s="12" t="s">
        <v>59</v>
      </c>
      <c r="P532" s="12">
        <v>0.59099999999999997</v>
      </c>
      <c r="Q532" s="12" t="s">
        <v>59</v>
      </c>
    </row>
    <row r="533" spans="1:17" x14ac:dyDescent="0.35">
      <c r="A533" s="12">
        <v>45</v>
      </c>
      <c r="B533" s="12" t="s">
        <v>1040</v>
      </c>
      <c r="C533" s="12">
        <v>2023</v>
      </c>
      <c r="D533" s="12" t="s">
        <v>1041</v>
      </c>
      <c r="E533" s="12" t="s">
        <v>1042</v>
      </c>
      <c r="F533" s="12" t="s">
        <v>1043</v>
      </c>
      <c r="G533" s="12" t="s">
        <v>86</v>
      </c>
      <c r="H533" s="12" t="s">
        <v>1053</v>
      </c>
      <c r="I533" s="12">
        <v>45.627056000000003</v>
      </c>
      <c r="J533" s="12">
        <v>-74.685790999999995</v>
      </c>
      <c r="K533" s="12" t="s">
        <v>41</v>
      </c>
      <c r="L533" s="12" t="s">
        <v>223</v>
      </c>
      <c r="M533" s="12" t="s">
        <v>1054</v>
      </c>
      <c r="N533" s="12">
        <v>0.24299999999999999</v>
      </c>
      <c r="O533" s="12" t="s">
        <v>59</v>
      </c>
      <c r="P533" s="12">
        <v>0.24299999999999999</v>
      </c>
      <c r="Q533" s="12" t="s">
        <v>59</v>
      </c>
    </row>
    <row r="534" spans="1:17" x14ac:dyDescent="0.35">
      <c r="A534" s="12">
        <v>45</v>
      </c>
      <c r="B534" s="12" t="s">
        <v>1040</v>
      </c>
      <c r="C534" s="12">
        <v>2023</v>
      </c>
      <c r="D534" s="12" t="s">
        <v>1041</v>
      </c>
      <c r="E534" s="12" t="s">
        <v>1042</v>
      </c>
      <c r="F534" s="12" t="s">
        <v>1043</v>
      </c>
      <c r="G534" s="12" t="s">
        <v>86</v>
      </c>
      <c r="H534" s="12" t="s">
        <v>1055</v>
      </c>
      <c r="I534" s="12">
        <v>45.647691999999999</v>
      </c>
      <c r="J534" s="12">
        <v>-74.933706000000001</v>
      </c>
      <c r="K534" s="12" t="s">
        <v>41</v>
      </c>
      <c r="L534" s="12" t="s">
        <v>223</v>
      </c>
      <c r="M534" s="12" t="s">
        <v>1056</v>
      </c>
      <c r="N534" s="12">
        <v>0.441</v>
      </c>
      <c r="O534" s="12" t="s">
        <v>59</v>
      </c>
      <c r="P534" s="12">
        <v>0.441</v>
      </c>
      <c r="Q534" s="12" t="s">
        <v>59</v>
      </c>
    </row>
    <row r="535" spans="1:17" x14ac:dyDescent="0.35">
      <c r="A535" s="12">
        <v>45</v>
      </c>
      <c r="B535" s="12" t="s">
        <v>1040</v>
      </c>
      <c r="C535" s="12">
        <v>2023</v>
      </c>
      <c r="D535" s="12" t="s">
        <v>1041</v>
      </c>
      <c r="E535" s="12" t="s">
        <v>1042</v>
      </c>
      <c r="F535" s="12" t="s">
        <v>1043</v>
      </c>
      <c r="G535" s="12" t="s">
        <v>86</v>
      </c>
      <c r="H535" s="12" t="s">
        <v>1057</v>
      </c>
      <c r="I535" s="12">
        <v>45.579780999999997</v>
      </c>
      <c r="J535" s="12">
        <v>-75.247135</v>
      </c>
      <c r="K535" s="12" t="s">
        <v>41</v>
      </c>
      <c r="L535" s="12" t="s">
        <v>223</v>
      </c>
      <c r="M535" s="12" t="s">
        <v>1058</v>
      </c>
      <c r="N535" s="12">
        <v>0.17199999999999999</v>
      </c>
      <c r="O535" s="12" t="s">
        <v>59</v>
      </c>
      <c r="P535" s="12">
        <v>0.17199999999999999</v>
      </c>
      <c r="Q535" s="12" t="s">
        <v>59</v>
      </c>
    </row>
    <row r="536" spans="1:17" x14ac:dyDescent="0.35">
      <c r="A536" s="12">
        <v>45</v>
      </c>
      <c r="B536" s="12" t="s">
        <v>1040</v>
      </c>
      <c r="C536" s="12">
        <v>2023</v>
      </c>
      <c r="D536" s="12" t="s">
        <v>1041</v>
      </c>
      <c r="E536" s="12" t="s">
        <v>1042</v>
      </c>
      <c r="F536" s="12" t="s">
        <v>1043</v>
      </c>
      <c r="G536" s="12" t="s">
        <v>86</v>
      </c>
      <c r="H536" s="12" t="s">
        <v>1059</v>
      </c>
      <c r="I536" s="12">
        <v>45.501930999999999</v>
      </c>
      <c r="J536" s="12">
        <v>-75.486241000000007</v>
      </c>
      <c r="K536" s="12" t="s">
        <v>41</v>
      </c>
      <c r="L536" s="12" t="s">
        <v>223</v>
      </c>
      <c r="M536" s="12" t="s">
        <v>1060</v>
      </c>
      <c r="N536" s="12">
        <v>4.9550000000000001</v>
      </c>
      <c r="O536" s="12" t="s">
        <v>59</v>
      </c>
      <c r="P536" s="12">
        <v>4.9550000000000001</v>
      </c>
      <c r="Q536" s="12" t="s">
        <v>59</v>
      </c>
    </row>
    <row r="537" spans="1:17" x14ac:dyDescent="0.35">
      <c r="A537" s="12">
        <v>45</v>
      </c>
      <c r="B537" s="12" t="s">
        <v>1040</v>
      </c>
      <c r="C537" s="12">
        <v>2023</v>
      </c>
      <c r="D537" s="12" t="s">
        <v>1041</v>
      </c>
      <c r="E537" s="12" t="s">
        <v>1042</v>
      </c>
      <c r="F537" s="12" t="s">
        <v>1043</v>
      </c>
      <c r="G537" s="12" t="s">
        <v>86</v>
      </c>
      <c r="H537" s="12" t="s">
        <v>1061</v>
      </c>
      <c r="I537" s="12">
        <v>45.463479</v>
      </c>
      <c r="J537" s="12">
        <v>-75.625584000000003</v>
      </c>
      <c r="K537" s="12" t="s">
        <v>41</v>
      </c>
      <c r="L537" s="12" t="s">
        <v>223</v>
      </c>
      <c r="M537" s="12" t="s">
        <v>1062</v>
      </c>
      <c r="N537" s="12">
        <v>1.752</v>
      </c>
      <c r="O537" s="12" t="s">
        <v>59</v>
      </c>
      <c r="P537" s="12">
        <v>1.752</v>
      </c>
      <c r="Q537" s="12" t="s">
        <v>59</v>
      </c>
    </row>
    <row r="538" spans="1:17" x14ac:dyDescent="0.35">
      <c r="A538" s="12">
        <v>45</v>
      </c>
      <c r="B538" s="12" t="s">
        <v>1040</v>
      </c>
      <c r="C538" s="12">
        <v>2023</v>
      </c>
      <c r="D538" s="12" t="s">
        <v>1041</v>
      </c>
      <c r="E538" s="12" t="s">
        <v>1042</v>
      </c>
      <c r="F538" s="12" t="s">
        <v>1043</v>
      </c>
      <c r="G538" s="12" t="s">
        <v>86</v>
      </c>
      <c r="H538" s="12" t="s">
        <v>1063</v>
      </c>
      <c r="I538" s="12">
        <v>45.410069999999997</v>
      </c>
      <c r="J538" s="12">
        <v>-75.756495000000001</v>
      </c>
      <c r="K538" s="12" t="s">
        <v>41</v>
      </c>
      <c r="L538" s="12" t="s">
        <v>223</v>
      </c>
      <c r="M538" s="12" t="s">
        <v>1064</v>
      </c>
      <c r="N538" s="12">
        <v>0.76300000000000001</v>
      </c>
      <c r="O538" s="12" t="s">
        <v>59</v>
      </c>
      <c r="P538" s="12">
        <v>0.76300000000000001</v>
      </c>
      <c r="Q538" s="12" t="s">
        <v>59</v>
      </c>
    </row>
    <row r="539" spans="1:17" x14ac:dyDescent="0.35">
      <c r="A539" s="12">
        <v>45</v>
      </c>
      <c r="B539" s="12" t="s">
        <v>1040</v>
      </c>
      <c r="C539" s="12">
        <v>2023</v>
      </c>
      <c r="D539" s="12" t="s">
        <v>1041</v>
      </c>
      <c r="E539" s="12" t="s">
        <v>1042</v>
      </c>
      <c r="F539" s="12" t="s">
        <v>1043</v>
      </c>
      <c r="G539" s="12" t="s">
        <v>86</v>
      </c>
      <c r="H539" s="12" t="s">
        <v>1065</v>
      </c>
      <c r="I539" s="12">
        <v>45.413578000000001</v>
      </c>
      <c r="J539" s="12">
        <v>-75.728153000000006</v>
      </c>
      <c r="K539" s="12" t="s">
        <v>41</v>
      </c>
      <c r="L539" s="12" t="s">
        <v>223</v>
      </c>
      <c r="M539" s="12" t="s">
        <v>1066</v>
      </c>
      <c r="N539" s="12">
        <v>0.62</v>
      </c>
      <c r="O539" s="12" t="s">
        <v>59</v>
      </c>
      <c r="P539" s="12">
        <v>0.62</v>
      </c>
      <c r="Q539" s="12" t="s">
        <v>59</v>
      </c>
    </row>
    <row r="540" spans="1:17" x14ac:dyDescent="0.35">
      <c r="A540" s="12">
        <v>45</v>
      </c>
      <c r="B540" s="12" t="s">
        <v>1040</v>
      </c>
      <c r="C540" s="12">
        <v>2023</v>
      </c>
      <c r="D540" s="12" t="s">
        <v>1041</v>
      </c>
      <c r="E540" s="12" t="s">
        <v>1042</v>
      </c>
      <c r="F540" s="12" t="s">
        <v>1043</v>
      </c>
      <c r="G540" s="12" t="s">
        <v>86</v>
      </c>
      <c r="H540" s="12" t="s">
        <v>1067</v>
      </c>
      <c r="I540" s="12">
        <v>45.415747000000003</v>
      </c>
      <c r="J540" s="12">
        <v>-75.711150000000004</v>
      </c>
      <c r="K540" s="12" t="s">
        <v>41</v>
      </c>
      <c r="L540" s="12" t="s">
        <v>223</v>
      </c>
      <c r="M540" s="12" t="s">
        <v>1068</v>
      </c>
      <c r="N540" s="12">
        <v>0.42899999999999999</v>
      </c>
      <c r="O540" s="12" t="s">
        <v>59</v>
      </c>
      <c r="P540" s="12">
        <v>0.42899999999999999</v>
      </c>
      <c r="Q540" s="12" t="s">
        <v>59</v>
      </c>
    </row>
    <row r="541" spans="1:17" x14ac:dyDescent="0.35">
      <c r="A541" s="12">
        <v>45</v>
      </c>
      <c r="B541" s="12" t="s">
        <v>1040</v>
      </c>
      <c r="C541" s="12">
        <v>2023</v>
      </c>
      <c r="D541" s="12" t="s">
        <v>1041</v>
      </c>
      <c r="E541" s="12" t="s">
        <v>1042</v>
      </c>
      <c r="F541" s="12" t="s">
        <v>1043</v>
      </c>
      <c r="G541" s="12" t="s">
        <v>86</v>
      </c>
      <c r="H541" s="12" t="s">
        <v>1069</v>
      </c>
      <c r="I541" s="12">
        <v>45.380485</v>
      </c>
      <c r="J541" s="12">
        <v>-75.800280999999998</v>
      </c>
      <c r="K541" s="12" t="s">
        <v>41</v>
      </c>
      <c r="L541" s="12" t="s">
        <v>223</v>
      </c>
      <c r="M541" s="12" t="s">
        <v>1070</v>
      </c>
      <c r="N541" s="12">
        <v>0.34300000000000003</v>
      </c>
      <c r="O541" s="12" t="s">
        <v>59</v>
      </c>
      <c r="P541" s="12">
        <v>0.34300000000000003</v>
      </c>
      <c r="Q541" s="12" t="s">
        <v>59</v>
      </c>
    </row>
    <row r="542" spans="1:17" x14ac:dyDescent="0.35">
      <c r="A542" s="12">
        <v>45</v>
      </c>
      <c r="B542" s="12" t="s">
        <v>1040</v>
      </c>
      <c r="C542" s="12">
        <v>2023</v>
      </c>
      <c r="D542" s="12" t="s">
        <v>1041</v>
      </c>
      <c r="E542" s="12" t="s">
        <v>1042</v>
      </c>
      <c r="F542" s="12" t="s">
        <v>1043</v>
      </c>
      <c r="G542" s="12" t="s">
        <v>86</v>
      </c>
      <c r="H542" s="12" t="s">
        <v>1071</v>
      </c>
      <c r="I542" s="12">
        <v>45.374682</v>
      </c>
      <c r="J542" s="12">
        <v>-75.796942999999999</v>
      </c>
      <c r="K542" s="12" t="s">
        <v>41</v>
      </c>
      <c r="L542" s="12" t="s">
        <v>223</v>
      </c>
      <c r="M542" s="12" t="s">
        <v>1072</v>
      </c>
      <c r="N542" s="12">
        <v>0.53</v>
      </c>
      <c r="O542" s="12" t="s">
        <v>59</v>
      </c>
      <c r="P542" s="12">
        <v>0.53</v>
      </c>
      <c r="Q542" s="12" t="s">
        <v>59</v>
      </c>
    </row>
    <row r="543" spans="1:17" x14ac:dyDescent="0.35">
      <c r="A543" s="12">
        <v>45</v>
      </c>
      <c r="B543" s="12" t="s">
        <v>1040</v>
      </c>
      <c r="C543" s="12">
        <v>2023</v>
      </c>
      <c r="D543" s="12" t="s">
        <v>1041</v>
      </c>
      <c r="E543" s="12" t="s">
        <v>1042</v>
      </c>
      <c r="F543" s="12" t="s">
        <v>1043</v>
      </c>
      <c r="G543" s="12" t="s">
        <v>86</v>
      </c>
      <c r="H543" s="12" t="s">
        <v>1073</v>
      </c>
      <c r="I543" s="12">
        <v>45.366315999999998</v>
      </c>
      <c r="J543" s="12">
        <v>-75.883103000000006</v>
      </c>
      <c r="K543" s="12" t="s">
        <v>41</v>
      </c>
      <c r="L543" s="12" t="s">
        <v>223</v>
      </c>
      <c r="M543" s="12" t="s">
        <v>1074</v>
      </c>
      <c r="N543" s="12">
        <v>0.93700000000000006</v>
      </c>
      <c r="O543" s="12" t="s">
        <v>59</v>
      </c>
      <c r="P543" s="12">
        <v>0.93700000000000006</v>
      </c>
      <c r="Q543" s="12" t="s">
        <v>59</v>
      </c>
    </row>
    <row r="544" spans="1:17" x14ac:dyDescent="0.35">
      <c r="A544" s="12">
        <v>45</v>
      </c>
      <c r="B544" s="12" t="s">
        <v>1040</v>
      </c>
      <c r="C544" s="12">
        <v>2023</v>
      </c>
      <c r="D544" s="12" t="s">
        <v>1041</v>
      </c>
      <c r="E544" s="12" t="s">
        <v>1042</v>
      </c>
      <c r="F544" s="12" t="s">
        <v>1043</v>
      </c>
      <c r="G544" s="12" t="s">
        <v>86</v>
      </c>
      <c r="H544" s="12" t="s">
        <v>1075</v>
      </c>
      <c r="I544" s="12">
        <v>45.499066999999997</v>
      </c>
      <c r="J544" s="12">
        <v>-76.075456000000003</v>
      </c>
      <c r="K544" s="12" t="s">
        <v>41</v>
      </c>
      <c r="L544" s="12" t="s">
        <v>223</v>
      </c>
      <c r="M544" s="12" t="s">
        <v>1076</v>
      </c>
      <c r="N544" s="12">
        <v>0.21</v>
      </c>
      <c r="O544" s="12" t="s">
        <v>59</v>
      </c>
      <c r="P544" s="12">
        <v>0.21</v>
      </c>
      <c r="Q544" s="12" t="s">
        <v>59</v>
      </c>
    </row>
    <row r="545" spans="1:17" x14ac:dyDescent="0.35">
      <c r="A545" s="12">
        <v>45</v>
      </c>
      <c r="B545" s="12" t="s">
        <v>1040</v>
      </c>
      <c r="C545" s="12">
        <v>2023</v>
      </c>
      <c r="D545" s="12" t="s">
        <v>1041</v>
      </c>
      <c r="E545" s="12" t="s">
        <v>1042</v>
      </c>
      <c r="F545" s="12" t="s">
        <v>1043</v>
      </c>
      <c r="G545" s="12" t="s">
        <v>86</v>
      </c>
      <c r="H545" s="12" t="s">
        <v>1077</v>
      </c>
      <c r="I545" s="12">
        <v>45.443967999999998</v>
      </c>
      <c r="J545" s="12">
        <v>-76.350125000000006</v>
      </c>
      <c r="K545" s="12" t="s">
        <v>41</v>
      </c>
      <c r="L545" s="12" t="s">
        <v>223</v>
      </c>
      <c r="M545" s="12" t="s">
        <v>1078</v>
      </c>
      <c r="N545" s="12">
        <v>1.02</v>
      </c>
      <c r="O545" s="12" t="s">
        <v>59</v>
      </c>
      <c r="P545" s="12">
        <v>1.02</v>
      </c>
      <c r="Q545" s="12" t="s">
        <v>59</v>
      </c>
    </row>
    <row r="546" spans="1:17" x14ac:dyDescent="0.35">
      <c r="A546" s="12">
        <v>45</v>
      </c>
      <c r="B546" s="12" t="s">
        <v>1040</v>
      </c>
      <c r="C546" s="12">
        <v>2023</v>
      </c>
      <c r="D546" s="12" t="s">
        <v>1041</v>
      </c>
      <c r="E546" s="12" t="s">
        <v>1042</v>
      </c>
      <c r="F546" s="12" t="s">
        <v>1043</v>
      </c>
      <c r="G546" s="12" t="s">
        <v>86</v>
      </c>
      <c r="H546" s="12" t="s">
        <v>1079</v>
      </c>
      <c r="I546" s="12">
        <v>45.516170000000002</v>
      </c>
      <c r="J546" s="12">
        <v>-76.227959999999996</v>
      </c>
      <c r="K546" s="12" t="s">
        <v>41</v>
      </c>
      <c r="L546" s="12" t="s">
        <v>223</v>
      </c>
      <c r="M546" s="12" t="s">
        <v>1080</v>
      </c>
      <c r="N546" s="12">
        <v>0.61299999999999999</v>
      </c>
      <c r="O546" s="12" t="s">
        <v>59</v>
      </c>
      <c r="P546" s="12">
        <v>0.61299999999999999</v>
      </c>
      <c r="Q546" s="12" t="s">
        <v>59</v>
      </c>
    </row>
    <row r="547" spans="1:17" x14ac:dyDescent="0.35">
      <c r="A547" s="12">
        <v>45</v>
      </c>
      <c r="B547" s="12" t="s">
        <v>1040</v>
      </c>
      <c r="C547" s="12">
        <v>2023</v>
      </c>
      <c r="D547" s="12" t="s">
        <v>1041</v>
      </c>
      <c r="E547" s="12" t="s">
        <v>1042</v>
      </c>
      <c r="F547" s="12" t="s">
        <v>1043</v>
      </c>
      <c r="G547" s="12" t="s">
        <v>86</v>
      </c>
      <c r="H547" s="12" t="s">
        <v>1081</v>
      </c>
      <c r="I547" s="12">
        <v>45.517659999999999</v>
      </c>
      <c r="J547" s="12">
        <v>-76.427589999999995</v>
      </c>
      <c r="K547" s="12" t="s">
        <v>41</v>
      </c>
      <c r="L547" s="12" t="s">
        <v>223</v>
      </c>
      <c r="M547" s="12" t="s">
        <v>1082</v>
      </c>
      <c r="N547" s="12">
        <v>0.38500000000000001</v>
      </c>
      <c r="O547" s="12" t="s">
        <v>59</v>
      </c>
      <c r="P547" s="12">
        <v>0.38500000000000001</v>
      </c>
      <c r="Q547" s="12" t="s">
        <v>59</v>
      </c>
    </row>
    <row r="548" spans="1:17" x14ac:dyDescent="0.35">
      <c r="A548" s="12">
        <v>45</v>
      </c>
      <c r="B548" s="12" t="s">
        <v>1040</v>
      </c>
      <c r="C548" s="12">
        <v>2023</v>
      </c>
      <c r="D548" s="12" t="s">
        <v>1041</v>
      </c>
      <c r="E548" s="12" t="s">
        <v>1042</v>
      </c>
      <c r="F548" s="12" t="s">
        <v>1043</v>
      </c>
      <c r="G548" s="12" t="s">
        <v>86</v>
      </c>
      <c r="H548" s="12" t="s">
        <v>1083</v>
      </c>
      <c r="I548" s="12">
        <v>45.592709999999997</v>
      </c>
      <c r="J548" s="12">
        <v>-76.669020000000003</v>
      </c>
      <c r="K548" s="12" t="s">
        <v>41</v>
      </c>
      <c r="L548" s="12" t="s">
        <v>223</v>
      </c>
      <c r="M548" s="12" t="s">
        <v>1084</v>
      </c>
      <c r="N548" s="12">
        <v>0.31900000000000001</v>
      </c>
      <c r="O548" s="12" t="s">
        <v>59</v>
      </c>
      <c r="P548" s="12">
        <v>0.31900000000000001</v>
      </c>
      <c r="Q548" s="12" t="s">
        <v>59</v>
      </c>
    </row>
    <row r="549" spans="1:17" x14ac:dyDescent="0.35">
      <c r="A549" s="12">
        <v>45</v>
      </c>
      <c r="B549" s="12" t="s">
        <v>1040</v>
      </c>
      <c r="C549" s="12">
        <v>2023</v>
      </c>
      <c r="D549" s="12" t="s">
        <v>1041</v>
      </c>
      <c r="E549" s="12" t="s">
        <v>1042</v>
      </c>
      <c r="F549" s="12" t="s">
        <v>1043</v>
      </c>
      <c r="G549" s="12" t="s">
        <v>86</v>
      </c>
      <c r="H549" s="12" t="s">
        <v>1085</v>
      </c>
      <c r="I549" s="12">
        <v>45.797460000000001</v>
      </c>
      <c r="J549" s="12">
        <v>-77.019829999999999</v>
      </c>
      <c r="K549" s="12" t="s">
        <v>41</v>
      </c>
      <c r="L549" s="12" t="s">
        <v>223</v>
      </c>
      <c r="M549" s="12" t="s">
        <v>1086</v>
      </c>
      <c r="N549" s="12">
        <v>0.30099999999999999</v>
      </c>
      <c r="O549" s="12" t="s">
        <v>59</v>
      </c>
      <c r="P549" s="12">
        <v>0.30099999999999999</v>
      </c>
      <c r="Q549" s="12" t="s">
        <v>59</v>
      </c>
    </row>
    <row r="550" spans="1:17" x14ac:dyDescent="0.35">
      <c r="A550" s="12">
        <v>45</v>
      </c>
      <c r="B550" s="12" t="s">
        <v>1040</v>
      </c>
      <c r="C550" s="12">
        <v>2023</v>
      </c>
      <c r="D550" s="12" t="s">
        <v>1041</v>
      </c>
      <c r="E550" s="12" t="s">
        <v>1042</v>
      </c>
      <c r="F550" s="12" t="s">
        <v>1043</v>
      </c>
      <c r="G550" s="12" t="s">
        <v>86</v>
      </c>
      <c r="H550" s="12" t="s">
        <v>1087</v>
      </c>
      <c r="I550" s="12">
        <v>45.828580000000002</v>
      </c>
      <c r="J550" s="12">
        <v>-77.118229999999997</v>
      </c>
      <c r="K550" s="12" t="s">
        <v>41</v>
      </c>
      <c r="L550" s="12" t="s">
        <v>223</v>
      </c>
      <c r="M550" s="12" t="s">
        <v>1088</v>
      </c>
      <c r="N550" s="12">
        <v>0.44700000000000001</v>
      </c>
      <c r="O550" s="12" t="s">
        <v>59</v>
      </c>
      <c r="P550" s="12">
        <v>0.44700000000000001</v>
      </c>
      <c r="Q550" s="12" t="s">
        <v>59</v>
      </c>
    </row>
    <row r="551" spans="1:17" x14ac:dyDescent="0.35">
      <c r="A551" s="12">
        <v>45</v>
      </c>
      <c r="B551" s="12" t="s">
        <v>1040</v>
      </c>
      <c r="C551" s="12">
        <v>2023</v>
      </c>
      <c r="D551" s="12" t="s">
        <v>1041</v>
      </c>
      <c r="E551" s="12" t="s">
        <v>1042</v>
      </c>
      <c r="F551" s="12" t="s">
        <v>1043</v>
      </c>
      <c r="G551" s="12" t="s">
        <v>86</v>
      </c>
      <c r="H551" s="12" t="s">
        <v>1089</v>
      </c>
      <c r="I551" s="12">
        <v>45.830559000000001</v>
      </c>
      <c r="J551" s="12">
        <v>-77.131353000000004</v>
      </c>
      <c r="K551" s="12" t="s">
        <v>41</v>
      </c>
      <c r="L551" s="12" t="s">
        <v>223</v>
      </c>
      <c r="M551" s="12" t="s">
        <v>1090</v>
      </c>
      <c r="N551" s="12">
        <v>9.1999999999999998E-2</v>
      </c>
      <c r="O551" s="12" t="s">
        <v>59</v>
      </c>
      <c r="P551" s="12">
        <v>9.1999999999999998E-2</v>
      </c>
      <c r="Q551" s="12" t="s">
        <v>59</v>
      </c>
    </row>
    <row r="552" spans="1:17" x14ac:dyDescent="0.35">
      <c r="A552" s="12">
        <v>45</v>
      </c>
      <c r="B552" s="12" t="s">
        <v>1040</v>
      </c>
      <c r="C552" s="12">
        <v>2023</v>
      </c>
      <c r="D552" s="12" t="s">
        <v>1041</v>
      </c>
      <c r="E552" s="12" t="s">
        <v>1042</v>
      </c>
      <c r="F552" s="12" t="s">
        <v>1043</v>
      </c>
      <c r="G552" s="12" t="s">
        <v>86</v>
      </c>
      <c r="H552" s="12" t="s">
        <v>1091</v>
      </c>
      <c r="I552" s="12">
        <v>45.910203000000003</v>
      </c>
      <c r="J552" s="12">
        <v>-77.251239999999996</v>
      </c>
      <c r="K552" s="12" t="s">
        <v>41</v>
      </c>
      <c r="L552" s="12" t="s">
        <v>223</v>
      </c>
      <c r="M552" s="12" t="s">
        <v>1092</v>
      </c>
      <c r="N552" s="12">
        <v>0.245</v>
      </c>
      <c r="O552" s="12" t="s">
        <v>59</v>
      </c>
      <c r="P552" s="12">
        <v>0.245</v>
      </c>
      <c r="Q552" s="12" t="s">
        <v>59</v>
      </c>
    </row>
    <row r="553" spans="1:17" x14ac:dyDescent="0.35">
      <c r="A553" s="12">
        <v>45</v>
      </c>
      <c r="B553" s="12" t="s">
        <v>1040</v>
      </c>
      <c r="C553" s="12">
        <v>2023</v>
      </c>
      <c r="D553" s="12" t="s">
        <v>1041</v>
      </c>
      <c r="E553" s="12" t="s">
        <v>1042</v>
      </c>
      <c r="F553" s="12" t="s">
        <v>1043</v>
      </c>
      <c r="G553" s="12" t="s">
        <v>86</v>
      </c>
      <c r="H553" s="12" t="s">
        <v>1093</v>
      </c>
      <c r="I553" s="12">
        <v>46.103299</v>
      </c>
      <c r="J553" s="12">
        <v>-77.479663000000002</v>
      </c>
      <c r="K553" s="12" t="s">
        <v>41</v>
      </c>
      <c r="L553" s="12" t="s">
        <v>223</v>
      </c>
      <c r="M553" s="12" t="s">
        <v>1094</v>
      </c>
      <c r="N553" s="12">
        <v>0.77200000000000002</v>
      </c>
      <c r="O553" s="12" t="s">
        <v>59</v>
      </c>
      <c r="P553" s="12">
        <v>0.77200000000000002</v>
      </c>
      <c r="Q553" s="12" t="s">
        <v>59</v>
      </c>
    </row>
    <row r="554" spans="1:17" x14ac:dyDescent="0.35">
      <c r="A554" s="12">
        <v>45</v>
      </c>
      <c r="B554" s="12" t="s">
        <v>1040</v>
      </c>
      <c r="C554" s="12">
        <v>2023</v>
      </c>
      <c r="D554" s="12" t="s">
        <v>1041</v>
      </c>
      <c r="E554" s="12" t="s">
        <v>1042</v>
      </c>
      <c r="F554" s="12" t="s">
        <v>1043</v>
      </c>
      <c r="G554" s="12" t="s">
        <v>86</v>
      </c>
      <c r="H554" s="12" t="s">
        <v>1095</v>
      </c>
      <c r="I554" s="12">
        <v>46.200719999999997</v>
      </c>
      <c r="J554" s="12">
        <v>-77.684855999999996</v>
      </c>
      <c r="K554" s="12" t="s">
        <v>41</v>
      </c>
      <c r="L554" s="12" t="s">
        <v>223</v>
      </c>
      <c r="M554" s="12" t="s">
        <v>1096</v>
      </c>
      <c r="N554" s="12">
        <v>0.46100000000000002</v>
      </c>
      <c r="O554" s="12" t="s">
        <v>59</v>
      </c>
      <c r="P554" s="12">
        <v>0.46100000000000002</v>
      </c>
      <c r="Q554" s="12" t="s">
        <v>59</v>
      </c>
    </row>
    <row r="555" spans="1:17" x14ac:dyDescent="0.35">
      <c r="A555" s="12">
        <v>45</v>
      </c>
      <c r="B555" s="12" t="s">
        <v>1040</v>
      </c>
      <c r="C555" s="12">
        <v>2023</v>
      </c>
      <c r="D555" s="12" t="s">
        <v>1041</v>
      </c>
      <c r="E555" s="12" t="s">
        <v>1042</v>
      </c>
      <c r="F555" s="12" t="s">
        <v>1043</v>
      </c>
      <c r="G555" s="12" t="s">
        <v>86</v>
      </c>
      <c r="H555" s="12" t="s">
        <v>1097</v>
      </c>
      <c r="I555" s="12">
        <v>46.253129000000001</v>
      </c>
      <c r="J555" s="12">
        <v>-78.28716</v>
      </c>
      <c r="K555" s="12" t="s">
        <v>41</v>
      </c>
      <c r="L555" s="12" t="s">
        <v>223</v>
      </c>
      <c r="M555" s="12" t="s">
        <v>1098</v>
      </c>
      <c r="N555" s="12">
        <v>1.0369999999999999</v>
      </c>
      <c r="O555" s="12" t="s">
        <v>59</v>
      </c>
      <c r="P555" s="12">
        <v>1.0369999999999999</v>
      </c>
      <c r="Q555" s="12" t="s">
        <v>59</v>
      </c>
    </row>
    <row r="556" spans="1:17" x14ac:dyDescent="0.35">
      <c r="A556" s="12">
        <v>45</v>
      </c>
      <c r="B556" s="12" t="s">
        <v>1040</v>
      </c>
      <c r="C556" s="12">
        <v>2023</v>
      </c>
      <c r="D556" s="12" t="s">
        <v>1041</v>
      </c>
      <c r="E556" s="12" t="s">
        <v>1042</v>
      </c>
      <c r="F556" s="12" t="s">
        <v>1043</v>
      </c>
      <c r="G556" s="12" t="s">
        <v>86</v>
      </c>
      <c r="H556" s="12" t="s">
        <v>1099</v>
      </c>
      <c r="I556" s="12">
        <v>46.291888</v>
      </c>
      <c r="J556" s="12">
        <v>-78.492496000000003</v>
      </c>
      <c r="K556" s="12" t="s">
        <v>41</v>
      </c>
      <c r="L556" s="12" t="s">
        <v>223</v>
      </c>
      <c r="M556" s="12" t="s">
        <v>1100</v>
      </c>
      <c r="N556" s="12">
        <v>0.32</v>
      </c>
      <c r="O556" s="12" t="s">
        <v>59</v>
      </c>
      <c r="P556" s="12">
        <v>0.32</v>
      </c>
      <c r="Q556" s="12" t="s">
        <v>59</v>
      </c>
    </row>
    <row r="557" spans="1:17" x14ac:dyDescent="0.35">
      <c r="A557" s="12">
        <v>45</v>
      </c>
      <c r="B557" s="12" t="s">
        <v>1040</v>
      </c>
      <c r="C557" s="12">
        <v>2023</v>
      </c>
      <c r="D557" s="12" t="s">
        <v>1041</v>
      </c>
      <c r="E557" s="12" t="s">
        <v>1042</v>
      </c>
      <c r="F557" s="12" t="s">
        <v>1043</v>
      </c>
      <c r="G557" s="12" t="s">
        <v>86</v>
      </c>
      <c r="H557" s="12" t="s">
        <v>1101</v>
      </c>
      <c r="I557" s="12">
        <v>46.320824000000002</v>
      </c>
      <c r="J557" s="12">
        <v>-78.708844999999997</v>
      </c>
      <c r="K557" s="12" t="s">
        <v>41</v>
      </c>
      <c r="L557" s="12" t="s">
        <v>223</v>
      </c>
      <c r="M557" s="12" t="s">
        <v>1102</v>
      </c>
      <c r="N557" s="12">
        <v>0.309</v>
      </c>
      <c r="O557" s="12" t="s">
        <v>59</v>
      </c>
      <c r="P557" s="12">
        <v>0.309</v>
      </c>
      <c r="Q557" s="12" t="s">
        <v>59</v>
      </c>
    </row>
    <row r="558" spans="1:17" x14ac:dyDescent="0.35">
      <c r="A558" s="12">
        <v>45</v>
      </c>
      <c r="B558" s="12" t="s">
        <v>1040</v>
      </c>
      <c r="C558" s="12">
        <v>2023</v>
      </c>
      <c r="D558" s="12" t="s">
        <v>1041</v>
      </c>
      <c r="E558" s="12" t="s">
        <v>1042</v>
      </c>
      <c r="F558" s="12" t="s">
        <v>1043</v>
      </c>
      <c r="G558" s="12" t="s">
        <v>86</v>
      </c>
      <c r="H558" s="12" t="s">
        <v>1103</v>
      </c>
      <c r="I558" s="12">
        <v>46.716554000000002</v>
      </c>
      <c r="J558" s="12">
        <v>-79.103260000000006</v>
      </c>
      <c r="K558" s="12" t="s">
        <v>41</v>
      </c>
      <c r="L558" s="12" t="s">
        <v>223</v>
      </c>
      <c r="M558" s="12" t="s">
        <v>1104</v>
      </c>
      <c r="N558" s="12">
        <v>0.89400000000000002</v>
      </c>
      <c r="O558" s="12" t="s">
        <v>59</v>
      </c>
      <c r="P558" s="12">
        <v>0.89400000000000002</v>
      </c>
      <c r="Q558" s="12" t="s">
        <v>59</v>
      </c>
    </row>
    <row r="559" spans="1:17" x14ac:dyDescent="0.35">
      <c r="A559" s="12">
        <v>45</v>
      </c>
      <c r="B559" s="12" t="s">
        <v>1040</v>
      </c>
      <c r="C559" s="12">
        <v>2023</v>
      </c>
      <c r="D559" s="12" t="s">
        <v>1041</v>
      </c>
      <c r="E559" s="12" t="s">
        <v>1042</v>
      </c>
      <c r="F559" s="12" t="s">
        <v>1043</v>
      </c>
      <c r="G559" s="12" t="s">
        <v>86</v>
      </c>
      <c r="H559" s="12" t="s">
        <v>1105</v>
      </c>
      <c r="I559" s="12">
        <v>46.831083999999997</v>
      </c>
      <c r="J559" s="12">
        <v>-79.192126999999999</v>
      </c>
      <c r="K559" s="12" t="s">
        <v>41</v>
      </c>
      <c r="L559" s="12" t="s">
        <v>223</v>
      </c>
      <c r="M559" s="12" t="s">
        <v>1106</v>
      </c>
      <c r="N559" s="12">
        <v>0.47799999999999998</v>
      </c>
      <c r="O559" s="12" t="s">
        <v>59</v>
      </c>
      <c r="P559" s="12">
        <v>0.47799999999999998</v>
      </c>
      <c r="Q559" s="12" t="s">
        <v>59</v>
      </c>
    </row>
    <row r="560" spans="1:17" x14ac:dyDescent="0.35">
      <c r="A560" s="12">
        <v>45</v>
      </c>
      <c r="B560" s="12" t="s">
        <v>1040</v>
      </c>
      <c r="C560" s="12">
        <v>2023</v>
      </c>
      <c r="D560" s="12" t="s">
        <v>1041</v>
      </c>
      <c r="E560" s="12" t="s">
        <v>1042</v>
      </c>
      <c r="F560" s="12" t="s">
        <v>1043</v>
      </c>
      <c r="G560" s="12" t="s">
        <v>86</v>
      </c>
      <c r="H560" s="12" t="s">
        <v>1107</v>
      </c>
      <c r="I560" s="12">
        <v>47.290115999999998</v>
      </c>
      <c r="J560" s="12">
        <v>-79.455287999999996</v>
      </c>
      <c r="K560" s="12" t="s">
        <v>41</v>
      </c>
      <c r="L560" s="12" t="s">
        <v>223</v>
      </c>
      <c r="M560" s="12" t="s">
        <v>1108</v>
      </c>
      <c r="N560" s="12">
        <v>0.36099999999999999</v>
      </c>
      <c r="O560" s="12" t="s">
        <v>59</v>
      </c>
      <c r="P560" s="12">
        <v>0.36099999999999999</v>
      </c>
      <c r="Q560" s="12" t="s">
        <v>59</v>
      </c>
    </row>
    <row r="561" spans="1:17" x14ac:dyDescent="0.35">
      <c r="A561" s="12">
        <v>45</v>
      </c>
      <c r="B561" s="12" t="s">
        <v>1040</v>
      </c>
      <c r="C561" s="12">
        <v>2023</v>
      </c>
      <c r="D561" s="12" t="s">
        <v>1041</v>
      </c>
      <c r="E561" s="12" t="s">
        <v>1042</v>
      </c>
      <c r="F561" s="12" t="s">
        <v>1043</v>
      </c>
      <c r="G561" s="12" t="s">
        <v>86</v>
      </c>
      <c r="H561" s="12" t="s">
        <v>1109</v>
      </c>
      <c r="I561" s="12">
        <v>47.376658999999997</v>
      </c>
      <c r="J561" s="12">
        <v>-79.481628000000001</v>
      </c>
      <c r="K561" s="12" t="s">
        <v>41</v>
      </c>
      <c r="L561" s="12" t="s">
        <v>223</v>
      </c>
      <c r="M561" s="12" t="s">
        <v>1110</v>
      </c>
      <c r="N561" s="12">
        <v>0.46899999999999997</v>
      </c>
      <c r="O561" s="12" t="s">
        <v>59</v>
      </c>
      <c r="P561" s="12">
        <v>0.46899999999999997</v>
      </c>
      <c r="Q561" s="12" t="s">
        <v>59</v>
      </c>
    </row>
    <row r="562" spans="1:17" x14ac:dyDescent="0.35">
      <c r="A562" s="12">
        <v>45</v>
      </c>
      <c r="B562" s="12" t="s">
        <v>1040</v>
      </c>
      <c r="C562" s="12">
        <v>2023</v>
      </c>
      <c r="D562" s="12" t="s">
        <v>1041</v>
      </c>
      <c r="E562" s="12" t="s">
        <v>1042</v>
      </c>
      <c r="F562" s="12" t="s">
        <v>1043</v>
      </c>
      <c r="G562" s="12" t="s">
        <v>86</v>
      </c>
      <c r="H562" s="12" t="s">
        <v>1111</v>
      </c>
      <c r="I562" s="12">
        <v>47.416871</v>
      </c>
      <c r="J562" s="12">
        <v>-79.602834999999999</v>
      </c>
      <c r="K562" s="12" t="s">
        <v>41</v>
      </c>
      <c r="L562" s="12" t="s">
        <v>223</v>
      </c>
      <c r="M562" s="12" t="s">
        <v>1112</v>
      </c>
      <c r="N562" s="12">
        <v>7.0999999999999994E-2</v>
      </c>
      <c r="O562" s="12" t="s">
        <v>59</v>
      </c>
      <c r="P562" s="12">
        <v>7.0999999999999994E-2</v>
      </c>
      <c r="Q562" s="12" t="s">
        <v>59</v>
      </c>
    </row>
    <row r="563" spans="1:17" x14ac:dyDescent="0.35">
      <c r="A563" s="12">
        <v>45</v>
      </c>
      <c r="B563" s="12" t="s">
        <v>1040</v>
      </c>
      <c r="C563" s="12">
        <v>2023</v>
      </c>
      <c r="D563" s="12" t="s">
        <v>1041</v>
      </c>
      <c r="E563" s="12" t="s">
        <v>1042</v>
      </c>
      <c r="F563" s="12" t="s">
        <v>1043</v>
      </c>
      <c r="G563" s="12" t="s">
        <v>86</v>
      </c>
      <c r="H563" s="12" t="s">
        <v>1113</v>
      </c>
      <c r="I563" s="12">
        <v>47.447474999999997</v>
      </c>
      <c r="J563" s="12">
        <v>-79.630011999999994</v>
      </c>
      <c r="K563" s="12" t="s">
        <v>41</v>
      </c>
      <c r="L563" s="12" t="s">
        <v>223</v>
      </c>
      <c r="M563" s="12" t="s">
        <v>1114</v>
      </c>
      <c r="N563" s="12">
        <v>0.251</v>
      </c>
      <c r="O563" s="12" t="s">
        <v>59</v>
      </c>
      <c r="P563" s="12">
        <v>0.251</v>
      </c>
      <c r="Q563" s="12" t="s">
        <v>59</v>
      </c>
    </row>
    <row r="564" spans="1:17" x14ac:dyDescent="0.35">
      <c r="A564" s="12">
        <v>45</v>
      </c>
      <c r="B564" s="12" t="s">
        <v>1040</v>
      </c>
      <c r="C564" s="12">
        <v>2023</v>
      </c>
      <c r="D564" s="12" t="s">
        <v>1041</v>
      </c>
      <c r="E564" s="12" t="s">
        <v>1042</v>
      </c>
      <c r="F564" s="12" t="s">
        <v>1043</v>
      </c>
      <c r="G564" s="12" t="s">
        <v>86</v>
      </c>
      <c r="H564" s="12" t="s">
        <v>1115</v>
      </c>
      <c r="I564" s="12">
        <v>47.499735000000001</v>
      </c>
      <c r="J564" s="12">
        <v>-79.677190999999993</v>
      </c>
      <c r="K564" s="12" t="s">
        <v>41</v>
      </c>
      <c r="L564" s="12" t="s">
        <v>223</v>
      </c>
      <c r="M564" s="12" t="s">
        <v>1116</v>
      </c>
      <c r="N564" s="12">
        <v>0.78300000000000003</v>
      </c>
      <c r="O564" s="12" t="s">
        <v>59</v>
      </c>
      <c r="P564" s="12">
        <v>0.78300000000000003</v>
      </c>
      <c r="Q564" s="12" t="s">
        <v>59</v>
      </c>
    </row>
    <row r="565" spans="1:17" x14ac:dyDescent="0.35">
      <c r="A565" s="12">
        <v>45</v>
      </c>
      <c r="B565" s="12" t="s">
        <v>1040</v>
      </c>
      <c r="C565" s="12">
        <v>2023</v>
      </c>
      <c r="D565" s="12" t="s">
        <v>1041</v>
      </c>
      <c r="E565" s="12" t="s">
        <v>1042</v>
      </c>
      <c r="F565" s="12" t="s">
        <v>1043</v>
      </c>
      <c r="G565" s="12" t="s">
        <v>86</v>
      </c>
      <c r="H565" s="12" t="s">
        <v>1117</v>
      </c>
      <c r="I565" s="12">
        <v>47.506272000000003</v>
      </c>
      <c r="J565" s="12">
        <v>-79.669675999999995</v>
      </c>
      <c r="K565" s="12" t="s">
        <v>41</v>
      </c>
      <c r="L565" s="12" t="s">
        <v>223</v>
      </c>
      <c r="M565" s="12" t="s">
        <v>1118</v>
      </c>
      <c r="N565" s="12">
        <v>0.184</v>
      </c>
      <c r="O565" s="12" t="s">
        <v>59</v>
      </c>
      <c r="P565" s="12">
        <v>0.184</v>
      </c>
      <c r="Q565" s="12" t="s">
        <v>59</v>
      </c>
    </row>
    <row r="566" spans="1:17" x14ac:dyDescent="0.35">
      <c r="A566" s="12">
        <v>45</v>
      </c>
      <c r="B566" s="12" t="s">
        <v>1040</v>
      </c>
      <c r="C566" s="12">
        <v>2023</v>
      </c>
      <c r="D566" s="12" t="s">
        <v>1041</v>
      </c>
      <c r="E566" s="12" t="s">
        <v>1042</v>
      </c>
      <c r="F566" s="12" t="s">
        <v>1043</v>
      </c>
      <c r="G566" s="12" t="s">
        <v>86</v>
      </c>
      <c r="H566" s="12" t="s">
        <v>1119</v>
      </c>
      <c r="I566" s="12">
        <v>47.591864999999999</v>
      </c>
      <c r="J566" s="12">
        <v>-79.483677999999998</v>
      </c>
      <c r="K566" s="12" t="s">
        <v>41</v>
      </c>
      <c r="L566" s="12" t="s">
        <v>223</v>
      </c>
      <c r="M566" s="12" t="s">
        <v>1120</v>
      </c>
      <c r="N566" s="12">
        <v>0.46</v>
      </c>
      <c r="O566" s="12" t="s">
        <v>59</v>
      </c>
      <c r="P566" s="12">
        <v>0.46</v>
      </c>
      <c r="Q566" s="12" t="s">
        <v>59</v>
      </c>
    </row>
    <row r="567" spans="1:17" x14ac:dyDescent="0.35">
      <c r="A567" s="12">
        <v>45</v>
      </c>
      <c r="B567" s="12" t="s">
        <v>1040</v>
      </c>
      <c r="C567" s="12">
        <v>2023</v>
      </c>
      <c r="D567" s="12" t="s">
        <v>1041</v>
      </c>
      <c r="E567" s="12" t="s">
        <v>1042</v>
      </c>
      <c r="F567" s="12" t="s">
        <v>1043</v>
      </c>
      <c r="G567" s="12" t="s">
        <v>86</v>
      </c>
      <c r="H567" s="12" t="s">
        <v>1121</v>
      </c>
      <c r="I567" s="12">
        <v>47.553029000000002</v>
      </c>
      <c r="J567" s="12">
        <v>-79.238848000000004</v>
      </c>
      <c r="K567" s="12" t="s">
        <v>41</v>
      </c>
      <c r="L567" s="12" t="s">
        <v>223</v>
      </c>
      <c r="M567" s="12" t="s">
        <v>1122</v>
      </c>
      <c r="N567" s="12">
        <v>0.33400000000000002</v>
      </c>
      <c r="O567" s="12" t="s">
        <v>59</v>
      </c>
      <c r="P567" s="12">
        <v>0.33400000000000002</v>
      </c>
      <c r="Q567" s="12" t="s">
        <v>59</v>
      </c>
    </row>
    <row r="568" spans="1:17" x14ac:dyDescent="0.35">
      <c r="A568" s="12">
        <v>45</v>
      </c>
      <c r="B568" s="12" t="s">
        <v>1040</v>
      </c>
      <c r="C568" s="12">
        <v>2023</v>
      </c>
      <c r="D568" s="12" t="s">
        <v>1041</v>
      </c>
      <c r="E568" s="12" t="s">
        <v>1042</v>
      </c>
      <c r="F568" s="12" t="s">
        <v>1043</v>
      </c>
      <c r="G568" s="12" t="s">
        <v>86</v>
      </c>
      <c r="H568" s="12" t="s">
        <v>1123</v>
      </c>
      <c r="I568" s="12">
        <v>47.760921000000003</v>
      </c>
      <c r="J568" s="12">
        <v>-79.210047000000003</v>
      </c>
      <c r="K568" s="12" t="s">
        <v>41</v>
      </c>
      <c r="L568" s="12" t="s">
        <v>223</v>
      </c>
      <c r="M568" s="12" t="s">
        <v>1124</v>
      </c>
      <c r="N568" s="12">
        <v>0.52200000000000002</v>
      </c>
      <c r="O568" s="12" t="s">
        <v>59</v>
      </c>
      <c r="P568" s="12">
        <v>0.52200000000000002</v>
      </c>
      <c r="Q568" s="12" t="s">
        <v>59</v>
      </c>
    </row>
    <row r="569" spans="1:17" x14ac:dyDescent="0.35">
      <c r="A569" s="12">
        <v>45</v>
      </c>
      <c r="B569" s="12" t="s">
        <v>1040</v>
      </c>
      <c r="C569" s="12">
        <v>2023</v>
      </c>
      <c r="D569" s="12" t="s">
        <v>1041</v>
      </c>
      <c r="E569" s="12" t="s">
        <v>1042</v>
      </c>
      <c r="F569" s="12" t="s">
        <v>1043</v>
      </c>
      <c r="G569" s="12" t="s">
        <v>86</v>
      </c>
      <c r="H569" s="12" t="s">
        <v>1125</v>
      </c>
      <c r="I569" s="12">
        <v>48.098475999999998</v>
      </c>
      <c r="J569" s="12">
        <v>-78.865922999999995</v>
      </c>
      <c r="K569" s="12" t="s">
        <v>41</v>
      </c>
      <c r="L569" s="12" t="s">
        <v>223</v>
      </c>
      <c r="M569" s="12" t="s">
        <v>1126</v>
      </c>
      <c r="N569" s="12">
        <v>0.93899999999999995</v>
      </c>
      <c r="O569" s="12" t="s">
        <v>59</v>
      </c>
      <c r="P569" s="12">
        <v>0.93899999999999995</v>
      </c>
      <c r="Q569" s="12" t="s">
        <v>59</v>
      </c>
    </row>
    <row r="570" spans="1:17" x14ac:dyDescent="0.35">
      <c r="A570" s="12">
        <v>45</v>
      </c>
      <c r="B570" s="12" t="s">
        <v>1040</v>
      </c>
      <c r="C570" s="12">
        <v>2023</v>
      </c>
      <c r="D570" s="12" t="s">
        <v>1041</v>
      </c>
      <c r="E570" s="12" t="s">
        <v>1042</v>
      </c>
      <c r="F570" s="12" t="s">
        <v>1043</v>
      </c>
      <c r="G570" s="12" t="s">
        <v>86</v>
      </c>
      <c r="H570" s="12" t="s">
        <v>1127</v>
      </c>
      <c r="I570" s="12">
        <v>48.195225999999998</v>
      </c>
      <c r="J570" s="12">
        <v>-78.873975999999999</v>
      </c>
      <c r="K570" s="12" t="s">
        <v>41</v>
      </c>
      <c r="L570" s="12" t="s">
        <v>223</v>
      </c>
      <c r="M570" s="12" t="s">
        <v>1128</v>
      </c>
      <c r="N570" s="12">
        <v>0.18</v>
      </c>
      <c r="O570" s="12" t="s">
        <v>59</v>
      </c>
      <c r="P570" s="12">
        <v>0.18</v>
      </c>
      <c r="Q570" s="12" t="s">
        <v>59</v>
      </c>
    </row>
    <row r="571" spans="1:17" x14ac:dyDescent="0.35">
      <c r="A571" s="12">
        <v>45</v>
      </c>
      <c r="B571" s="12" t="s">
        <v>1040</v>
      </c>
      <c r="C571" s="12">
        <v>2023</v>
      </c>
      <c r="D571" s="12" t="s">
        <v>1041</v>
      </c>
      <c r="E571" s="12" t="s">
        <v>1042</v>
      </c>
      <c r="F571" s="12" t="s">
        <v>1043</v>
      </c>
      <c r="G571" s="12" t="s">
        <v>86</v>
      </c>
      <c r="H571" s="12" t="s">
        <v>1129</v>
      </c>
      <c r="I571" s="12">
        <v>47.768980999999997</v>
      </c>
      <c r="J571" s="12">
        <v>-78.307175000000001</v>
      </c>
      <c r="K571" s="12" t="s">
        <v>41</v>
      </c>
      <c r="L571" s="12" t="s">
        <v>223</v>
      </c>
      <c r="M571" s="12" t="s">
        <v>1130</v>
      </c>
      <c r="N571" s="12">
        <v>0.27600000000000002</v>
      </c>
      <c r="O571" s="12" t="s">
        <v>59</v>
      </c>
      <c r="P571" s="12">
        <v>0.27600000000000002</v>
      </c>
      <c r="Q571" s="12" t="s">
        <v>59</v>
      </c>
    </row>
    <row r="572" spans="1:17" x14ac:dyDescent="0.35">
      <c r="A572" s="12">
        <v>45</v>
      </c>
      <c r="B572" s="12" t="s">
        <v>1040</v>
      </c>
      <c r="C572" s="12">
        <v>2023</v>
      </c>
      <c r="D572" s="12" t="s">
        <v>1041</v>
      </c>
      <c r="E572" s="12" t="s">
        <v>1042</v>
      </c>
      <c r="F572" s="12" t="s">
        <v>1043</v>
      </c>
      <c r="G572" s="12" t="s">
        <v>86</v>
      </c>
      <c r="H572" s="12" t="s">
        <v>1131</v>
      </c>
      <c r="I572" s="12">
        <v>47.717097000000003</v>
      </c>
      <c r="J572" s="12">
        <v>-77.787497000000002</v>
      </c>
      <c r="K572" s="12" t="s">
        <v>41</v>
      </c>
      <c r="L572" s="12" t="s">
        <v>223</v>
      </c>
      <c r="M572" s="12" t="s">
        <v>1132</v>
      </c>
      <c r="N572" s="12">
        <v>0.35799999999999998</v>
      </c>
      <c r="O572" s="12" t="s">
        <v>59</v>
      </c>
      <c r="P572" s="12">
        <v>0.35799999999999998</v>
      </c>
      <c r="Q572" s="12" t="s">
        <v>59</v>
      </c>
    </row>
    <row r="573" spans="1:17" x14ac:dyDescent="0.35">
      <c r="A573" s="12">
        <v>45</v>
      </c>
      <c r="B573" s="12" t="s">
        <v>1040</v>
      </c>
      <c r="C573" s="12">
        <v>2023</v>
      </c>
      <c r="D573" s="12" t="s">
        <v>1041</v>
      </c>
      <c r="E573" s="12" t="s">
        <v>1042</v>
      </c>
      <c r="F573" s="12" t="s">
        <v>1043</v>
      </c>
      <c r="G573" s="12" t="s">
        <v>86</v>
      </c>
      <c r="H573" s="12" t="s">
        <v>1133</v>
      </c>
      <c r="I573" s="12">
        <v>48.408684999999998</v>
      </c>
      <c r="J573" s="12">
        <v>-78.366248999999996</v>
      </c>
      <c r="K573" s="12" t="s">
        <v>41</v>
      </c>
      <c r="L573" s="12" t="s">
        <v>223</v>
      </c>
      <c r="M573" s="12" t="s">
        <v>1134</v>
      </c>
      <c r="N573" s="12">
        <v>0.159</v>
      </c>
      <c r="O573" s="12" t="s">
        <v>59</v>
      </c>
      <c r="P573" s="12">
        <v>0.159</v>
      </c>
      <c r="Q573" s="12" t="s">
        <v>59</v>
      </c>
    </row>
    <row r="574" spans="1:17" x14ac:dyDescent="0.35">
      <c r="A574" s="12">
        <v>45</v>
      </c>
      <c r="B574" s="12" t="s">
        <v>1040</v>
      </c>
      <c r="C574" s="12">
        <v>2023</v>
      </c>
      <c r="D574" s="12" t="s">
        <v>1041</v>
      </c>
      <c r="E574" s="12" t="s">
        <v>1042</v>
      </c>
      <c r="F574" s="12" t="s">
        <v>1043</v>
      </c>
      <c r="G574" s="12" t="s">
        <v>86</v>
      </c>
      <c r="H574" s="12" t="s">
        <v>1135</v>
      </c>
      <c r="I574" s="12">
        <v>47.539628999999998</v>
      </c>
      <c r="J574" s="12">
        <v>-77.139233000000004</v>
      </c>
      <c r="K574" s="12" t="s">
        <v>41</v>
      </c>
      <c r="L574" s="12" t="s">
        <v>223</v>
      </c>
      <c r="M574" s="12" t="s">
        <v>1136</v>
      </c>
      <c r="N574" s="12">
        <v>0.46</v>
      </c>
      <c r="O574" s="12" t="s">
        <v>59</v>
      </c>
      <c r="P574" s="12">
        <v>0.46</v>
      </c>
      <c r="Q574" s="12" t="s">
        <v>59</v>
      </c>
    </row>
    <row r="575" spans="1:17" x14ac:dyDescent="0.35">
      <c r="A575" s="12">
        <v>45</v>
      </c>
      <c r="B575" s="12" t="s">
        <v>1040</v>
      </c>
      <c r="C575" s="12">
        <v>2023</v>
      </c>
      <c r="D575" s="12" t="s">
        <v>1041</v>
      </c>
      <c r="E575" s="12" t="s">
        <v>1042</v>
      </c>
      <c r="F575" s="12" t="s">
        <v>1043</v>
      </c>
      <c r="G575" s="12" t="s">
        <v>86</v>
      </c>
      <c r="H575" s="12" t="s">
        <v>1137</v>
      </c>
      <c r="I575" s="12">
        <v>47.375664999999998</v>
      </c>
      <c r="J575" s="12">
        <v>-76.972990999999993</v>
      </c>
      <c r="K575" s="12" t="s">
        <v>41</v>
      </c>
      <c r="L575" s="12" t="s">
        <v>223</v>
      </c>
      <c r="M575" s="12" t="s">
        <v>1138</v>
      </c>
      <c r="N575" s="12">
        <v>0.11700000000000001</v>
      </c>
      <c r="O575" s="12" t="s">
        <v>59</v>
      </c>
      <c r="P575" s="12">
        <v>0.11700000000000001</v>
      </c>
      <c r="Q575" s="12" t="s">
        <v>59</v>
      </c>
    </row>
    <row r="576" spans="1:17" x14ac:dyDescent="0.35">
      <c r="A576" s="12">
        <v>45</v>
      </c>
      <c r="B576" s="12" t="s">
        <v>1040</v>
      </c>
      <c r="C576" s="12">
        <v>2023</v>
      </c>
      <c r="D576" s="12" t="s">
        <v>1041</v>
      </c>
      <c r="E576" s="12" t="s">
        <v>1042</v>
      </c>
      <c r="F576" s="12" t="s">
        <v>1043</v>
      </c>
      <c r="G576" s="12" t="s">
        <v>86</v>
      </c>
      <c r="H576" s="12" t="s">
        <v>1139</v>
      </c>
      <c r="I576" s="12">
        <v>47.320591999999998</v>
      </c>
      <c r="J576" s="12">
        <v>-76.938237999999998</v>
      </c>
      <c r="K576" s="12" t="s">
        <v>41</v>
      </c>
      <c r="L576" s="12" t="s">
        <v>223</v>
      </c>
      <c r="M576" s="12" t="s">
        <v>1140</v>
      </c>
      <c r="N576" s="12">
        <v>0.11899999999999999</v>
      </c>
      <c r="O576" s="12" t="s">
        <v>59</v>
      </c>
      <c r="P576" s="12">
        <v>0.11899999999999999</v>
      </c>
      <c r="Q576" s="12" t="s">
        <v>59</v>
      </c>
    </row>
    <row r="577" spans="1:17" x14ac:dyDescent="0.35">
      <c r="A577" s="12">
        <v>45</v>
      </c>
      <c r="B577" s="12" t="s">
        <v>1040</v>
      </c>
      <c r="C577" s="12">
        <v>2023</v>
      </c>
      <c r="D577" s="12" t="s">
        <v>1041</v>
      </c>
      <c r="E577" s="12" t="s">
        <v>1042</v>
      </c>
      <c r="F577" s="12" t="s">
        <v>1043</v>
      </c>
      <c r="G577" s="12" t="s">
        <v>86</v>
      </c>
      <c r="H577" s="12" t="s">
        <v>1141</v>
      </c>
      <c r="I577" s="12">
        <v>47.306244</v>
      </c>
      <c r="J577" s="12">
        <v>-76.859016999999994</v>
      </c>
      <c r="K577" s="12" t="s">
        <v>41</v>
      </c>
      <c r="L577" s="12" t="s">
        <v>223</v>
      </c>
      <c r="M577" s="12" t="s">
        <v>1142</v>
      </c>
      <c r="N577" s="12">
        <v>0.53100000000000003</v>
      </c>
      <c r="O577" s="12" t="s">
        <v>59</v>
      </c>
      <c r="P577" s="12">
        <v>0.53100000000000003</v>
      </c>
      <c r="Q577" s="12" t="s">
        <v>59</v>
      </c>
    </row>
    <row r="578" spans="1:17" x14ac:dyDescent="0.35">
      <c r="A578" s="12">
        <v>45</v>
      </c>
      <c r="B578" s="12" t="s">
        <v>1040</v>
      </c>
      <c r="C578" s="12">
        <v>2023</v>
      </c>
      <c r="D578" s="12" t="s">
        <v>1041</v>
      </c>
      <c r="E578" s="12" t="s">
        <v>1042</v>
      </c>
      <c r="F578" s="12" t="s">
        <v>1043</v>
      </c>
      <c r="G578" s="12" t="s">
        <v>86</v>
      </c>
      <c r="H578" s="12" t="s">
        <v>1143</v>
      </c>
      <c r="I578" s="12">
        <v>45.420938999999997</v>
      </c>
      <c r="J578" s="12">
        <v>-76.250285000000005</v>
      </c>
      <c r="K578" s="12" t="s">
        <v>41</v>
      </c>
      <c r="L578" s="12" t="s">
        <v>223</v>
      </c>
      <c r="M578" s="12" t="s">
        <v>1144</v>
      </c>
      <c r="N578" s="12">
        <v>0.34300000000000003</v>
      </c>
      <c r="O578" s="12" t="s">
        <v>59</v>
      </c>
      <c r="P578" s="12">
        <v>0.34300000000000003</v>
      </c>
      <c r="Q578" s="12" t="s">
        <v>59</v>
      </c>
    </row>
    <row r="579" spans="1:17" x14ac:dyDescent="0.35">
      <c r="A579" s="12">
        <v>45</v>
      </c>
      <c r="B579" s="12" t="s">
        <v>1040</v>
      </c>
      <c r="C579" s="12">
        <v>2023</v>
      </c>
      <c r="D579" s="12" t="s">
        <v>1041</v>
      </c>
      <c r="E579" s="12" t="s">
        <v>1042</v>
      </c>
      <c r="F579" s="12" t="s">
        <v>1043</v>
      </c>
      <c r="G579" s="12" t="s">
        <v>86</v>
      </c>
      <c r="H579" s="12" t="s">
        <v>1145</v>
      </c>
      <c r="I579" s="12">
        <v>45.335875000000001</v>
      </c>
      <c r="J579" s="12">
        <v>-76.287205</v>
      </c>
      <c r="K579" s="12" t="s">
        <v>41</v>
      </c>
      <c r="L579" s="12" t="s">
        <v>223</v>
      </c>
      <c r="M579" s="12" t="s">
        <v>1146</v>
      </c>
      <c r="N579" s="12">
        <v>1.1499999999999999</v>
      </c>
      <c r="O579" s="12" t="s">
        <v>59</v>
      </c>
      <c r="P579" s="12">
        <v>1.1499999999999999</v>
      </c>
      <c r="Q579" s="12" t="s">
        <v>59</v>
      </c>
    </row>
    <row r="580" spans="1:17" x14ac:dyDescent="0.35">
      <c r="A580" s="12">
        <v>45</v>
      </c>
      <c r="B580" s="12" t="s">
        <v>1040</v>
      </c>
      <c r="C580" s="12">
        <v>2023</v>
      </c>
      <c r="D580" s="12" t="s">
        <v>1041</v>
      </c>
      <c r="E580" s="12" t="s">
        <v>1042</v>
      </c>
      <c r="F580" s="12" t="s">
        <v>1043</v>
      </c>
      <c r="G580" s="12" t="s">
        <v>86</v>
      </c>
      <c r="H580" s="12" t="s">
        <v>1147</v>
      </c>
      <c r="I580" s="12">
        <v>45.267435999999996</v>
      </c>
      <c r="J580" s="12">
        <v>-76.250181999999995</v>
      </c>
      <c r="K580" s="12" t="s">
        <v>41</v>
      </c>
      <c r="L580" s="12" t="s">
        <v>223</v>
      </c>
      <c r="M580" s="12" t="s">
        <v>1148</v>
      </c>
      <c r="N580" s="12">
        <v>0.16700000000000001</v>
      </c>
      <c r="O580" s="12" t="s">
        <v>59</v>
      </c>
      <c r="P580" s="12">
        <v>0.16700000000000001</v>
      </c>
      <c r="Q580" s="12" t="s">
        <v>59</v>
      </c>
    </row>
    <row r="581" spans="1:17" x14ac:dyDescent="0.35">
      <c r="A581" s="12">
        <v>45</v>
      </c>
      <c r="B581" s="12" t="s">
        <v>1040</v>
      </c>
      <c r="C581" s="12">
        <v>2023</v>
      </c>
      <c r="D581" s="12" t="s">
        <v>1041</v>
      </c>
      <c r="E581" s="12" t="s">
        <v>1042</v>
      </c>
      <c r="F581" s="12" t="s">
        <v>1043</v>
      </c>
      <c r="G581" s="12" t="s">
        <v>86</v>
      </c>
      <c r="H581" s="12" t="s">
        <v>1149</v>
      </c>
      <c r="I581" s="12">
        <v>45.183250000000001</v>
      </c>
      <c r="J581" s="12">
        <v>-76.124979999999994</v>
      </c>
      <c r="K581" s="12" t="s">
        <v>41</v>
      </c>
      <c r="L581" s="12" t="s">
        <v>223</v>
      </c>
      <c r="M581" s="12" t="s">
        <v>1150</v>
      </c>
      <c r="N581" s="12">
        <v>0.52100000000000002</v>
      </c>
      <c r="O581" s="12" t="s">
        <v>59</v>
      </c>
      <c r="P581" s="12">
        <v>0.52100000000000002</v>
      </c>
      <c r="Q581" s="12" t="s">
        <v>59</v>
      </c>
    </row>
    <row r="582" spans="1:17" x14ac:dyDescent="0.35">
      <c r="A582" s="12">
        <v>45</v>
      </c>
      <c r="B582" s="12" t="s">
        <v>1040</v>
      </c>
      <c r="C582" s="12">
        <v>2023</v>
      </c>
      <c r="D582" s="12" t="s">
        <v>1041</v>
      </c>
      <c r="E582" s="12" t="s">
        <v>1042</v>
      </c>
      <c r="F582" s="12" t="s">
        <v>1043</v>
      </c>
      <c r="G582" s="12" t="s">
        <v>86</v>
      </c>
      <c r="H582" s="12" t="s">
        <v>1151</v>
      </c>
      <c r="I582" s="12">
        <v>45.142513999999998</v>
      </c>
      <c r="J582" s="12">
        <v>-76.144164000000004</v>
      </c>
      <c r="K582" s="12" t="s">
        <v>41</v>
      </c>
      <c r="L582" s="12" t="s">
        <v>223</v>
      </c>
      <c r="M582" s="12" t="s">
        <v>1152</v>
      </c>
      <c r="N582" s="12">
        <v>0.26800000000000002</v>
      </c>
      <c r="O582" s="12" t="s">
        <v>59</v>
      </c>
      <c r="P582" s="12">
        <v>0.26800000000000002</v>
      </c>
      <c r="Q582" s="12" t="s">
        <v>59</v>
      </c>
    </row>
    <row r="583" spans="1:17" x14ac:dyDescent="0.35">
      <c r="A583" s="12">
        <v>45</v>
      </c>
      <c r="B583" s="12" t="s">
        <v>1040</v>
      </c>
      <c r="C583" s="12">
        <v>2023</v>
      </c>
      <c r="D583" s="12" t="s">
        <v>1041</v>
      </c>
      <c r="E583" s="12" t="s">
        <v>1042</v>
      </c>
      <c r="F583" s="12" t="s">
        <v>1043</v>
      </c>
      <c r="G583" s="12" t="s">
        <v>86</v>
      </c>
      <c r="H583" s="12" t="s">
        <v>1153</v>
      </c>
      <c r="I583" s="12">
        <v>44.971065000000003</v>
      </c>
      <c r="J583" s="12">
        <v>-76.407559000000006</v>
      </c>
      <c r="K583" s="12" t="s">
        <v>41</v>
      </c>
      <c r="L583" s="12" t="s">
        <v>223</v>
      </c>
      <c r="M583" s="12" t="s">
        <v>1154</v>
      </c>
      <c r="N583" s="12">
        <v>0.06</v>
      </c>
      <c r="O583" s="12" t="s">
        <v>59</v>
      </c>
      <c r="P583" s="12">
        <v>0.06</v>
      </c>
      <c r="Q583" s="12" t="s">
        <v>59</v>
      </c>
    </row>
    <row r="584" spans="1:17" x14ac:dyDescent="0.35">
      <c r="A584" s="12">
        <v>45</v>
      </c>
      <c r="B584" s="12" t="s">
        <v>1040</v>
      </c>
      <c r="C584" s="12">
        <v>2023</v>
      </c>
      <c r="D584" s="12" t="s">
        <v>1041</v>
      </c>
      <c r="E584" s="12" t="s">
        <v>1042</v>
      </c>
      <c r="F584" s="12" t="s">
        <v>1043</v>
      </c>
      <c r="G584" s="12" t="s">
        <v>86</v>
      </c>
      <c r="H584" s="12" t="s">
        <v>1155</v>
      </c>
      <c r="I584" s="12">
        <v>45.426163000000003</v>
      </c>
      <c r="J584" s="12">
        <v>-75.668897999999999</v>
      </c>
      <c r="K584" s="12" t="s">
        <v>41</v>
      </c>
      <c r="L584" s="12" t="s">
        <v>223</v>
      </c>
      <c r="M584" s="12" t="s">
        <v>1156</v>
      </c>
      <c r="N584" s="12">
        <v>0.95799999999999996</v>
      </c>
      <c r="O584" s="12" t="s">
        <v>59</v>
      </c>
      <c r="P584" s="12">
        <v>0.95799999999999996</v>
      </c>
      <c r="Q584" s="12" t="s">
        <v>59</v>
      </c>
    </row>
    <row r="585" spans="1:17" x14ac:dyDescent="0.35">
      <c r="A585" s="12">
        <v>45</v>
      </c>
      <c r="B585" s="12" t="s">
        <v>1040</v>
      </c>
      <c r="C585" s="12">
        <v>2023</v>
      </c>
      <c r="D585" s="12" t="s">
        <v>1041</v>
      </c>
      <c r="E585" s="12" t="s">
        <v>1042</v>
      </c>
      <c r="F585" s="12" t="s">
        <v>1043</v>
      </c>
      <c r="G585" s="12" t="s">
        <v>86</v>
      </c>
      <c r="H585" s="12" t="s">
        <v>1157</v>
      </c>
      <c r="I585" s="12">
        <v>45.381593000000002</v>
      </c>
      <c r="J585" s="12">
        <v>-75.696539999999999</v>
      </c>
      <c r="K585" s="12" t="s">
        <v>41</v>
      </c>
      <c r="L585" s="12" t="s">
        <v>223</v>
      </c>
      <c r="M585" s="12" t="s">
        <v>1158</v>
      </c>
      <c r="N585" s="12">
        <v>0.18099999999999999</v>
      </c>
      <c r="O585" s="12" t="s">
        <v>59</v>
      </c>
      <c r="P585" s="12">
        <v>0.18099999999999999</v>
      </c>
      <c r="Q585" s="12" t="s">
        <v>59</v>
      </c>
    </row>
    <row r="586" spans="1:17" x14ac:dyDescent="0.35">
      <c r="A586" s="12">
        <v>45</v>
      </c>
      <c r="B586" s="12" t="s">
        <v>1040</v>
      </c>
      <c r="C586" s="12">
        <v>2023</v>
      </c>
      <c r="D586" s="12" t="s">
        <v>1041</v>
      </c>
      <c r="E586" s="12" t="s">
        <v>1042</v>
      </c>
      <c r="F586" s="12" t="s">
        <v>1043</v>
      </c>
      <c r="G586" s="12" t="s">
        <v>86</v>
      </c>
      <c r="H586" s="12" t="s">
        <v>1159</v>
      </c>
      <c r="I586" s="12">
        <v>45.260472999999998</v>
      </c>
      <c r="J586" s="12">
        <v>-75.707813999999999</v>
      </c>
      <c r="K586" s="12" t="s">
        <v>41</v>
      </c>
      <c r="L586" s="12" t="s">
        <v>223</v>
      </c>
      <c r="M586" s="12" t="s">
        <v>1160</v>
      </c>
      <c r="N586" s="12">
        <v>0.23599999999999999</v>
      </c>
      <c r="O586" s="12" t="s">
        <v>59</v>
      </c>
      <c r="P586" s="12">
        <v>0.23599999999999999</v>
      </c>
      <c r="Q586" s="12" t="s">
        <v>59</v>
      </c>
    </row>
    <row r="587" spans="1:17" x14ac:dyDescent="0.35">
      <c r="A587" s="12">
        <v>45</v>
      </c>
      <c r="B587" s="12" t="s">
        <v>1040</v>
      </c>
      <c r="C587" s="12">
        <v>2023</v>
      </c>
      <c r="D587" s="12" t="s">
        <v>1041</v>
      </c>
      <c r="E587" s="12" t="s">
        <v>1042</v>
      </c>
      <c r="F587" s="12" t="s">
        <v>1043</v>
      </c>
      <c r="G587" s="12" t="s">
        <v>86</v>
      </c>
      <c r="H587" s="12" t="s">
        <v>1161</v>
      </c>
      <c r="I587" s="12">
        <v>45.245584000000001</v>
      </c>
      <c r="J587" s="12">
        <v>-75.702945999999997</v>
      </c>
      <c r="K587" s="12" t="s">
        <v>41</v>
      </c>
      <c r="L587" s="12" t="s">
        <v>223</v>
      </c>
      <c r="M587" s="12" t="s">
        <v>1162</v>
      </c>
      <c r="N587" s="12">
        <v>0.41399999999999998</v>
      </c>
      <c r="O587" s="12" t="s">
        <v>59</v>
      </c>
      <c r="P587" s="12">
        <v>0.41399999999999998</v>
      </c>
      <c r="Q587" s="12" t="s">
        <v>59</v>
      </c>
    </row>
    <row r="588" spans="1:17" x14ac:dyDescent="0.35">
      <c r="A588" s="12">
        <v>45</v>
      </c>
      <c r="B588" s="12" t="s">
        <v>1040</v>
      </c>
      <c r="C588" s="12">
        <v>2023</v>
      </c>
      <c r="D588" s="12" t="s">
        <v>1041</v>
      </c>
      <c r="E588" s="12" t="s">
        <v>1042</v>
      </c>
      <c r="F588" s="12" t="s">
        <v>1043</v>
      </c>
      <c r="G588" s="12" t="s">
        <v>86</v>
      </c>
      <c r="H588" s="12" t="s">
        <v>1163</v>
      </c>
      <c r="I588" s="12">
        <v>44.98207</v>
      </c>
      <c r="J588" s="12">
        <v>-75.794899999999998</v>
      </c>
      <c r="K588" s="12" t="s">
        <v>41</v>
      </c>
      <c r="L588" s="12" t="s">
        <v>223</v>
      </c>
      <c r="M588" s="12" t="s">
        <v>1164</v>
      </c>
      <c r="N588" s="12">
        <v>0.21</v>
      </c>
      <c r="O588" s="12" t="s">
        <v>59</v>
      </c>
      <c r="P588" s="12">
        <v>0.21</v>
      </c>
      <c r="Q588" s="12" t="s">
        <v>59</v>
      </c>
    </row>
    <row r="589" spans="1:17" x14ac:dyDescent="0.35">
      <c r="A589" s="12">
        <v>45</v>
      </c>
      <c r="B589" s="12" t="s">
        <v>1040</v>
      </c>
      <c r="C589" s="12">
        <v>2023</v>
      </c>
      <c r="D589" s="12" t="s">
        <v>1041</v>
      </c>
      <c r="E589" s="12" t="s">
        <v>1042</v>
      </c>
      <c r="F589" s="12" t="s">
        <v>1043</v>
      </c>
      <c r="G589" s="12" t="s">
        <v>86</v>
      </c>
      <c r="H589" s="12" t="s">
        <v>1165</v>
      </c>
      <c r="I589" s="12">
        <v>44.896684</v>
      </c>
      <c r="J589" s="12">
        <v>-76.025728000000001</v>
      </c>
      <c r="K589" s="12" t="s">
        <v>41</v>
      </c>
      <c r="L589" s="12" t="s">
        <v>223</v>
      </c>
      <c r="M589" s="12" t="s">
        <v>1166</v>
      </c>
      <c r="N589" s="12">
        <v>0.107</v>
      </c>
      <c r="O589" s="12" t="s">
        <v>59</v>
      </c>
      <c r="P589" s="12">
        <v>0.107</v>
      </c>
      <c r="Q589" s="12" t="s">
        <v>59</v>
      </c>
    </row>
    <row r="590" spans="1:17" x14ac:dyDescent="0.35">
      <c r="A590" s="12">
        <v>45</v>
      </c>
      <c r="B590" s="12" t="s">
        <v>1040</v>
      </c>
      <c r="C590" s="12">
        <v>2023</v>
      </c>
      <c r="D590" s="12" t="s">
        <v>1041</v>
      </c>
      <c r="E590" s="12" t="s">
        <v>1042</v>
      </c>
      <c r="F590" s="12" t="s">
        <v>1043</v>
      </c>
      <c r="G590" s="12" t="s">
        <v>161</v>
      </c>
      <c r="H590" s="12" t="s">
        <v>1167</v>
      </c>
      <c r="I590" s="12">
        <v>45.566648999999998</v>
      </c>
      <c r="J590" s="12">
        <v>-74.335436000000001</v>
      </c>
      <c r="K590" s="12" t="s">
        <v>41</v>
      </c>
      <c r="L590" s="12" t="s">
        <v>223</v>
      </c>
      <c r="M590" s="12" t="s">
        <v>1168</v>
      </c>
      <c r="N590" s="12">
        <v>0.311</v>
      </c>
      <c r="O590" s="12" t="s">
        <v>59</v>
      </c>
      <c r="P590" s="12">
        <v>0.311</v>
      </c>
      <c r="Q590" s="12" t="s">
        <v>59</v>
      </c>
    </row>
    <row r="591" spans="1:17" x14ac:dyDescent="0.35">
      <c r="A591" s="12">
        <v>45</v>
      </c>
      <c r="B591" s="12" t="s">
        <v>1040</v>
      </c>
      <c r="C591" s="12">
        <v>2023</v>
      </c>
      <c r="D591" s="12" t="s">
        <v>1041</v>
      </c>
      <c r="E591" s="12" t="s">
        <v>1042</v>
      </c>
      <c r="F591" s="12" t="s">
        <v>1043</v>
      </c>
      <c r="G591" s="12" t="s">
        <v>161</v>
      </c>
      <c r="H591" s="12" t="s">
        <v>1169</v>
      </c>
      <c r="I591" s="12">
        <v>45.662821000000001</v>
      </c>
      <c r="J591" s="12">
        <v>-74.333783999999994</v>
      </c>
      <c r="K591" s="12" t="s">
        <v>41</v>
      </c>
      <c r="L591" s="12" t="s">
        <v>223</v>
      </c>
      <c r="M591" s="12" t="s">
        <v>1170</v>
      </c>
      <c r="N591" s="12">
        <v>9.5000000000000001E-2</v>
      </c>
      <c r="O591" s="12" t="s">
        <v>59</v>
      </c>
      <c r="P591" s="12">
        <v>9.5000000000000001E-2</v>
      </c>
      <c r="Q591" s="12" t="s">
        <v>59</v>
      </c>
    </row>
    <row r="592" spans="1:17" x14ac:dyDescent="0.35">
      <c r="A592" s="12">
        <v>45</v>
      </c>
      <c r="B592" s="12" t="s">
        <v>1040</v>
      </c>
      <c r="C592" s="12">
        <v>2023</v>
      </c>
      <c r="D592" s="12" t="s">
        <v>1041</v>
      </c>
      <c r="E592" s="12" t="s">
        <v>1042</v>
      </c>
      <c r="F592" s="12" t="s">
        <v>1043</v>
      </c>
      <c r="G592" s="12" t="s">
        <v>161</v>
      </c>
      <c r="H592" s="12" t="s">
        <v>1171</v>
      </c>
      <c r="I592" s="12">
        <v>45.895515000000003</v>
      </c>
      <c r="J592" s="12">
        <v>-74.115753999999995</v>
      </c>
      <c r="K592" s="12" t="s">
        <v>41</v>
      </c>
      <c r="L592" s="12" t="s">
        <v>223</v>
      </c>
      <c r="M592" s="12" t="s">
        <v>1172</v>
      </c>
      <c r="N592" s="12">
        <v>0.254</v>
      </c>
      <c r="O592" s="12" t="s">
        <v>59</v>
      </c>
      <c r="P592" s="12">
        <v>0.254</v>
      </c>
      <c r="Q592" s="12" t="s">
        <v>59</v>
      </c>
    </row>
    <row r="593" spans="1:17" x14ac:dyDescent="0.35">
      <c r="A593" s="12">
        <v>45</v>
      </c>
      <c r="B593" s="12" t="s">
        <v>1040</v>
      </c>
      <c r="C593" s="12">
        <v>2023</v>
      </c>
      <c r="D593" s="12" t="s">
        <v>1041</v>
      </c>
      <c r="E593" s="12" t="s">
        <v>1042</v>
      </c>
      <c r="F593" s="12" t="s">
        <v>1043</v>
      </c>
      <c r="G593" s="12" t="s">
        <v>161</v>
      </c>
      <c r="H593" s="12" t="s">
        <v>1173</v>
      </c>
      <c r="I593" s="12">
        <v>46.046140999999999</v>
      </c>
      <c r="J593" s="12">
        <v>-74.252483999999995</v>
      </c>
      <c r="K593" s="12" t="s">
        <v>41</v>
      </c>
      <c r="L593" s="12" t="s">
        <v>223</v>
      </c>
      <c r="M593" s="12" t="s">
        <v>1174</v>
      </c>
      <c r="N593" s="12">
        <v>0.111</v>
      </c>
      <c r="O593" s="12" t="s">
        <v>59</v>
      </c>
      <c r="P593" s="12">
        <v>0.111</v>
      </c>
      <c r="Q593" s="12" t="s">
        <v>59</v>
      </c>
    </row>
    <row r="594" spans="1:17" x14ac:dyDescent="0.35">
      <c r="A594" s="12">
        <v>45</v>
      </c>
      <c r="B594" s="12" t="s">
        <v>1040</v>
      </c>
      <c r="C594" s="12">
        <v>2023</v>
      </c>
      <c r="D594" s="12" t="s">
        <v>1041</v>
      </c>
      <c r="E594" s="12" t="s">
        <v>1042</v>
      </c>
      <c r="F594" s="12" t="s">
        <v>1043</v>
      </c>
      <c r="G594" s="12" t="s">
        <v>161</v>
      </c>
      <c r="H594" s="12" t="s">
        <v>1175</v>
      </c>
      <c r="I594" s="12">
        <v>45.645046000000001</v>
      </c>
      <c r="J594" s="12">
        <v>-74.689758999999995</v>
      </c>
      <c r="K594" s="12" t="s">
        <v>41</v>
      </c>
      <c r="L594" s="12" t="s">
        <v>223</v>
      </c>
      <c r="M594" s="12" t="s">
        <v>1176</v>
      </c>
      <c r="N594" s="12">
        <v>3.64</v>
      </c>
      <c r="O594" s="12" t="s">
        <v>59</v>
      </c>
      <c r="P594" s="12">
        <v>3.64</v>
      </c>
      <c r="Q594" s="12" t="s">
        <v>59</v>
      </c>
    </row>
    <row r="595" spans="1:17" x14ac:dyDescent="0.35">
      <c r="A595" s="12">
        <v>45</v>
      </c>
      <c r="B595" s="12" t="s">
        <v>1040</v>
      </c>
      <c r="C595" s="12">
        <v>2023</v>
      </c>
      <c r="D595" s="12" t="s">
        <v>1041</v>
      </c>
      <c r="E595" s="12" t="s">
        <v>1042</v>
      </c>
      <c r="F595" s="12" t="s">
        <v>1043</v>
      </c>
      <c r="G595" s="12" t="s">
        <v>161</v>
      </c>
      <c r="H595" s="12" t="s">
        <v>1177</v>
      </c>
      <c r="I595" s="12">
        <v>46.01502</v>
      </c>
      <c r="J595" s="12">
        <v>-74.627717000000004</v>
      </c>
      <c r="K595" s="12" t="s">
        <v>41</v>
      </c>
      <c r="L595" s="12" t="s">
        <v>223</v>
      </c>
      <c r="M595" s="12" t="s">
        <v>1178</v>
      </c>
      <c r="N595" s="12">
        <v>0.222</v>
      </c>
      <c r="O595" s="12" t="s">
        <v>59</v>
      </c>
      <c r="P595" s="12">
        <v>0.222</v>
      </c>
      <c r="Q595" s="12" t="s">
        <v>59</v>
      </c>
    </row>
    <row r="596" spans="1:17" x14ac:dyDescent="0.35">
      <c r="A596" s="12">
        <v>45</v>
      </c>
      <c r="B596" s="12" t="s">
        <v>1040</v>
      </c>
      <c r="C596" s="12">
        <v>2023</v>
      </c>
      <c r="D596" s="12" t="s">
        <v>1041</v>
      </c>
      <c r="E596" s="12" t="s">
        <v>1042</v>
      </c>
      <c r="F596" s="12" t="s">
        <v>1043</v>
      </c>
      <c r="G596" s="12" t="s">
        <v>161</v>
      </c>
      <c r="H596" s="12" t="s">
        <v>1179</v>
      </c>
      <c r="I596" s="12">
        <v>46.211427999999998</v>
      </c>
      <c r="J596" s="12">
        <v>-74.589326</v>
      </c>
      <c r="K596" s="12" t="s">
        <v>41</v>
      </c>
      <c r="L596" s="12" t="s">
        <v>223</v>
      </c>
      <c r="M596" s="12" t="s">
        <v>1180</v>
      </c>
      <c r="N596" s="12">
        <v>0.27600000000000002</v>
      </c>
      <c r="O596" s="12" t="s">
        <v>59</v>
      </c>
      <c r="P596" s="12">
        <v>0.27600000000000002</v>
      </c>
      <c r="Q596" s="12" t="s">
        <v>59</v>
      </c>
    </row>
    <row r="597" spans="1:17" x14ac:dyDescent="0.35">
      <c r="A597" s="12">
        <v>45</v>
      </c>
      <c r="B597" s="12" t="s">
        <v>1040</v>
      </c>
      <c r="C597" s="12">
        <v>2023</v>
      </c>
      <c r="D597" s="12" t="s">
        <v>1041</v>
      </c>
      <c r="E597" s="12" t="s">
        <v>1042</v>
      </c>
      <c r="F597" s="12" t="s">
        <v>1043</v>
      </c>
      <c r="G597" s="12" t="s">
        <v>161</v>
      </c>
      <c r="H597" s="12" t="s">
        <v>1181</v>
      </c>
      <c r="I597" s="12">
        <v>46.281376999999999</v>
      </c>
      <c r="J597" s="12">
        <v>-74.734043999999997</v>
      </c>
      <c r="K597" s="12" t="s">
        <v>41</v>
      </c>
      <c r="L597" s="12" t="s">
        <v>223</v>
      </c>
      <c r="M597" s="12" t="s">
        <v>1182</v>
      </c>
      <c r="N597" s="12">
        <v>0.08</v>
      </c>
      <c r="O597" s="12" t="s">
        <v>59</v>
      </c>
      <c r="P597" s="12">
        <v>0.08</v>
      </c>
      <c r="Q597" s="12" t="s">
        <v>59</v>
      </c>
    </row>
    <row r="598" spans="1:17" x14ac:dyDescent="0.35">
      <c r="A598" s="12">
        <v>45</v>
      </c>
      <c r="B598" s="12" t="s">
        <v>1040</v>
      </c>
      <c r="C598" s="12">
        <v>2023</v>
      </c>
      <c r="D598" s="12" t="s">
        <v>1041</v>
      </c>
      <c r="E598" s="12" t="s">
        <v>1042</v>
      </c>
      <c r="F598" s="12" t="s">
        <v>1043</v>
      </c>
      <c r="G598" s="12" t="s">
        <v>161</v>
      </c>
      <c r="H598" s="12" t="s">
        <v>1183</v>
      </c>
      <c r="I598" s="12">
        <v>46.410186000000003</v>
      </c>
      <c r="J598" s="12">
        <v>-74.868690999999998</v>
      </c>
      <c r="K598" s="12" t="s">
        <v>41</v>
      </c>
      <c r="L598" s="12" t="s">
        <v>223</v>
      </c>
      <c r="M598" s="12" t="s">
        <v>1184</v>
      </c>
      <c r="N598" s="12">
        <v>0.107</v>
      </c>
      <c r="O598" s="12" t="s">
        <v>59</v>
      </c>
      <c r="P598" s="12">
        <v>0.107</v>
      </c>
      <c r="Q598" s="12" t="s">
        <v>59</v>
      </c>
    </row>
    <row r="599" spans="1:17" x14ac:dyDescent="0.35">
      <c r="A599" s="12">
        <v>45</v>
      </c>
      <c r="B599" s="12" t="s">
        <v>1040</v>
      </c>
      <c r="C599" s="12">
        <v>2023</v>
      </c>
      <c r="D599" s="12" t="s">
        <v>1041</v>
      </c>
      <c r="E599" s="12" t="s">
        <v>1042</v>
      </c>
      <c r="F599" s="12" t="s">
        <v>1043</v>
      </c>
      <c r="G599" s="12" t="s">
        <v>161</v>
      </c>
      <c r="H599" s="12" t="s">
        <v>1185</v>
      </c>
      <c r="I599" s="12">
        <v>46.558874000000003</v>
      </c>
      <c r="J599" s="12">
        <v>-75.494423999999995</v>
      </c>
      <c r="K599" s="12" t="s">
        <v>41</v>
      </c>
      <c r="L599" s="12" t="s">
        <v>223</v>
      </c>
      <c r="M599" s="12" t="s">
        <v>1186</v>
      </c>
      <c r="N599" s="12">
        <v>0.41399999999999998</v>
      </c>
      <c r="O599" s="12" t="s">
        <v>59</v>
      </c>
      <c r="P599" s="12">
        <v>0.41399999999999998</v>
      </c>
      <c r="Q599" s="12" t="s">
        <v>59</v>
      </c>
    </row>
    <row r="600" spans="1:17" x14ac:dyDescent="0.35">
      <c r="A600" s="12">
        <v>45</v>
      </c>
      <c r="B600" s="12" t="s">
        <v>1040</v>
      </c>
      <c r="C600" s="12">
        <v>2023</v>
      </c>
      <c r="D600" s="12" t="s">
        <v>1041</v>
      </c>
      <c r="E600" s="12" t="s">
        <v>1042</v>
      </c>
      <c r="F600" s="12" t="s">
        <v>1043</v>
      </c>
      <c r="G600" s="12" t="s">
        <v>161</v>
      </c>
      <c r="H600" s="12" t="s">
        <v>1187</v>
      </c>
      <c r="I600" s="12">
        <v>46.083880000000001</v>
      </c>
      <c r="J600" s="12">
        <v>-75.616709999999998</v>
      </c>
      <c r="K600" s="12" t="s">
        <v>41</v>
      </c>
      <c r="L600" s="12" t="s">
        <v>223</v>
      </c>
      <c r="M600" s="12" t="s">
        <v>1188</v>
      </c>
      <c r="N600" s="12">
        <v>0.54300000000000004</v>
      </c>
      <c r="O600" s="12" t="s">
        <v>59</v>
      </c>
      <c r="P600" s="12">
        <v>0.54300000000000004</v>
      </c>
      <c r="Q600" s="12" t="s">
        <v>59</v>
      </c>
    </row>
    <row r="601" spans="1:17" x14ac:dyDescent="0.35">
      <c r="A601" s="12">
        <v>45</v>
      </c>
      <c r="B601" s="12" t="s">
        <v>1040</v>
      </c>
      <c r="C601" s="12">
        <v>2023</v>
      </c>
      <c r="D601" s="12" t="s">
        <v>1041</v>
      </c>
      <c r="E601" s="12" t="s">
        <v>1042</v>
      </c>
      <c r="F601" s="12" t="s">
        <v>1043</v>
      </c>
      <c r="G601" s="12" t="s">
        <v>161</v>
      </c>
      <c r="H601" s="12" t="s">
        <v>1189</v>
      </c>
      <c r="I601" s="12">
        <v>45.913873000000002</v>
      </c>
      <c r="J601" s="12">
        <v>-75.597997000000007</v>
      </c>
      <c r="K601" s="12" t="s">
        <v>41</v>
      </c>
      <c r="L601" s="12" t="s">
        <v>223</v>
      </c>
      <c r="M601" s="12" t="s">
        <v>1190</v>
      </c>
      <c r="N601" s="12">
        <v>0.78100000000000003</v>
      </c>
      <c r="O601" s="12" t="s">
        <v>59</v>
      </c>
      <c r="P601" s="12">
        <v>0.78100000000000003</v>
      </c>
      <c r="Q601" s="12" t="s">
        <v>59</v>
      </c>
    </row>
    <row r="602" spans="1:17" x14ac:dyDescent="0.35">
      <c r="A602" s="12">
        <v>45</v>
      </c>
      <c r="B602" s="12" t="s">
        <v>1040</v>
      </c>
      <c r="C602" s="12">
        <v>2023</v>
      </c>
      <c r="D602" s="12" t="s">
        <v>1041</v>
      </c>
      <c r="E602" s="12" t="s">
        <v>1042</v>
      </c>
      <c r="F602" s="12" t="s">
        <v>1043</v>
      </c>
      <c r="G602" s="12" t="s">
        <v>161</v>
      </c>
      <c r="H602" s="12" t="s">
        <v>1191</v>
      </c>
      <c r="I602" s="12">
        <v>45.769280000000002</v>
      </c>
      <c r="J602" s="12">
        <v>-75.591049999999996</v>
      </c>
      <c r="K602" s="12" t="s">
        <v>41</v>
      </c>
      <c r="L602" s="12" t="s">
        <v>223</v>
      </c>
      <c r="M602" s="12" t="s">
        <v>1192</v>
      </c>
      <c r="N602" s="12">
        <v>0.71499999999999997</v>
      </c>
      <c r="O602" s="12" t="s">
        <v>59</v>
      </c>
      <c r="P602" s="12">
        <v>0.71499999999999997</v>
      </c>
      <c r="Q602" s="12" t="s">
        <v>59</v>
      </c>
    </row>
    <row r="603" spans="1:17" x14ac:dyDescent="0.35">
      <c r="A603" s="12">
        <v>45</v>
      </c>
      <c r="B603" s="12" t="s">
        <v>1040</v>
      </c>
      <c r="C603" s="12">
        <v>2023</v>
      </c>
      <c r="D603" s="12" t="s">
        <v>1041</v>
      </c>
      <c r="E603" s="12" t="s">
        <v>1042</v>
      </c>
      <c r="F603" s="12" t="s">
        <v>1043</v>
      </c>
      <c r="G603" s="12" t="s">
        <v>161</v>
      </c>
      <c r="H603" s="12" t="s">
        <v>1193</v>
      </c>
      <c r="I603" s="12">
        <v>45.592261999999998</v>
      </c>
      <c r="J603" s="12">
        <v>-75.420030999999994</v>
      </c>
      <c r="K603" s="12" t="s">
        <v>41</v>
      </c>
      <c r="L603" s="12" t="s">
        <v>223</v>
      </c>
      <c r="M603" s="12" t="s">
        <v>1194</v>
      </c>
      <c r="N603" s="12">
        <v>0.23300000000000001</v>
      </c>
      <c r="O603" s="12" t="s">
        <v>59</v>
      </c>
      <c r="P603" s="12">
        <v>0.23300000000000001</v>
      </c>
      <c r="Q603" s="12" t="s">
        <v>59</v>
      </c>
    </row>
    <row r="604" spans="1:17" x14ac:dyDescent="0.35">
      <c r="A604" s="12">
        <v>45</v>
      </c>
      <c r="B604" s="12" t="s">
        <v>1040</v>
      </c>
      <c r="C604" s="12">
        <v>2023</v>
      </c>
      <c r="D604" s="12" t="s">
        <v>1041</v>
      </c>
      <c r="E604" s="12" t="s">
        <v>1042</v>
      </c>
      <c r="F604" s="12" t="s">
        <v>1043</v>
      </c>
      <c r="G604" s="12" t="s">
        <v>86</v>
      </c>
      <c r="H604" s="12" t="s">
        <v>1195</v>
      </c>
      <c r="I604" s="12">
        <v>45.537238000000002</v>
      </c>
      <c r="J604" s="12">
        <v>-74.996097000000006</v>
      </c>
      <c r="K604" s="12" t="s">
        <v>41</v>
      </c>
      <c r="L604" s="12" t="s">
        <v>223</v>
      </c>
      <c r="M604" s="12" t="s">
        <v>1196</v>
      </c>
      <c r="N604" s="12">
        <v>0.84299999999999997</v>
      </c>
      <c r="O604" s="12" t="s">
        <v>59</v>
      </c>
      <c r="P604" s="12">
        <v>0.84299999999999997</v>
      </c>
      <c r="Q604" s="12" t="s">
        <v>59</v>
      </c>
    </row>
    <row r="605" spans="1:17" x14ac:dyDescent="0.35">
      <c r="A605" s="12">
        <v>45</v>
      </c>
      <c r="B605" s="12" t="s">
        <v>1040</v>
      </c>
      <c r="C605" s="12">
        <v>2023</v>
      </c>
      <c r="D605" s="12" t="s">
        <v>1041</v>
      </c>
      <c r="E605" s="12" t="s">
        <v>1042</v>
      </c>
      <c r="F605" s="12" t="s">
        <v>1043</v>
      </c>
      <c r="G605" s="12" t="s">
        <v>86</v>
      </c>
      <c r="H605" s="12" t="s">
        <v>1197</v>
      </c>
      <c r="I605" s="12">
        <v>45.318638</v>
      </c>
      <c r="J605" s="12">
        <v>-75.092980999999995</v>
      </c>
      <c r="K605" s="12" t="s">
        <v>41</v>
      </c>
      <c r="L605" s="12" t="s">
        <v>223</v>
      </c>
      <c r="M605" s="12" t="s">
        <v>1198</v>
      </c>
      <c r="N605" s="12">
        <v>0.153</v>
      </c>
      <c r="O605" s="12" t="s">
        <v>59</v>
      </c>
      <c r="P605" s="12">
        <v>0.153</v>
      </c>
      <c r="Q605" s="12" t="s">
        <v>59</v>
      </c>
    </row>
    <row r="606" spans="1:17" x14ac:dyDescent="0.35">
      <c r="A606" s="12">
        <v>45</v>
      </c>
      <c r="B606" s="12" t="s">
        <v>1040</v>
      </c>
      <c r="C606" s="12">
        <v>2023</v>
      </c>
      <c r="D606" s="12" t="s">
        <v>1041</v>
      </c>
      <c r="E606" s="12" t="s">
        <v>1042</v>
      </c>
      <c r="F606" s="12" t="s">
        <v>1043</v>
      </c>
      <c r="G606" s="12" t="s">
        <v>86</v>
      </c>
      <c r="H606" s="12" t="s">
        <v>1199</v>
      </c>
      <c r="I606" s="12">
        <v>45.215342</v>
      </c>
      <c r="J606" s="12">
        <v>-75.156256999999997</v>
      </c>
      <c r="K606" s="12" t="s">
        <v>41</v>
      </c>
      <c r="L606" s="12" t="s">
        <v>223</v>
      </c>
      <c r="M606" s="12" t="s">
        <v>1200</v>
      </c>
      <c r="N606" s="12">
        <v>1.0469999999999999</v>
      </c>
      <c r="O606" s="12" t="s">
        <v>59</v>
      </c>
      <c r="P606" s="12">
        <v>1.0469999999999999</v>
      </c>
      <c r="Q606" s="12" t="s">
        <v>59</v>
      </c>
    </row>
    <row r="607" spans="1:17" x14ac:dyDescent="0.35">
      <c r="A607" s="12">
        <v>45</v>
      </c>
      <c r="B607" s="12" t="s">
        <v>1040</v>
      </c>
      <c r="C607" s="12">
        <v>2023</v>
      </c>
      <c r="D607" s="12" t="s">
        <v>1041</v>
      </c>
      <c r="E607" s="12" t="s">
        <v>1042</v>
      </c>
      <c r="F607" s="12" t="s">
        <v>1043</v>
      </c>
      <c r="G607" s="12" t="s">
        <v>86</v>
      </c>
      <c r="H607" s="12" t="s">
        <v>1201</v>
      </c>
      <c r="I607" s="12">
        <v>45.101106999999999</v>
      </c>
      <c r="J607" s="12">
        <v>-75.224889000000005</v>
      </c>
      <c r="K607" s="12" t="s">
        <v>41</v>
      </c>
      <c r="L607" s="12" t="s">
        <v>223</v>
      </c>
      <c r="M607" s="12" t="s">
        <v>1202</v>
      </c>
      <c r="N607" s="12">
        <v>5.1999999999999998E-2</v>
      </c>
      <c r="O607" s="12" t="s">
        <v>59</v>
      </c>
      <c r="P607" s="12">
        <v>5.1999999999999998E-2</v>
      </c>
      <c r="Q607" s="12" t="s">
        <v>59</v>
      </c>
    </row>
    <row r="608" spans="1:17" x14ac:dyDescent="0.35">
      <c r="A608" s="12">
        <v>45</v>
      </c>
      <c r="B608" s="12" t="s">
        <v>1040</v>
      </c>
      <c r="C608" s="12">
        <v>2023</v>
      </c>
      <c r="D608" s="12" t="s">
        <v>1041</v>
      </c>
      <c r="E608" s="12" t="s">
        <v>1042</v>
      </c>
      <c r="F608" s="12" t="s">
        <v>1043</v>
      </c>
      <c r="G608" s="12" t="s">
        <v>86</v>
      </c>
      <c r="H608" s="12" t="s">
        <v>1203</v>
      </c>
      <c r="I608" s="12">
        <v>45.049295000000001</v>
      </c>
      <c r="J608" s="12">
        <v>-75.319978000000006</v>
      </c>
      <c r="K608" s="12" t="s">
        <v>41</v>
      </c>
      <c r="L608" s="12" t="s">
        <v>223</v>
      </c>
      <c r="M608" s="12" t="s">
        <v>1204</v>
      </c>
      <c r="N608" s="12">
        <v>0.48299999999999998</v>
      </c>
      <c r="O608" s="12" t="s">
        <v>59</v>
      </c>
      <c r="P608" s="12">
        <v>0.48299999999999998</v>
      </c>
      <c r="Q608" s="12" t="s">
        <v>59</v>
      </c>
    </row>
    <row r="609" spans="1:17" x14ac:dyDescent="0.35">
      <c r="A609" s="12">
        <v>45</v>
      </c>
      <c r="B609" s="12" t="s">
        <v>1040</v>
      </c>
      <c r="C609" s="12">
        <v>2023</v>
      </c>
      <c r="D609" s="12" t="s">
        <v>1041</v>
      </c>
      <c r="E609" s="12" t="s">
        <v>1042</v>
      </c>
      <c r="F609" s="12" t="s">
        <v>1043</v>
      </c>
      <c r="G609" s="12" t="s">
        <v>161</v>
      </c>
      <c r="H609" s="12" t="s">
        <v>1205</v>
      </c>
      <c r="I609" s="12">
        <v>45.456637999999998</v>
      </c>
      <c r="J609" s="12">
        <v>-75.711916000000002</v>
      </c>
      <c r="K609" s="12" t="s">
        <v>41</v>
      </c>
      <c r="L609" s="12" t="s">
        <v>223</v>
      </c>
      <c r="M609" s="12" t="s">
        <v>1206</v>
      </c>
      <c r="N609" s="12">
        <v>1.3160000000000001</v>
      </c>
      <c r="O609" s="12" t="s">
        <v>59</v>
      </c>
      <c r="P609" s="12">
        <v>1.3160000000000001</v>
      </c>
      <c r="Q609" s="12" t="s">
        <v>59</v>
      </c>
    </row>
    <row r="610" spans="1:17" x14ac:dyDescent="0.35">
      <c r="A610" s="12">
        <v>45</v>
      </c>
      <c r="B610" s="12" t="s">
        <v>1040</v>
      </c>
      <c r="C610" s="12">
        <v>2023</v>
      </c>
      <c r="D610" s="12" t="s">
        <v>1041</v>
      </c>
      <c r="E610" s="12" t="s">
        <v>1042</v>
      </c>
      <c r="F610" s="12" t="s">
        <v>1043</v>
      </c>
      <c r="G610" s="12" t="s">
        <v>161</v>
      </c>
      <c r="H610" s="12" t="s">
        <v>1207</v>
      </c>
      <c r="I610" s="12">
        <v>45.638871000000002</v>
      </c>
      <c r="J610" s="12">
        <v>-75.929062999999999</v>
      </c>
      <c r="K610" s="12" t="s">
        <v>41</v>
      </c>
      <c r="L610" s="12" t="s">
        <v>223</v>
      </c>
      <c r="M610" s="12" t="s">
        <v>1208</v>
      </c>
      <c r="N610" s="12">
        <v>9.5000000000000001E-2</v>
      </c>
      <c r="O610" s="12" t="s">
        <v>59</v>
      </c>
      <c r="P610" s="12">
        <v>9.5000000000000001E-2</v>
      </c>
      <c r="Q610" s="12" t="s">
        <v>59</v>
      </c>
    </row>
    <row r="611" spans="1:17" x14ac:dyDescent="0.35">
      <c r="A611" s="12">
        <v>45</v>
      </c>
      <c r="B611" s="12" t="s">
        <v>1040</v>
      </c>
      <c r="C611" s="12">
        <v>2023</v>
      </c>
      <c r="D611" s="12" t="s">
        <v>1041</v>
      </c>
      <c r="E611" s="12" t="s">
        <v>1042</v>
      </c>
      <c r="F611" s="12" t="s">
        <v>1043</v>
      </c>
      <c r="G611" s="12" t="s">
        <v>161</v>
      </c>
      <c r="H611" s="12" t="s">
        <v>1209</v>
      </c>
      <c r="I611" s="12">
        <v>45.950208000000003</v>
      </c>
      <c r="J611" s="12">
        <v>-75.944429</v>
      </c>
      <c r="K611" s="12" t="s">
        <v>41</v>
      </c>
      <c r="L611" s="12" t="s">
        <v>223</v>
      </c>
      <c r="M611" s="12" t="s">
        <v>1210</v>
      </c>
      <c r="N611" s="12">
        <v>0.11600000000000001</v>
      </c>
      <c r="O611" s="12" t="s">
        <v>59</v>
      </c>
      <c r="P611" s="12">
        <v>0.11600000000000001</v>
      </c>
      <c r="Q611" s="12" t="s">
        <v>59</v>
      </c>
    </row>
    <row r="612" spans="1:17" x14ac:dyDescent="0.35">
      <c r="A612" s="12">
        <v>45</v>
      </c>
      <c r="B612" s="12" t="s">
        <v>1040</v>
      </c>
      <c r="C612" s="12">
        <v>2023</v>
      </c>
      <c r="D612" s="12" t="s">
        <v>1041</v>
      </c>
      <c r="E612" s="12" t="s">
        <v>1042</v>
      </c>
      <c r="F612" s="12" t="s">
        <v>1043</v>
      </c>
      <c r="G612" s="12" t="s">
        <v>161</v>
      </c>
      <c r="H612" s="12" t="s">
        <v>1211</v>
      </c>
      <c r="I612" s="12">
        <v>46.801527</v>
      </c>
      <c r="J612" s="12">
        <v>-75.862846000000005</v>
      </c>
      <c r="K612" s="12" t="s">
        <v>41</v>
      </c>
      <c r="L612" s="12" t="s">
        <v>223</v>
      </c>
      <c r="M612" s="12" t="s">
        <v>1212</v>
      </c>
      <c r="N612" s="12">
        <v>0.10199999999999999</v>
      </c>
      <c r="O612" s="12" t="s">
        <v>59</v>
      </c>
      <c r="P612" s="12">
        <v>0.10199999999999999</v>
      </c>
      <c r="Q612" s="12" t="s">
        <v>59</v>
      </c>
    </row>
    <row r="613" spans="1:17" x14ac:dyDescent="0.35">
      <c r="A613" s="12">
        <v>45</v>
      </c>
      <c r="B613" s="12" t="s">
        <v>1040</v>
      </c>
      <c r="C613" s="12">
        <v>2023</v>
      </c>
      <c r="D613" s="12" t="s">
        <v>1041</v>
      </c>
      <c r="E613" s="12" t="s">
        <v>1042</v>
      </c>
      <c r="F613" s="12" t="s">
        <v>1043</v>
      </c>
      <c r="G613" s="12" t="s">
        <v>161</v>
      </c>
      <c r="H613" s="12" t="s">
        <v>1213</v>
      </c>
      <c r="I613" s="12">
        <v>47.221885</v>
      </c>
      <c r="J613" s="12">
        <v>-76.726467</v>
      </c>
      <c r="K613" s="12" t="s">
        <v>41</v>
      </c>
      <c r="L613" s="12" t="s">
        <v>223</v>
      </c>
      <c r="M613" s="12" t="s">
        <v>1214</v>
      </c>
      <c r="N613" s="12">
        <v>0.495</v>
      </c>
      <c r="O613" s="12" t="s">
        <v>59</v>
      </c>
      <c r="P613" s="12">
        <v>0.495</v>
      </c>
      <c r="Q613" s="12" t="s">
        <v>59</v>
      </c>
    </row>
    <row r="614" spans="1:17" x14ac:dyDescent="0.35">
      <c r="A614" s="12">
        <v>45</v>
      </c>
      <c r="B614" s="12" t="s">
        <v>1040</v>
      </c>
      <c r="C614" s="12">
        <v>2023</v>
      </c>
      <c r="D614" s="12" t="s">
        <v>1041</v>
      </c>
      <c r="E614" s="12" t="s">
        <v>1042</v>
      </c>
      <c r="F614" s="12" t="s">
        <v>1043</v>
      </c>
      <c r="G614" s="12" t="s">
        <v>86</v>
      </c>
      <c r="H614" s="12" t="s">
        <v>1215</v>
      </c>
      <c r="I614" s="12">
        <v>45.439946999999997</v>
      </c>
      <c r="J614" s="12">
        <v>-76.348050999999998</v>
      </c>
      <c r="K614" s="12" t="s">
        <v>41</v>
      </c>
      <c r="L614" s="12" t="s">
        <v>223</v>
      </c>
      <c r="M614" s="12" t="s">
        <v>1216</v>
      </c>
      <c r="N614" s="12">
        <v>0.40400000000000003</v>
      </c>
      <c r="O614" s="12" t="s">
        <v>59</v>
      </c>
      <c r="P614" s="12">
        <v>0.40400000000000003</v>
      </c>
      <c r="Q614" s="12" t="s">
        <v>59</v>
      </c>
    </row>
    <row r="615" spans="1:17" x14ac:dyDescent="0.35">
      <c r="A615" s="12">
        <v>45</v>
      </c>
      <c r="B615" s="12" t="s">
        <v>1040</v>
      </c>
      <c r="C615" s="12">
        <v>2023</v>
      </c>
      <c r="D615" s="12" t="s">
        <v>1041</v>
      </c>
      <c r="E615" s="12" t="s">
        <v>1042</v>
      </c>
      <c r="F615" s="12" t="s">
        <v>1043</v>
      </c>
      <c r="G615" s="12" t="s">
        <v>86</v>
      </c>
      <c r="H615" s="12" t="s">
        <v>1217</v>
      </c>
      <c r="I615" s="12">
        <v>45.412615000000002</v>
      </c>
      <c r="J615" s="12">
        <v>-76.352937999999995</v>
      </c>
      <c r="K615" s="12" t="s">
        <v>41</v>
      </c>
      <c r="L615" s="12" t="s">
        <v>223</v>
      </c>
      <c r="M615" s="12" t="s">
        <v>1218</v>
      </c>
      <c r="N615" s="12">
        <v>1.0620000000000001</v>
      </c>
      <c r="O615" s="12" t="s">
        <v>59</v>
      </c>
      <c r="P615" s="12">
        <v>1.0620000000000001</v>
      </c>
      <c r="Q615" s="12" t="s">
        <v>59</v>
      </c>
    </row>
    <row r="616" spans="1:17" x14ac:dyDescent="0.35">
      <c r="A616" s="12">
        <v>45</v>
      </c>
      <c r="B616" s="12" t="s">
        <v>1040</v>
      </c>
      <c r="C616" s="12">
        <v>2023</v>
      </c>
      <c r="D616" s="12" t="s">
        <v>1041</v>
      </c>
      <c r="E616" s="12" t="s">
        <v>1042</v>
      </c>
      <c r="F616" s="12" t="s">
        <v>1043</v>
      </c>
      <c r="G616" s="12" t="s">
        <v>86</v>
      </c>
      <c r="H616" s="12" t="s">
        <v>1219</v>
      </c>
      <c r="I616" s="12">
        <v>45.391354</v>
      </c>
      <c r="J616" s="12">
        <v>-76.568797000000004</v>
      </c>
      <c r="K616" s="12" t="s">
        <v>41</v>
      </c>
      <c r="L616" s="12" t="s">
        <v>223</v>
      </c>
      <c r="M616" s="12" t="s">
        <v>1220</v>
      </c>
      <c r="N616" s="12">
        <v>0.42399999999999999</v>
      </c>
      <c r="O616" s="12" t="s">
        <v>59</v>
      </c>
      <c r="P616" s="12">
        <v>0.42399999999999999</v>
      </c>
      <c r="Q616" s="12" t="s">
        <v>59</v>
      </c>
    </row>
    <row r="617" spans="1:17" x14ac:dyDescent="0.35">
      <c r="A617" s="12">
        <v>45</v>
      </c>
      <c r="B617" s="12" t="s">
        <v>1040</v>
      </c>
      <c r="C617" s="12">
        <v>2023</v>
      </c>
      <c r="D617" s="12" t="s">
        <v>1041</v>
      </c>
      <c r="E617" s="12" t="s">
        <v>1042</v>
      </c>
      <c r="F617" s="12" t="s">
        <v>1043</v>
      </c>
      <c r="G617" s="12" t="s">
        <v>86</v>
      </c>
      <c r="H617" s="12" t="s">
        <v>1221</v>
      </c>
      <c r="I617" s="12">
        <v>45.363439</v>
      </c>
      <c r="J617" s="12">
        <v>-77.617052999999999</v>
      </c>
      <c r="K617" s="12" t="s">
        <v>41</v>
      </c>
      <c r="L617" s="12" t="s">
        <v>223</v>
      </c>
      <c r="M617" s="12" t="s">
        <v>1222</v>
      </c>
      <c r="N617" s="12">
        <v>0.72199999999999998</v>
      </c>
      <c r="O617" s="12" t="s">
        <v>59</v>
      </c>
      <c r="P617" s="12">
        <v>0.72199999999999998</v>
      </c>
      <c r="Q617" s="12" t="s">
        <v>59</v>
      </c>
    </row>
    <row r="618" spans="1:17" x14ac:dyDescent="0.35">
      <c r="A618" s="12">
        <v>45</v>
      </c>
      <c r="B618" s="12" t="s">
        <v>1040</v>
      </c>
      <c r="C618" s="12">
        <v>2023</v>
      </c>
      <c r="D618" s="12" t="s">
        <v>1041</v>
      </c>
      <c r="E618" s="12" t="s">
        <v>1042</v>
      </c>
      <c r="F618" s="12" t="s">
        <v>1043</v>
      </c>
      <c r="G618" s="12" t="s">
        <v>86</v>
      </c>
      <c r="H618" s="12" t="s">
        <v>1223</v>
      </c>
      <c r="I618" s="12">
        <v>45.503442</v>
      </c>
      <c r="J618" s="12">
        <v>-77.980283</v>
      </c>
      <c r="K618" s="12" t="s">
        <v>41</v>
      </c>
      <c r="L618" s="12" t="s">
        <v>223</v>
      </c>
      <c r="M618" s="12" t="s">
        <v>1224</v>
      </c>
      <c r="N618" s="12">
        <v>0.184</v>
      </c>
      <c r="O618" s="12" t="s">
        <v>59</v>
      </c>
      <c r="P618" s="12">
        <v>0.184</v>
      </c>
      <c r="Q618" s="12" t="s">
        <v>59</v>
      </c>
    </row>
    <row r="619" spans="1:17" x14ac:dyDescent="0.35">
      <c r="A619" s="12">
        <v>45</v>
      </c>
      <c r="B619" s="12" t="s">
        <v>1040</v>
      </c>
      <c r="C619" s="12">
        <v>2023</v>
      </c>
      <c r="D619" s="12" t="s">
        <v>1041</v>
      </c>
      <c r="E619" s="12" t="s">
        <v>1042</v>
      </c>
      <c r="F619" s="12" t="s">
        <v>1043</v>
      </c>
      <c r="G619" s="12" t="s">
        <v>86</v>
      </c>
      <c r="H619" s="12" t="s">
        <v>1225</v>
      </c>
      <c r="I619" s="12">
        <v>45.514547</v>
      </c>
      <c r="J619" s="12">
        <v>-76.557021000000006</v>
      </c>
      <c r="K619" s="12" t="s">
        <v>41</v>
      </c>
      <c r="L619" s="12" t="s">
        <v>223</v>
      </c>
      <c r="M619" s="12" t="s">
        <v>1226</v>
      </c>
      <c r="N619" s="12">
        <v>0.76500000000000001</v>
      </c>
      <c r="O619" s="12" t="s">
        <v>59</v>
      </c>
      <c r="P619" s="12">
        <v>0.76500000000000001</v>
      </c>
      <c r="Q619" s="12" t="s">
        <v>59</v>
      </c>
    </row>
    <row r="620" spans="1:17" x14ac:dyDescent="0.35">
      <c r="A620" s="12">
        <v>45</v>
      </c>
      <c r="B620" s="12" t="s">
        <v>1040</v>
      </c>
      <c r="C620" s="12">
        <v>2023</v>
      </c>
      <c r="D620" s="12" t="s">
        <v>1041</v>
      </c>
      <c r="E620" s="12" t="s">
        <v>1042</v>
      </c>
      <c r="F620" s="12" t="s">
        <v>1043</v>
      </c>
      <c r="G620" s="12" t="s">
        <v>86</v>
      </c>
      <c r="H620" s="12" t="s">
        <v>1227</v>
      </c>
      <c r="I620" s="12">
        <v>45.475011000000002</v>
      </c>
      <c r="J620" s="12">
        <v>-76.696661000000006</v>
      </c>
      <c r="K620" s="12" t="s">
        <v>41</v>
      </c>
      <c r="L620" s="12" t="s">
        <v>223</v>
      </c>
      <c r="M620" s="12" t="s">
        <v>1228</v>
      </c>
      <c r="N620" s="12">
        <v>0.88500000000000001</v>
      </c>
      <c r="O620" s="12" t="s">
        <v>59</v>
      </c>
      <c r="P620" s="12">
        <v>0.88500000000000001</v>
      </c>
      <c r="Q620" s="12" t="s">
        <v>59</v>
      </c>
    </row>
    <row r="621" spans="1:17" x14ac:dyDescent="0.35">
      <c r="A621" s="12">
        <v>45</v>
      </c>
      <c r="B621" s="12" t="s">
        <v>1040</v>
      </c>
      <c r="C621" s="12">
        <v>2023</v>
      </c>
      <c r="D621" s="12" t="s">
        <v>1041</v>
      </c>
      <c r="E621" s="12" t="s">
        <v>1042</v>
      </c>
      <c r="F621" s="12" t="s">
        <v>1043</v>
      </c>
      <c r="G621" s="12" t="s">
        <v>86</v>
      </c>
      <c r="H621" s="12" t="s">
        <v>1229</v>
      </c>
      <c r="I621" s="12">
        <v>45.504351</v>
      </c>
      <c r="J621" s="12">
        <v>-77.010315000000006</v>
      </c>
      <c r="K621" s="12" t="s">
        <v>41</v>
      </c>
      <c r="L621" s="12" t="s">
        <v>223</v>
      </c>
      <c r="M621" s="12" t="s">
        <v>1230</v>
      </c>
      <c r="N621" s="12">
        <v>0.20399999999999999</v>
      </c>
      <c r="O621" s="12" t="s">
        <v>59</v>
      </c>
      <c r="P621" s="12">
        <v>0.20399999999999999</v>
      </c>
      <c r="Q621" s="12" t="s">
        <v>59</v>
      </c>
    </row>
    <row r="622" spans="1:17" x14ac:dyDescent="0.35">
      <c r="A622" s="12">
        <v>45</v>
      </c>
      <c r="B622" s="12" t="s">
        <v>1040</v>
      </c>
      <c r="C622" s="12">
        <v>2023</v>
      </c>
      <c r="D622" s="12" t="s">
        <v>1041</v>
      </c>
      <c r="E622" s="12" t="s">
        <v>1042</v>
      </c>
      <c r="F622" s="12" t="s">
        <v>1043</v>
      </c>
      <c r="G622" s="12" t="s">
        <v>86</v>
      </c>
      <c r="H622" s="12" t="s">
        <v>1231</v>
      </c>
      <c r="I622" s="12">
        <v>45.59572</v>
      </c>
      <c r="J622" s="12">
        <v>-77.359825000000001</v>
      </c>
      <c r="K622" s="12" t="s">
        <v>41</v>
      </c>
      <c r="L622" s="12" t="s">
        <v>223</v>
      </c>
      <c r="M622" s="12" t="s">
        <v>1232</v>
      </c>
      <c r="N622" s="12">
        <v>0.51500000000000001</v>
      </c>
      <c r="O622" s="12" t="s">
        <v>59</v>
      </c>
      <c r="P622" s="12">
        <v>0.51500000000000001</v>
      </c>
      <c r="Q622" s="12" t="s">
        <v>59</v>
      </c>
    </row>
    <row r="623" spans="1:17" x14ac:dyDescent="0.35">
      <c r="A623" s="12">
        <v>45</v>
      </c>
      <c r="B623" s="12" t="s">
        <v>1040</v>
      </c>
      <c r="C623" s="12">
        <v>2023</v>
      </c>
      <c r="D623" s="12" t="s">
        <v>1041</v>
      </c>
      <c r="E623" s="12" t="s">
        <v>1042</v>
      </c>
      <c r="F623" s="12" t="s">
        <v>1043</v>
      </c>
      <c r="G623" s="12" t="s">
        <v>86</v>
      </c>
      <c r="H623" s="12" t="s">
        <v>1233</v>
      </c>
      <c r="I623" s="12">
        <v>45.657209999999999</v>
      </c>
      <c r="J623" s="12">
        <v>-77.565089999999998</v>
      </c>
      <c r="K623" s="12" t="s">
        <v>41</v>
      </c>
      <c r="L623" s="12" t="s">
        <v>223</v>
      </c>
      <c r="M623" s="12" t="s">
        <v>1234</v>
      </c>
      <c r="N623" s="12">
        <v>0.61799999999999999</v>
      </c>
      <c r="O623" s="12" t="s">
        <v>59</v>
      </c>
      <c r="P623" s="12">
        <v>0.61799999999999999</v>
      </c>
      <c r="Q623" s="12" t="s">
        <v>59</v>
      </c>
    </row>
    <row r="624" spans="1:17" x14ac:dyDescent="0.35">
      <c r="A624" s="12">
        <v>45</v>
      </c>
      <c r="B624" s="12" t="s">
        <v>1040</v>
      </c>
      <c r="C624" s="12">
        <v>2023</v>
      </c>
      <c r="D624" s="12" t="s">
        <v>1041</v>
      </c>
      <c r="E624" s="12" t="s">
        <v>1042</v>
      </c>
      <c r="F624" s="12" t="s">
        <v>1043</v>
      </c>
      <c r="G624" s="12" t="s">
        <v>86</v>
      </c>
      <c r="H624" s="12" t="s">
        <v>1235</v>
      </c>
      <c r="I624" s="12">
        <v>47.322850000000003</v>
      </c>
      <c r="J624" s="12">
        <v>-79.809351000000007</v>
      </c>
      <c r="K624" s="12" t="s">
        <v>41</v>
      </c>
      <c r="L624" s="12" t="s">
        <v>223</v>
      </c>
      <c r="M624" s="12" t="s">
        <v>1236</v>
      </c>
      <c r="N624" s="12">
        <v>0.157</v>
      </c>
      <c r="O624" s="12" t="s">
        <v>59</v>
      </c>
      <c r="P624" s="12">
        <v>0.157</v>
      </c>
      <c r="Q624" s="12" t="s">
        <v>59</v>
      </c>
    </row>
    <row r="625" spans="1:18" x14ac:dyDescent="0.35">
      <c r="A625" s="12">
        <v>45</v>
      </c>
      <c r="B625" s="12" t="s">
        <v>1040</v>
      </c>
      <c r="C625" s="12">
        <v>2023</v>
      </c>
      <c r="D625" s="12" t="s">
        <v>1041</v>
      </c>
      <c r="E625" s="12" t="s">
        <v>1042</v>
      </c>
      <c r="F625" s="12" t="s">
        <v>1043</v>
      </c>
      <c r="G625" s="12" t="s">
        <v>86</v>
      </c>
      <c r="H625" s="12" t="s">
        <v>1237</v>
      </c>
      <c r="I625" s="12">
        <v>47.732002999999999</v>
      </c>
      <c r="J625" s="12">
        <v>-80.332611</v>
      </c>
      <c r="K625" s="12" t="s">
        <v>41</v>
      </c>
      <c r="L625" s="12" t="s">
        <v>223</v>
      </c>
      <c r="M625" s="12" t="s">
        <v>1238</v>
      </c>
      <c r="N625" s="12">
        <v>0.05</v>
      </c>
      <c r="O625" s="12" t="s">
        <v>59</v>
      </c>
      <c r="P625" s="12">
        <v>0.05</v>
      </c>
      <c r="Q625" s="12" t="s">
        <v>59</v>
      </c>
    </row>
    <row r="626" spans="1:18" x14ac:dyDescent="0.35">
      <c r="A626" s="12">
        <v>45</v>
      </c>
      <c r="B626" s="12" t="s">
        <v>1040</v>
      </c>
      <c r="C626" s="12">
        <v>2023</v>
      </c>
      <c r="D626" s="12" t="s">
        <v>1041</v>
      </c>
      <c r="E626" s="12" t="s">
        <v>1042</v>
      </c>
      <c r="F626" s="12" t="s">
        <v>1043</v>
      </c>
      <c r="G626" s="12" t="s">
        <v>86</v>
      </c>
      <c r="H626" s="12" t="s">
        <v>1239</v>
      </c>
      <c r="I626" s="12">
        <v>47.939579000000002</v>
      </c>
      <c r="J626" s="12">
        <v>-80.650747999999993</v>
      </c>
      <c r="K626" s="12" t="s">
        <v>41</v>
      </c>
      <c r="L626" s="12" t="s">
        <v>223</v>
      </c>
      <c r="M626" s="12" t="s">
        <v>1240</v>
      </c>
      <c r="N626" s="12">
        <v>3.1779999999999999</v>
      </c>
      <c r="O626" s="12" t="s">
        <v>59</v>
      </c>
      <c r="P626" s="12">
        <v>3.1779999999999999</v>
      </c>
      <c r="Q626" s="12" t="s">
        <v>59</v>
      </c>
    </row>
    <row r="627" spans="1:18" x14ac:dyDescent="0.35">
      <c r="A627" s="12">
        <v>45</v>
      </c>
      <c r="B627" s="12" t="s">
        <v>1040</v>
      </c>
      <c r="C627" s="12">
        <v>2023</v>
      </c>
      <c r="D627" s="12" t="s">
        <v>1041</v>
      </c>
      <c r="E627" s="12" t="s">
        <v>1042</v>
      </c>
      <c r="F627" s="12" t="s">
        <v>1043</v>
      </c>
      <c r="G627" s="12" t="s">
        <v>86</v>
      </c>
      <c r="H627" s="12" t="s">
        <v>1241</v>
      </c>
      <c r="I627" s="12">
        <v>48.005026000000001</v>
      </c>
      <c r="J627" s="12">
        <v>-80.741849999999999</v>
      </c>
      <c r="K627" s="12" t="s">
        <v>41</v>
      </c>
      <c r="L627" s="12" t="s">
        <v>223</v>
      </c>
      <c r="M627" s="12" t="s">
        <v>1242</v>
      </c>
      <c r="N627" s="12">
        <v>0.55400000000000005</v>
      </c>
      <c r="O627" s="12" t="s">
        <v>59</v>
      </c>
      <c r="P627" s="12">
        <v>0.55400000000000005</v>
      </c>
      <c r="Q627" s="12" t="s">
        <v>59</v>
      </c>
    </row>
    <row r="628" spans="1:18" x14ac:dyDescent="0.35">
      <c r="A628" s="12">
        <v>45</v>
      </c>
      <c r="B628" s="12" t="s">
        <v>1040</v>
      </c>
      <c r="C628" s="12">
        <v>2023</v>
      </c>
      <c r="D628" s="12" t="s">
        <v>1041</v>
      </c>
      <c r="E628" s="12" t="s">
        <v>1042</v>
      </c>
      <c r="F628" s="12" t="s">
        <v>1043</v>
      </c>
      <c r="G628" s="12" t="s">
        <v>86</v>
      </c>
      <c r="H628" s="12" t="s">
        <v>1243</v>
      </c>
      <c r="I628" s="12">
        <v>47.651865000000001</v>
      </c>
      <c r="J628" s="12">
        <v>-80.776398999999998</v>
      </c>
      <c r="K628" s="12" t="s">
        <v>41</v>
      </c>
      <c r="L628" s="12" t="s">
        <v>223</v>
      </c>
      <c r="M628" s="12" t="s">
        <v>1244</v>
      </c>
      <c r="N628" s="12">
        <v>0.34300000000000003</v>
      </c>
      <c r="O628" s="12" t="s">
        <v>59</v>
      </c>
      <c r="P628" s="12">
        <v>0.34300000000000003</v>
      </c>
      <c r="Q628" s="12" t="s">
        <v>59</v>
      </c>
    </row>
    <row r="629" spans="1:18" x14ac:dyDescent="0.35">
      <c r="A629" s="12">
        <v>45</v>
      </c>
      <c r="B629" s="12" t="s">
        <v>1040</v>
      </c>
      <c r="C629" s="12">
        <v>2023</v>
      </c>
      <c r="D629" s="12" t="s">
        <v>1041</v>
      </c>
      <c r="E629" s="12" t="s">
        <v>1042</v>
      </c>
      <c r="F629" s="12" t="s">
        <v>1043</v>
      </c>
      <c r="G629" s="12" t="s">
        <v>86</v>
      </c>
      <c r="H629" s="12" t="s">
        <v>1245</v>
      </c>
      <c r="I629" s="12">
        <v>47.608885999999998</v>
      </c>
      <c r="J629" s="12">
        <v>-79.540142000000003</v>
      </c>
      <c r="K629" s="12" t="s">
        <v>41</v>
      </c>
      <c r="L629" s="12" t="s">
        <v>223</v>
      </c>
      <c r="M629" s="12" t="s">
        <v>1246</v>
      </c>
      <c r="N629" s="12">
        <v>0.39700000000000002</v>
      </c>
      <c r="O629" s="12" t="s">
        <v>59</v>
      </c>
      <c r="P629" s="12">
        <v>0.39700000000000002</v>
      </c>
      <c r="Q629" s="12" t="s">
        <v>59</v>
      </c>
    </row>
    <row r="630" spans="1:18" x14ac:dyDescent="0.35">
      <c r="A630" s="12">
        <v>45</v>
      </c>
      <c r="B630" s="12" t="s">
        <v>1040</v>
      </c>
      <c r="C630" s="12">
        <v>2023</v>
      </c>
      <c r="D630" s="12" t="s">
        <v>1041</v>
      </c>
      <c r="E630" s="12" t="s">
        <v>1042</v>
      </c>
      <c r="F630" s="12" t="s">
        <v>1043</v>
      </c>
      <c r="G630" s="12" t="s">
        <v>86</v>
      </c>
      <c r="H630" s="12" t="s">
        <v>1247</v>
      </c>
      <c r="I630" s="12">
        <v>47.699959</v>
      </c>
      <c r="J630" s="12">
        <v>-79.673721999999998</v>
      </c>
      <c r="K630" s="12" t="s">
        <v>41</v>
      </c>
      <c r="L630" s="12" t="s">
        <v>223</v>
      </c>
      <c r="M630" s="12" t="s">
        <v>1248</v>
      </c>
      <c r="N630" s="12">
        <v>0.38600000000000001</v>
      </c>
      <c r="O630" s="12" t="s">
        <v>59</v>
      </c>
      <c r="P630" s="12">
        <v>0.38600000000000001</v>
      </c>
      <c r="Q630" s="12" t="s">
        <v>59</v>
      </c>
    </row>
    <row r="631" spans="1:18" x14ac:dyDescent="0.35">
      <c r="A631" s="12">
        <v>45</v>
      </c>
      <c r="B631" s="12" t="s">
        <v>1040</v>
      </c>
      <c r="C631" s="12">
        <v>2023</v>
      </c>
      <c r="D631" s="12" t="s">
        <v>1041</v>
      </c>
      <c r="E631" s="12" t="s">
        <v>1042</v>
      </c>
      <c r="F631" s="12" t="s">
        <v>1043</v>
      </c>
      <c r="G631" s="12" t="s">
        <v>86</v>
      </c>
      <c r="H631" s="12" t="s">
        <v>1249</v>
      </c>
      <c r="I631" s="12">
        <v>48.000138999999997</v>
      </c>
      <c r="J631" s="12">
        <v>-80.061083999999994</v>
      </c>
      <c r="K631" s="12" t="s">
        <v>41</v>
      </c>
      <c r="L631" s="12" t="s">
        <v>223</v>
      </c>
      <c r="M631" s="12" t="s">
        <v>1250</v>
      </c>
      <c r="N631" s="12">
        <v>0.61799999999999999</v>
      </c>
      <c r="O631" s="12" t="s">
        <v>59</v>
      </c>
      <c r="P631" s="12">
        <v>0.61799999999999999</v>
      </c>
      <c r="Q631" s="12" t="s">
        <v>59</v>
      </c>
    </row>
    <row r="632" spans="1:18" x14ac:dyDescent="0.35">
      <c r="A632" s="12">
        <v>45</v>
      </c>
      <c r="B632" s="12" t="s">
        <v>1040</v>
      </c>
      <c r="C632" s="12">
        <v>2023</v>
      </c>
      <c r="D632" s="12" t="s">
        <v>1041</v>
      </c>
      <c r="E632" s="12" t="s">
        <v>1042</v>
      </c>
      <c r="F632" s="12" t="s">
        <v>1043</v>
      </c>
      <c r="G632" s="12" t="s">
        <v>86</v>
      </c>
      <c r="H632" s="12" t="s">
        <v>1251</v>
      </c>
      <c r="I632" s="12">
        <v>48.109498000000002</v>
      </c>
      <c r="J632" s="12">
        <v>-80.104714999999999</v>
      </c>
      <c r="K632" s="12" t="s">
        <v>41</v>
      </c>
      <c r="L632" s="12" t="s">
        <v>223</v>
      </c>
      <c r="M632" s="12" t="s">
        <v>1252</v>
      </c>
      <c r="N632" s="12">
        <v>0.4</v>
      </c>
      <c r="O632" s="12" t="s">
        <v>59</v>
      </c>
      <c r="P632" s="12">
        <v>0.4</v>
      </c>
      <c r="Q632" s="12" t="s">
        <v>59</v>
      </c>
    </row>
    <row r="633" spans="1:18" x14ac:dyDescent="0.35">
      <c r="A633" s="12">
        <v>46</v>
      </c>
      <c r="B633" s="12" t="s">
        <v>1253</v>
      </c>
      <c r="C633" s="12">
        <v>2022</v>
      </c>
      <c r="D633" s="12" t="s">
        <v>420</v>
      </c>
      <c r="E633" s="12" t="s">
        <v>1254</v>
      </c>
      <c r="F633" s="12" t="s">
        <v>1255</v>
      </c>
      <c r="G633" s="12" t="s">
        <v>86</v>
      </c>
      <c r="H633" s="12" t="s">
        <v>1256</v>
      </c>
      <c r="I633" s="12">
        <v>43.566666669999996</v>
      </c>
      <c r="J633" s="16">
        <v>-82.484999999999999</v>
      </c>
      <c r="K633" s="12" t="s">
        <v>103</v>
      </c>
      <c r="L633" s="12" t="s">
        <v>28</v>
      </c>
      <c r="N633" s="12">
        <v>970</v>
      </c>
      <c r="O633" s="12" t="s">
        <v>346</v>
      </c>
      <c r="P633" s="12">
        <f t="shared" ref="P633:P664" si="16">N633</f>
        <v>970</v>
      </c>
      <c r="Q633" s="12" t="s">
        <v>107</v>
      </c>
      <c r="R633" s="12" t="s">
        <v>1257</v>
      </c>
    </row>
    <row r="634" spans="1:18" x14ac:dyDescent="0.35">
      <c r="A634" s="12">
        <v>46</v>
      </c>
      <c r="B634" s="12" t="s">
        <v>1253</v>
      </c>
      <c r="C634" s="12">
        <v>2022</v>
      </c>
      <c r="D634" s="12" t="s">
        <v>420</v>
      </c>
      <c r="E634" s="12" t="s">
        <v>1254</v>
      </c>
      <c r="F634" s="12" t="s">
        <v>1255</v>
      </c>
      <c r="G634" s="12" t="s">
        <v>86</v>
      </c>
      <c r="H634" s="12" t="s">
        <v>1258</v>
      </c>
      <c r="I634" s="12">
        <v>43.633333329999999</v>
      </c>
      <c r="J634" s="16">
        <v>-82.216666700000005</v>
      </c>
      <c r="K634" s="12" t="s">
        <v>103</v>
      </c>
      <c r="L634" s="12" t="s">
        <v>28</v>
      </c>
      <c r="N634" s="12">
        <v>2712</v>
      </c>
      <c r="O634" s="12" t="s">
        <v>346</v>
      </c>
      <c r="P634" s="12">
        <f t="shared" si="16"/>
        <v>2712</v>
      </c>
      <c r="Q634" s="12" t="s">
        <v>107</v>
      </c>
      <c r="R634" s="12" t="s">
        <v>1257</v>
      </c>
    </row>
    <row r="635" spans="1:18" x14ac:dyDescent="0.35">
      <c r="A635" s="12">
        <v>46</v>
      </c>
      <c r="B635" s="12" t="s">
        <v>1253</v>
      </c>
      <c r="C635" s="12">
        <v>2022</v>
      </c>
      <c r="D635" s="12" t="s">
        <v>420</v>
      </c>
      <c r="E635" s="12" t="s">
        <v>1254</v>
      </c>
      <c r="F635" s="12" t="s">
        <v>1255</v>
      </c>
      <c r="G635" s="12" t="s">
        <v>86</v>
      </c>
      <c r="H635" s="12" t="s">
        <v>1259</v>
      </c>
      <c r="I635" s="12">
        <v>43.749111110000001</v>
      </c>
      <c r="J635" s="16">
        <v>-81.737833300000005</v>
      </c>
      <c r="K635" s="12" t="s">
        <v>103</v>
      </c>
      <c r="L635" s="12" t="s">
        <v>28</v>
      </c>
      <c r="N635" s="12">
        <v>202</v>
      </c>
      <c r="O635" s="12" t="s">
        <v>346</v>
      </c>
      <c r="P635" s="12">
        <f t="shared" si="16"/>
        <v>202</v>
      </c>
      <c r="Q635" s="12" t="s">
        <v>107</v>
      </c>
      <c r="R635" s="12" t="s">
        <v>1257</v>
      </c>
    </row>
    <row r="636" spans="1:18" x14ac:dyDescent="0.35">
      <c r="A636" s="12">
        <v>46</v>
      </c>
      <c r="B636" s="12" t="s">
        <v>1253</v>
      </c>
      <c r="C636" s="12">
        <v>2022</v>
      </c>
      <c r="D636" s="12" t="s">
        <v>420</v>
      </c>
      <c r="E636" s="12" t="s">
        <v>1254</v>
      </c>
      <c r="F636" s="12" t="s">
        <v>1255</v>
      </c>
      <c r="G636" s="12" t="s">
        <v>86</v>
      </c>
      <c r="H636" s="12" t="s">
        <v>1260</v>
      </c>
      <c r="I636" s="12">
        <v>43.825000000000003</v>
      </c>
      <c r="J636" s="16">
        <v>-83.817222200000003</v>
      </c>
      <c r="K636" s="12" t="s">
        <v>103</v>
      </c>
      <c r="L636" s="12" t="s">
        <v>28</v>
      </c>
      <c r="N636" s="12">
        <v>7466</v>
      </c>
      <c r="O636" s="12" t="s">
        <v>346</v>
      </c>
      <c r="P636" s="12">
        <f t="shared" si="16"/>
        <v>7466</v>
      </c>
      <c r="Q636" s="12" t="s">
        <v>107</v>
      </c>
      <c r="R636" s="12" t="s">
        <v>1257</v>
      </c>
    </row>
    <row r="637" spans="1:18" x14ac:dyDescent="0.35">
      <c r="A637" s="12">
        <v>46</v>
      </c>
      <c r="B637" s="12" t="s">
        <v>1253</v>
      </c>
      <c r="C637" s="12">
        <v>2022</v>
      </c>
      <c r="D637" s="12" t="s">
        <v>420</v>
      </c>
      <c r="E637" s="12" t="s">
        <v>1254</v>
      </c>
      <c r="F637" s="12" t="s">
        <v>1255</v>
      </c>
      <c r="G637" s="12" t="s">
        <v>86</v>
      </c>
      <c r="H637" s="12" t="s">
        <v>1261</v>
      </c>
      <c r="I637" s="12">
        <v>43.89</v>
      </c>
      <c r="J637" s="16">
        <v>-82.056666699999994</v>
      </c>
      <c r="K637" s="12" t="s">
        <v>103</v>
      </c>
      <c r="L637" s="12" t="s">
        <v>28</v>
      </c>
      <c r="N637" s="12">
        <v>20110</v>
      </c>
      <c r="O637" s="12" t="s">
        <v>346</v>
      </c>
      <c r="P637" s="12">
        <f t="shared" si="16"/>
        <v>20110</v>
      </c>
      <c r="Q637" s="12" t="s">
        <v>107</v>
      </c>
      <c r="R637" s="12" t="s">
        <v>1257</v>
      </c>
    </row>
    <row r="638" spans="1:18" x14ac:dyDescent="0.35">
      <c r="A638" s="12">
        <v>46</v>
      </c>
      <c r="B638" s="12" t="s">
        <v>1253</v>
      </c>
      <c r="C638" s="12">
        <v>2022</v>
      </c>
      <c r="D638" s="12" t="s">
        <v>420</v>
      </c>
      <c r="E638" s="12" t="s">
        <v>1254</v>
      </c>
      <c r="F638" s="12" t="s">
        <v>1255</v>
      </c>
      <c r="G638" s="12" t="s">
        <v>86</v>
      </c>
      <c r="H638" s="12" t="s">
        <v>1262</v>
      </c>
      <c r="I638" s="12">
        <v>43.908333329999998</v>
      </c>
      <c r="J638" s="16">
        <v>-83.741666699999996</v>
      </c>
      <c r="K638" s="12" t="s">
        <v>103</v>
      </c>
      <c r="L638" s="12" t="s">
        <v>28</v>
      </c>
      <c r="N638" s="12">
        <v>1789</v>
      </c>
      <c r="O638" s="12" t="s">
        <v>346</v>
      </c>
      <c r="P638" s="12">
        <f t="shared" si="16"/>
        <v>1789</v>
      </c>
      <c r="Q638" s="12" t="s">
        <v>107</v>
      </c>
      <c r="R638" s="12" t="s">
        <v>1257</v>
      </c>
    </row>
    <row r="639" spans="1:18" x14ac:dyDescent="0.35">
      <c r="A639" s="12">
        <v>46</v>
      </c>
      <c r="B639" s="12" t="s">
        <v>1253</v>
      </c>
      <c r="C639" s="12">
        <v>2022</v>
      </c>
      <c r="D639" s="12" t="s">
        <v>420</v>
      </c>
      <c r="E639" s="12" t="s">
        <v>1254</v>
      </c>
      <c r="F639" s="12" t="s">
        <v>1255</v>
      </c>
      <c r="G639" s="12" t="s">
        <v>86</v>
      </c>
      <c r="H639" s="12" t="s">
        <v>1263</v>
      </c>
      <c r="I639" s="12">
        <v>43.976388890000003</v>
      </c>
      <c r="J639" s="16">
        <v>-83.575555600000001</v>
      </c>
      <c r="K639" s="12" t="s">
        <v>103</v>
      </c>
      <c r="L639" s="12" t="s">
        <v>28</v>
      </c>
      <c r="N639" s="12">
        <v>690</v>
      </c>
      <c r="O639" s="12" t="s">
        <v>346</v>
      </c>
      <c r="P639" s="12">
        <f t="shared" si="16"/>
        <v>690</v>
      </c>
      <c r="Q639" s="12" t="s">
        <v>107</v>
      </c>
      <c r="R639" s="12" t="s">
        <v>1257</v>
      </c>
    </row>
    <row r="640" spans="1:18" x14ac:dyDescent="0.35">
      <c r="A640" s="12">
        <v>46</v>
      </c>
      <c r="B640" s="12" t="s">
        <v>1253</v>
      </c>
      <c r="C640" s="12">
        <v>2022</v>
      </c>
      <c r="D640" s="12" t="s">
        <v>420</v>
      </c>
      <c r="E640" s="12" t="s">
        <v>1254</v>
      </c>
      <c r="F640" s="12" t="s">
        <v>1255</v>
      </c>
      <c r="G640" s="12" t="s">
        <v>86</v>
      </c>
      <c r="H640" s="12" t="s">
        <v>1264</v>
      </c>
      <c r="I640" s="12">
        <v>44.11527778</v>
      </c>
      <c r="J640" s="16">
        <v>-83.529166700000005</v>
      </c>
      <c r="K640" s="12" t="s">
        <v>103</v>
      </c>
      <c r="L640" s="12" t="s">
        <v>28</v>
      </c>
      <c r="N640" s="12">
        <v>73</v>
      </c>
      <c r="O640" s="12" t="s">
        <v>346</v>
      </c>
      <c r="P640" s="12">
        <f t="shared" si="16"/>
        <v>73</v>
      </c>
      <c r="Q640" s="12" t="s">
        <v>107</v>
      </c>
      <c r="R640" s="12" t="s">
        <v>1257</v>
      </c>
    </row>
    <row r="641" spans="1:18" x14ac:dyDescent="0.35">
      <c r="A641" s="12">
        <v>46</v>
      </c>
      <c r="B641" s="12" t="s">
        <v>1253</v>
      </c>
      <c r="C641" s="12">
        <v>2022</v>
      </c>
      <c r="D641" s="12" t="s">
        <v>420</v>
      </c>
      <c r="E641" s="12" t="s">
        <v>1254</v>
      </c>
      <c r="F641" s="12" t="s">
        <v>1255</v>
      </c>
      <c r="G641" s="12" t="s">
        <v>86</v>
      </c>
      <c r="H641" s="12" t="s">
        <v>1265</v>
      </c>
      <c r="I641" s="12">
        <v>44.126388890000001</v>
      </c>
      <c r="J641" s="16">
        <v>-83.170833299999998</v>
      </c>
      <c r="K641" s="12" t="s">
        <v>103</v>
      </c>
      <c r="L641" s="12" t="s">
        <v>28</v>
      </c>
      <c r="N641" s="12">
        <v>316</v>
      </c>
      <c r="O641" s="12" t="s">
        <v>346</v>
      </c>
      <c r="P641" s="12">
        <f t="shared" si="16"/>
        <v>316</v>
      </c>
      <c r="Q641" s="12" t="s">
        <v>107</v>
      </c>
      <c r="R641" s="12" t="s">
        <v>1257</v>
      </c>
    </row>
    <row r="642" spans="1:18" x14ac:dyDescent="0.35">
      <c r="A642" s="12">
        <v>46</v>
      </c>
      <c r="B642" s="12" t="s">
        <v>1253</v>
      </c>
      <c r="C642" s="12">
        <v>2022</v>
      </c>
      <c r="D642" s="12" t="s">
        <v>420</v>
      </c>
      <c r="E642" s="12" t="s">
        <v>1254</v>
      </c>
      <c r="F642" s="12" t="s">
        <v>1255</v>
      </c>
      <c r="G642" s="12" t="s">
        <v>86</v>
      </c>
      <c r="H642" s="12" t="s">
        <v>1266</v>
      </c>
      <c r="I642" s="12">
        <v>44.198333329999997</v>
      </c>
      <c r="J642" s="16">
        <v>-82.503333299999994</v>
      </c>
      <c r="K642" s="12" t="s">
        <v>103</v>
      </c>
      <c r="L642" s="12" t="s">
        <v>28</v>
      </c>
      <c r="N642" s="12">
        <v>1000</v>
      </c>
      <c r="O642" s="12" t="s">
        <v>346</v>
      </c>
      <c r="P642" s="12">
        <f t="shared" si="16"/>
        <v>1000</v>
      </c>
      <c r="Q642" s="12" t="s">
        <v>107</v>
      </c>
      <c r="R642" s="12" t="s">
        <v>1257</v>
      </c>
    </row>
    <row r="643" spans="1:18" x14ac:dyDescent="0.35">
      <c r="A643" s="12">
        <v>46</v>
      </c>
      <c r="B643" s="12" t="s">
        <v>1253</v>
      </c>
      <c r="C643" s="12">
        <v>2022</v>
      </c>
      <c r="D643" s="12" t="s">
        <v>420</v>
      </c>
      <c r="E643" s="12" t="s">
        <v>1254</v>
      </c>
      <c r="F643" s="12" t="s">
        <v>1255</v>
      </c>
      <c r="G643" s="12" t="s">
        <v>86</v>
      </c>
      <c r="H643" s="12" t="s">
        <v>1267</v>
      </c>
      <c r="I643" s="12">
        <v>44.212499999999999</v>
      </c>
      <c r="J643" s="16">
        <v>-83.370833300000001</v>
      </c>
      <c r="K643" s="12" t="s">
        <v>103</v>
      </c>
      <c r="L643" s="12" t="s">
        <v>28</v>
      </c>
      <c r="N643" s="12">
        <v>1046</v>
      </c>
      <c r="O643" s="12" t="s">
        <v>346</v>
      </c>
      <c r="P643" s="12">
        <f t="shared" si="16"/>
        <v>1046</v>
      </c>
      <c r="Q643" s="12" t="s">
        <v>107</v>
      </c>
      <c r="R643" s="12" t="s">
        <v>1257</v>
      </c>
    </row>
    <row r="644" spans="1:18" x14ac:dyDescent="0.35">
      <c r="A644" s="12">
        <v>46</v>
      </c>
      <c r="B644" s="12" t="s">
        <v>1253</v>
      </c>
      <c r="C644" s="12">
        <v>2022</v>
      </c>
      <c r="D644" s="12" t="s">
        <v>420</v>
      </c>
      <c r="E644" s="12" t="s">
        <v>1254</v>
      </c>
      <c r="F644" s="12" t="s">
        <v>1255</v>
      </c>
      <c r="G644" s="12" t="s">
        <v>86</v>
      </c>
      <c r="H644" s="12" t="s">
        <v>1268</v>
      </c>
      <c r="I644" s="12">
        <v>44.216666670000002</v>
      </c>
      <c r="J644" s="16">
        <v>-83.083333300000007</v>
      </c>
      <c r="K644" s="12" t="s">
        <v>103</v>
      </c>
      <c r="L644" s="12" t="s">
        <v>28</v>
      </c>
      <c r="N644" s="12">
        <v>1028</v>
      </c>
      <c r="O644" s="12" t="s">
        <v>346</v>
      </c>
      <c r="P644" s="12">
        <f t="shared" si="16"/>
        <v>1028</v>
      </c>
      <c r="Q644" s="12" t="s">
        <v>107</v>
      </c>
      <c r="R644" s="12" t="s">
        <v>1257</v>
      </c>
    </row>
    <row r="645" spans="1:18" x14ac:dyDescent="0.35">
      <c r="A645" s="12">
        <v>46</v>
      </c>
      <c r="B645" s="12" t="s">
        <v>1253</v>
      </c>
      <c r="C645" s="12">
        <v>2022</v>
      </c>
      <c r="D645" s="12" t="s">
        <v>420</v>
      </c>
      <c r="E645" s="12" t="s">
        <v>1254</v>
      </c>
      <c r="F645" s="12" t="s">
        <v>1255</v>
      </c>
      <c r="G645" s="12" t="s">
        <v>86</v>
      </c>
      <c r="H645" s="12" t="s">
        <v>1269</v>
      </c>
      <c r="I645" s="12">
        <v>44.333333330000002</v>
      </c>
      <c r="J645" s="16">
        <v>-83.3</v>
      </c>
      <c r="K645" s="12" t="s">
        <v>103</v>
      </c>
      <c r="L645" s="12" t="s">
        <v>28</v>
      </c>
      <c r="N645" s="12">
        <v>328</v>
      </c>
      <c r="O645" s="12" t="s">
        <v>346</v>
      </c>
      <c r="P645" s="12">
        <f t="shared" si="16"/>
        <v>328</v>
      </c>
      <c r="Q645" s="12" t="s">
        <v>107</v>
      </c>
      <c r="R645" s="12" t="s">
        <v>1257</v>
      </c>
    </row>
    <row r="646" spans="1:18" x14ac:dyDescent="0.35">
      <c r="A646" s="12">
        <v>46</v>
      </c>
      <c r="B646" s="12" t="s">
        <v>1253</v>
      </c>
      <c r="C646" s="12">
        <v>2022</v>
      </c>
      <c r="D646" s="12" t="s">
        <v>420</v>
      </c>
      <c r="E646" s="12" t="s">
        <v>1254</v>
      </c>
      <c r="F646" s="12" t="s">
        <v>1255</v>
      </c>
      <c r="G646" s="12" t="s">
        <v>86</v>
      </c>
      <c r="H646" s="12" t="s">
        <v>1270</v>
      </c>
      <c r="I646" s="12">
        <v>44.366666670000001</v>
      </c>
      <c r="J646" s="16">
        <v>-81.833333300000007</v>
      </c>
      <c r="K646" s="12" t="s">
        <v>103</v>
      </c>
      <c r="L646" s="12" t="s">
        <v>28</v>
      </c>
      <c r="N646" s="12">
        <v>715</v>
      </c>
      <c r="O646" s="12" t="s">
        <v>346</v>
      </c>
      <c r="P646" s="12">
        <f t="shared" si="16"/>
        <v>715</v>
      </c>
      <c r="Q646" s="12" t="s">
        <v>107</v>
      </c>
      <c r="R646" s="12" t="s">
        <v>1257</v>
      </c>
    </row>
    <row r="647" spans="1:18" x14ac:dyDescent="0.35">
      <c r="A647" s="12">
        <v>46</v>
      </c>
      <c r="B647" s="12" t="s">
        <v>1253</v>
      </c>
      <c r="C647" s="12">
        <v>2022</v>
      </c>
      <c r="D647" s="12" t="s">
        <v>420</v>
      </c>
      <c r="E647" s="12" t="s">
        <v>1254</v>
      </c>
      <c r="F647" s="12" t="s">
        <v>1255</v>
      </c>
      <c r="G647" s="12" t="s">
        <v>86</v>
      </c>
      <c r="H647" s="12" t="s">
        <v>1271</v>
      </c>
      <c r="I647" s="12">
        <v>44.45333333</v>
      </c>
      <c r="J647" s="16">
        <v>-82.341666700000005</v>
      </c>
      <c r="K647" s="12" t="s">
        <v>103</v>
      </c>
      <c r="L647" s="12" t="s">
        <v>28</v>
      </c>
      <c r="N647" s="12">
        <v>9980</v>
      </c>
      <c r="O647" s="12" t="s">
        <v>346</v>
      </c>
      <c r="P647" s="12">
        <f t="shared" si="16"/>
        <v>9980</v>
      </c>
      <c r="Q647" s="12" t="s">
        <v>107</v>
      </c>
      <c r="R647" s="12" t="s">
        <v>1257</v>
      </c>
    </row>
    <row r="648" spans="1:18" x14ac:dyDescent="0.35">
      <c r="A648" s="12">
        <v>46</v>
      </c>
      <c r="B648" s="12" t="s">
        <v>1253</v>
      </c>
      <c r="C648" s="12">
        <v>2022</v>
      </c>
      <c r="D648" s="12" t="s">
        <v>420</v>
      </c>
      <c r="E648" s="12" t="s">
        <v>1254</v>
      </c>
      <c r="F648" s="12" t="s">
        <v>1255</v>
      </c>
      <c r="G648" s="12" t="s">
        <v>86</v>
      </c>
      <c r="H648" s="12" t="s">
        <v>1272</v>
      </c>
      <c r="I648" s="12">
        <v>44.466666670000002</v>
      </c>
      <c r="J648" s="16">
        <v>-81.453333299999997</v>
      </c>
      <c r="K648" s="12" t="s">
        <v>103</v>
      </c>
      <c r="L648" s="12" t="s">
        <v>28</v>
      </c>
      <c r="N648" s="12">
        <v>325</v>
      </c>
      <c r="O648" s="12" t="s">
        <v>346</v>
      </c>
      <c r="P648" s="12">
        <f t="shared" si="16"/>
        <v>325</v>
      </c>
      <c r="Q648" s="12" t="s">
        <v>107</v>
      </c>
      <c r="R648" s="12" t="s">
        <v>1257</v>
      </c>
    </row>
    <row r="649" spans="1:18" x14ac:dyDescent="0.35">
      <c r="A649" s="12">
        <v>46</v>
      </c>
      <c r="B649" s="12" t="s">
        <v>1253</v>
      </c>
      <c r="C649" s="12">
        <v>2022</v>
      </c>
      <c r="D649" s="12" t="s">
        <v>420</v>
      </c>
      <c r="E649" s="12" t="s">
        <v>1254</v>
      </c>
      <c r="F649" s="12" t="s">
        <v>1255</v>
      </c>
      <c r="G649" s="12" t="s">
        <v>86</v>
      </c>
      <c r="H649" s="12" t="s">
        <v>1273</v>
      </c>
      <c r="I649" s="12">
        <v>44.5</v>
      </c>
      <c r="J649" s="16">
        <v>-82.833333300000007</v>
      </c>
      <c r="K649" s="12" t="s">
        <v>103</v>
      </c>
      <c r="L649" s="12" t="s">
        <v>28</v>
      </c>
      <c r="N649" s="12">
        <v>210</v>
      </c>
      <c r="O649" s="12" t="s">
        <v>346</v>
      </c>
      <c r="P649" s="12">
        <f t="shared" si="16"/>
        <v>210</v>
      </c>
      <c r="Q649" s="12" t="s">
        <v>107</v>
      </c>
      <c r="R649" s="12" t="s">
        <v>1257</v>
      </c>
    </row>
    <row r="650" spans="1:18" ht="15.75" customHeight="1" x14ac:dyDescent="0.35">
      <c r="A650" s="12">
        <v>46</v>
      </c>
      <c r="B650" s="12" t="s">
        <v>1253</v>
      </c>
      <c r="C650" s="12">
        <v>2022</v>
      </c>
      <c r="D650" s="12" t="s">
        <v>420</v>
      </c>
      <c r="E650" s="12" t="s">
        <v>1254</v>
      </c>
      <c r="F650" s="12" t="s">
        <v>1255</v>
      </c>
      <c r="G650" s="12" t="s">
        <v>86</v>
      </c>
      <c r="H650" s="12" t="s">
        <v>1274</v>
      </c>
      <c r="I650" s="12">
        <v>44.514166670000002</v>
      </c>
      <c r="J650" s="16">
        <v>-81.382527800000005</v>
      </c>
      <c r="K650" s="12" t="s">
        <v>103</v>
      </c>
      <c r="L650" s="12" t="s">
        <v>28</v>
      </c>
      <c r="N650" s="12">
        <v>59</v>
      </c>
      <c r="O650" s="12" t="s">
        <v>346</v>
      </c>
      <c r="P650" s="12">
        <f t="shared" si="16"/>
        <v>59</v>
      </c>
      <c r="Q650" s="12" t="s">
        <v>107</v>
      </c>
      <c r="R650" s="12" t="s">
        <v>1257</v>
      </c>
    </row>
    <row r="651" spans="1:18" ht="15.75" customHeight="1" x14ac:dyDescent="0.35">
      <c r="A651" s="12">
        <v>46</v>
      </c>
      <c r="B651" s="12" t="s">
        <v>1253</v>
      </c>
      <c r="C651" s="12">
        <v>2022</v>
      </c>
      <c r="D651" s="12" t="s">
        <v>420</v>
      </c>
      <c r="E651" s="12" t="s">
        <v>1254</v>
      </c>
      <c r="F651" s="12" t="s">
        <v>1255</v>
      </c>
      <c r="G651" s="12" t="s">
        <v>86</v>
      </c>
      <c r="H651" s="12" t="s">
        <v>1275</v>
      </c>
      <c r="I651" s="12">
        <v>44.603027779999998</v>
      </c>
      <c r="J651" s="16">
        <v>-80.071083299999998</v>
      </c>
      <c r="K651" s="12" t="s">
        <v>103</v>
      </c>
      <c r="L651" s="12" t="s">
        <v>28</v>
      </c>
      <c r="N651" s="12">
        <v>302</v>
      </c>
      <c r="O651" s="12" t="s">
        <v>346</v>
      </c>
      <c r="P651" s="12">
        <f t="shared" si="16"/>
        <v>302</v>
      </c>
      <c r="Q651" s="12" t="s">
        <v>107</v>
      </c>
      <c r="R651" s="12" t="s">
        <v>1257</v>
      </c>
    </row>
    <row r="652" spans="1:18" ht="15.75" customHeight="1" x14ac:dyDescent="0.35">
      <c r="A652" s="12">
        <v>46</v>
      </c>
      <c r="B652" s="12" t="s">
        <v>1253</v>
      </c>
      <c r="C652" s="12">
        <v>2022</v>
      </c>
      <c r="D652" s="12" t="s">
        <v>420</v>
      </c>
      <c r="E652" s="12" t="s">
        <v>1254</v>
      </c>
      <c r="F652" s="12" t="s">
        <v>1255</v>
      </c>
      <c r="G652" s="12" t="s">
        <v>86</v>
      </c>
      <c r="H652" s="12" t="s">
        <v>1276</v>
      </c>
      <c r="I652" s="12">
        <v>44.603083329999997</v>
      </c>
      <c r="J652" s="16">
        <v>-80.927194400000005</v>
      </c>
      <c r="K652" s="12" t="s">
        <v>103</v>
      </c>
      <c r="L652" s="12" t="s">
        <v>28</v>
      </c>
      <c r="N652" s="12">
        <v>385</v>
      </c>
      <c r="O652" s="12" t="s">
        <v>346</v>
      </c>
      <c r="P652" s="12">
        <f t="shared" si="16"/>
        <v>385</v>
      </c>
      <c r="Q652" s="12" t="s">
        <v>107</v>
      </c>
      <c r="R652" s="12" t="s">
        <v>1257</v>
      </c>
    </row>
    <row r="653" spans="1:18" ht="15.75" customHeight="1" x14ac:dyDescent="0.35">
      <c r="A653" s="12">
        <v>46</v>
      </c>
      <c r="B653" s="12" t="s">
        <v>1253</v>
      </c>
      <c r="C653" s="12">
        <v>2022</v>
      </c>
      <c r="D653" s="12" t="s">
        <v>420</v>
      </c>
      <c r="E653" s="12" t="s">
        <v>1254</v>
      </c>
      <c r="F653" s="12" t="s">
        <v>1255</v>
      </c>
      <c r="G653" s="12" t="s">
        <v>86</v>
      </c>
      <c r="H653" s="12" t="s">
        <v>1277</v>
      </c>
      <c r="I653" s="12">
        <v>44.645833330000002</v>
      </c>
      <c r="J653" s="16">
        <v>-80.166666699999993</v>
      </c>
      <c r="K653" s="12" t="s">
        <v>103</v>
      </c>
      <c r="L653" s="12" t="s">
        <v>28</v>
      </c>
      <c r="N653" s="12">
        <v>28290</v>
      </c>
      <c r="O653" s="12" t="s">
        <v>346</v>
      </c>
      <c r="P653" s="12">
        <f t="shared" si="16"/>
        <v>28290</v>
      </c>
      <c r="Q653" s="12" t="s">
        <v>107</v>
      </c>
      <c r="R653" s="12" t="s">
        <v>1257</v>
      </c>
    </row>
    <row r="654" spans="1:18" ht="15.75" customHeight="1" x14ac:dyDescent="0.35">
      <c r="A654" s="12">
        <v>46</v>
      </c>
      <c r="B654" s="12" t="s">
        <v>1253</v>
      </c>
      <c r="C654" s="12">
        <v>2022</v>
      </c>
      <c r="D654" s="12" t="s">
        <v>420</v>
      </c>
      <c r="E654" s="12" t="s">
        <v>1254</v>
      </c>
      <c r="F654" s="12" t="s">
        <v>1255</v>
      </c>
      <c r="G654" s="12" t="s">
        <v>86</v>
      </c>
      <c r="H654" s="12" t="s">
        <v>1278</v>
      </c>
      <c r="I654" s="12">
        <v>44.717500000000001</v>
      </c>
      <c r="J654" s="16">
        <v>-80.856666700000005</v>
      </c>
      <c r="K654" s="12" t="s">
        <v>103</v>
      </c>
      <c r="L654" s="12" t="s">
        <v>28</v>
      </c>
      <c r="N654" s="12">
        <v>39125</v>
      </c>
      <c r="O654" s="12" t="s">
        <v>346</v>
      </c>
      <c r="P654" s="12">
        <f t="shared" si="16"/>
        <v>39125</v>
      </c>
      <c r="Q654" s="12" t="s">
        <v>107</v>
      </c>
      <c r="R654" s="12" t="s">
        <v>1257</v>
      </c>
    </row>
    <row r="655" spans="1:18" ht="15.75" customHeight="1" x14ac:dyDescent="0.35">
      <c r="A655" s="12">
        <v>46</v>
      </c>
      <c r="B655" s="12" t="s">
        <v>1253</v>
      </c>
      <c r="C655" s="12">
        <v>2022</v>
      </c>
      <c r="D655" s="12" t="s">
        <v>420</v>
      </c>
      <c r="E655" s="12" t="s">
        <v>1254</v>
      </c>
      <c r="F655" s="12" t="s">
        <v>1255</v>
      </c>
      <c r="G655" s="12" t="s">
        <v>86</v>
      </c>
      <c r="H655" s="12" t="s">
        <v>1279</v>
      </c>
      <c r="I655" s="12">
        <v>44.725000000000001</v>
      </c>
      <c r="J655" s="16">
        <v>-80.616666699999996</v>
      </c>
      <c r="K655" s="12" t="s">
        <v>103</v>
      </c>
      <c r="L655" s="12" t="s">
        <v>28</v>
      </c>
      <c r="N655" s="12">
        <v>1095</v>
      </c>
      <c r="O655" s="12" t="s">
        <v>346</v>
      </c>
      <c r="P655" s="12">
        <f t="shared" si="16"/>
        <v>1095</v>
      </c>
      <c r="Q655" s="12" t="s">
        <v>107</v>
      </c>
      <c r="R655" s="12" t="s">
        <v>1257</v>
      </c>
    </row>
    <row r="656" spans="1:18" ht="15.75" customHeight="1" x14ac:dyDescent="0.35">
      <c r="A656" s="12">
        <v>46</v>
      </c>
      <c r="B656" s="12" t="s">
        <v>1253</v>
      </c>
      <c r="C656" s="12">
        <v>2022</v>
      </c>
      <c r="D656" s="12" t="s">
        <v>420</v>
      </c>
      <c r="E656" s="12" t="s">
        <v>1254</v>
      </c>
      <c r="F656" s="12" t="s">
        <v>1255</v>
      </c>
      <c r="G656" s="12" t="s">
        <v>86</v>
      </c>
      <c r="H656" s="12" t="s">
        <v>1280</v>
      </c>
      <c r="I656" s="12">
        <v>44.736666669999998</v>
      </c>
      <c r="J656" s="16">
        <v>-80.435000000000002</v>
      </c>
      <c r="K656" s="12" t="s">
        <v>103</v>
      </c>
      <c r="L656" s="12" t="s">
        <v>28</v>
      </c>
      <c r="N656" s="12">
        <v>221163</v>
      </c>
      <c r="O656" s="12" t="s">
        <v>346</v>
      </c>
      <c r="P656" s="12">
        <f t="shared" si="16"/>
        <v>221163</v>
      </c>
      <c r="Q656" s="12" t="s">
        <v>107</v>
      </c>
      <c r="R656" s="12" t="s">
        <v>1257</v>
      </c>
    </row>
    <row r="657" spans="1:18" ht="15.75" customHeight="1" x14ac:dyDescent="0.35">
      <c r="A657" s="12">
        <v>46</v>
      </c>
      <c r="B657" s="12" t="s">
        <v>1253</v>
      </c>
      <c r="C657" s="12">
        <v>2022</v>
      </c>
      <c r="D657" s="12" t="s">
        <v>420</v>
      </c>
      <c r="E657" s="12" t="s">
        <v>1254</v>
      </c>
      <c r="F657" s="12" t="s">
        <v>1255</v>
      </c>
      <c r="G657" s="12" t="s">
        <v>86</v>
      </c>
      <c r="H657" s="12" t="s">
        <v>1281</v>
      </c>
      <c r="I657" s="12">
        <v>44.74</v>
      </c>
      <c r="J657" s="16">
        <v>-82.057222199999998</v>
      </c>
      <c r="K657" s="12" t="s">
        <v>103</v>
      </c>
      <c r="L657" s="12" t="s">
        <v>28</v>
      </c>
      <c r="N657" s="12">
        <v>9869</v>
      </c>
      <c r="O657" s="12" t="s">
        <v>346</v>
      </c>
      <c r="P657" s="12">
        <f t="shared" si="16"/>
        <v>9869</v>
      </c>
      <c r="Q657" s="12" t="s">
        <v>107</v>
      </c>
      <c r="R657" s="12" t="s">
        <v>1257</v>
      </c>
    </row>
    <row r="658" spans="1:18" ht="15.75" customHeight="1" x14ac:dyDescent="0.35">
      <c r="A658" s="12">
        <v>46</v>
      </c>
      <c r="B658" s="12" t="s">
        <v>1253</v>
      </c>
      <c r="C658" s="12">
        <v>2022</v>
      </c>
      <c r="D658" s="12" t="s">
        <v>420</v>
      </c>
      <c r="E658" s="12" t="s">
        <v>1254</v>
      </c>
      <c r="F658" s="12" t="s">
        <v>1255</v>
      </c>
      <c r="G658" s="12" t="s">
        <v>86</v>
      </c>
      <c r="H658" s="12" t="s">
        <v>1282</v>
      </c>
      <c r="I658" s="12">
        <v>44.788972219999998</v>
      </c>
      <c r="J658" s="16">
        <v>-79.850361100000001</v>
      </c>
      <c r="K658" s="12" t="s">
        <v>103</v>
      </c>
      <c r="L658" s="12" t="s">
        <v>28</v>
      </c>
      <c r="N658" s="12">
        <v>4425</v>
      </c>
      <c r="O658" s="12" t="s">
        <v>346</v>
      </c>
      <c r="P658" s="12">
        <f t="shared" si="16"/>
        <v>4425</v>
      </c>
      <c r="Q658" s="12" t="s">
        <v>107</v>
      </c>
      <c r="R658" s="12" t="s">
        <v>1257</v>
      </c>
    </row>
    <row r="659" spans="1:18" ht="15.75" customHeight="1" x14ac:dyDescent="0.35">
      <c r="A659" s="12">
        <v>46</v>
      </c>
      <c r="B659" s="12" t="s">
        <v>1253</v>
      </c>
      <c r="C659" s="12">
        <v>2022</v>
      </c>
      <c r="D659" s="12" t="s">
        <v>420</v>
      </c>
      <c r="E659" s="12" t="s">
        <v>1254</v>
      </c>
      <c r="F659" s="12" t="s">
        <v>1255</v>
      </c>
      <c r="G659" s="12" t="s">
        <v>86</v>
      </c>
      <c r="H659" s="12" t="s">
        <v>1283</v>
      </c>
      <c r="I659" s="12">
        <v>44.79666667</v>
      </c>
      <c r="J659" s="16">
        <v>-80.243333300000003</v>
      </c>
      <c r="K659" s="12" t="s">
        <v>103</v>
      </c>
      <c r="L659" s="12" t="s">
        <v>28</v>
      </c>
      <c r="N659" s="12">
        <v>13164</v>
      </c>
      <c r="O659" s="12" t="s">
        <v>346</v>
      </c>
      <c r="P659" s="12">
        <f t="shared" si="16"/>
        <v>13164</v>
      </c>
      <c r="Q659" s="12" t="s">
        <v>107</v>
      </c>
      <c r="R659" s="12" t="s">
        <v>1257</v>
      </c>
    </row>
    <row r="660" spans="1:18" ht="15.75" customHeight="1" x14ac:dyDescent="0.35">
      <c r="A660" s="12">
        <v>46</v>
      </c>
      <c r="B660" s="12" t="s">
        <v>1253</v>
      </c>
      <c r="C660" s="12">
        <v>2022</v>
      </c>
      <c r="D660" s="12" t="s">
        <v>420</v>
      </c>
      <c r="E660" s="12" t="s">
        <v>1254</v>
      </c>
      <c r="F660" s="12" t="s">
        <v>1255</v>
      </c>
      <c r="G660" s="12" t="s">
        <v>86</v>
      </c>
      <c r="H660" s="12" t="s">
        <v>1284</v>
      </c>
      <c r="I660" s="12">
        <v>44.871666670000003</v>
      </c>
      <c r="J660" s="16">
        <v>-79.9680556</v>
      </c>
      <c r="K660" s="12" t="s">
        <v>103</v>
      </c>
      <c r="L660" s="12" t="s">
        <v>28</v>
      </c>
      <c r="N660" s="12">
        <v>5053</v>
      </c>
      <c r="O660" s="12" t="s">
        <v>346</v>
      </c>
      <c r="P660" s="12">
        <f t="shared" si="16"/>
        <v>5053</v>
      </c>
      <c r="Q660" s="12" t="s">
        <v>107</v>
      </c>
      <c r="R660" s="12" t="s">
        <v>1257</v>
      </c>
    </row>
    <row r="661" spans="1:18" ht="15.75" customHeight="1" x14ac:dyDescent="0.35">
      <c r="A661" s="12">
        <v>46</v>
      </c>
      <c r="B661" s="12" t="s">
        <v>1253</v>
      </c>
      <c r="C661" s="12">
        <v>2022</v>
      </c>
      <c r="D661" s="12" t="s">
        <v>420</v>
      </c>
      <c r="E661" s="12" t="s">
        <v>1254</v>
      </c>
      <c r="F661" s="12" t="s">
        <v>1255</v>
      </c>
      <c r="G661" s="12" t="s">
        <v>86</v>
      </c>
      <c r="H661" s="12" t="s">
        <v>1285</v>
      </c>
      <c r="I661" s="12">
        <v>44.92</v>
      </c>
      <c r="J661" s="16">
        <v>-80.875</v>
      </c>
      <c r="K661" s="12" t="s">
        <v>103</v>
      </c>
      <c r="L661" s="12" t="s">
        <v>28</v>
      </c>
      <c r="N661" s="12">
        <v>25390</v>
      </c>
      <c r="O661" s="12" t="s">
        <v>346</v>
      </c>
      <c r="P661" s="12">
        <f t="shared" si="16"/>
        <v>25390</v>
      </c>
      <c r="Q661" s="12" t="s">
        <v>107</v>
      </c>
      <c r="R661" s="12" t="s">
        <v>1257</v>
      </c>
    </row>
    <row r="662" spans="1:18" ht="15.75" customHeight="1" x14ac:dyDescent="0.35">
      <c r="A662" s="12">
        <v>46</v>
      </c>
      <c r="B662" s="12" t="s">
        <v>1253</v>
      </c>
      <c r="C662" s="12">
        <v>2022</v>
      </c>
      <c r="D662" s="12" t="s">
        <v>420</v>
      </c>
      <c r="E662" s="12" t="s">
        <v>1254</v>
      </c>
      <c r="F662" s="12" t="s">
        <v>1255</v>
      </c>
      <c r="G662" s="12" t="s">
        <v>86</v>
      </c>
      <c r="H662" s="12" t="s">
        <v>1286</v>
      </c>
      <c r="I662" s="12">
        <v>44.920833330000001</v>
      </c>
      <c r="J662" s="16">
        <v>-80.6058333</v>
      </c>
      <c r="K662" s="12" t="s">
        <v>103</v>
      </c>
      <c r="L662" s="12" t="s">
        <v>28</v>
      </c>
      <c r="N662" s="12">
        <v>248</v>
      </c>
      <c r="O662" s="12" t="s">
        <v>346</v>
      </c>
      <c r="P662" s="12">
        <f t="shared" si="16"/>
        <v>248</v>
      </c>
      <c r="Q662" s="12" t="s">
        <v>107</v>
      </c>
      <c r="R662" s="12" t="s">
        <v>1257</v>
      </c>
    </row>
    <row r="663" spans="1:18" ht="15.75" customHeight="1" x14ac:dyDescent="0.35">
      <c r="A663" s="12">
        <v>46</v>
      </c>
      <c r="B663" s="12" t="s">
        <v>1253</v>
      </c>
      <c r="C663" s="12">
        <v>2022</v>
      </c>
      <c r="D663" s="12" t="s">
        <v>420</v>
      </c>
      <c r="E663" s="12" t="s">
        <v>1254</v>
      </c>
      <c r="F663" s="12" t="s">
        <v>1255</v>
      </c>
      <c r="G663" s="12" t="s">
        <v>86</v>
      </c>
      <c r="H663" s="12" t="s">
        <v>1287</v>
      </c>
      <c r="I663" s="12">
        <v>44.952777779999998</v>
      </c>
      <c r="J663" s="16">
        <v>-80.148888900000003</v>
      </c>
      <c r="K663" s="12" t="s">
        <v>103</v>
      </c>
      <c r="L663" s="12" t="s">
        <v>28</v>
      </c>
      <c r="N663" s="12">
        <v>695</v>
      </c>
      <c r="O663" s="12" t="s">
        <v>346</v>
      </c>
      <c r="P663" s="12">
        <f t="shared" si="16"/>
        <v>695</v>
      </c>
      <c r="Q663" s="12" t="s">
        <v>107</v>
      </c>
      <c r="R663" s="12" t="s">
        <v>1257</v>
      </c>
    </row>
    <row r="664" spans="1:18" ht="15.75" customHeight="1" x14ac:dyDescent="0.35">
      <c r="A664" s="12">
        <v>46</v>
      </c>
      <c r="B664" s="12" t="s">
        <v>1253</v>
      </c>
      <c r="C664" s="12">
        <v>2022</v>
      </c>
      <c r="D664" s="12" t="s">
        <v>420</v>
      </c>
      <c r="E664" s="12" t="s">
        <v>1254</v>
      </c>
      <c r="F664" s="12" t="s">
        <v>1255</v>
      </c>
      <c r="G664" s="12" t="s">
        <v>86</v>
      </c>
      <c r="H664" s="12" t="s">
        <v>1288</v>
      </c>
      <c r="I664" s="12">
        <v>45.013333330000002</v>
      </c>
      <c r="J664" s="16">
        <v>-82.008333300000004</v>
      </c>
      <c r="K664" s="12" t="s">
        <v>103</v>
      </c>
      <c r="L664" s="12" t="s">
        <v>28</v>
      </c>
      <c r="N664" s="12">
        <v>236687</v>
      </c>
      <c r="O664" s="12" t="s">
        <v>346</v>
      </c>
      <c r="P664" s="12">
        <f t="shared" si="16"/>
        <v>236687</v>
      </c>
      <c r="Q664" s="12" t="s">
        <v>107</v>
      </c>
      <c r="R664" s="12" t="s">
        <v>1257</v>
      </c>
    </row>
    <row r="665" spans="1:18" ht="15.75" customHeight="1" x14ac:dyDescent="0.35">
      <c r="A665" s="12">
        <v>46</v>
      </c>
      <c r="B665" s="12" t="s">
        <v>1253</v>
      </c>
      <c r="C665" s="12">
        <v>2022</v>
      </c>
      <c r="D665" s="12" t="s">
        <v>420</v>
      </c>
      <c r="E665" s="12" t="s">
        <v>1254</v>
      </c>
      <c r="F665" s="12" t="s">
        <v>1255</v>
      </c>
      <c r="G665" s="12" t="s">
        <v>86</v>
      </c>
      <c r="H665" s="12" t="s">
        <v>1289</v>
      </c>
      <c r="I665" s="12">
        <v>45.016666669999999</v>
      </c>
      <c r="J665" s="16">
        <v>-82.685000000000002</v>
      </c>
      <c r="K665" s="12" t="s">
        <v>103</v>
      </c>
      <c r="L665" s="12" t="s">
        <v>28</v>
      </c>
      <c r="N665" s="12">
        <v>34198</v>
      </c>
      <c r="O665" s="12" t="s">
        <v>346</v>
      </c>
      <c r="P665" s="12">
        <f t="shared" ref="P665:P696" si="17">N665</f>
        <v>34198</v>
      </c>
      <c r="Q665" s="12" t="s">
        <v>107</v>
      </c>
      <c r="R665" s="12" t="s">
        <v>1257</v>
      </c>
    </row>
    <row r="666" spans="1:18" ht="15.75" customHeight="1" x14ac:dyDescent="0.35">
      <c r="A666" s="12">
        <v>46</v>
      </c>
      <c r="B666" s="12" t="s">
        <v>1253</v>
      </c>
      <c r="C666" s="12">
        <v>2022</v>
      </c>
      <c r="D666" s="12" t="s">
        <v>420</v>
      </c>
      <c r="E666" s="12" t="s">
        <v>1254</v>
      </c>
      <c r="F666" s="12" t="s">
        <v>1255</v>
      </c>
      <c r="G666" s="12" t="s">
        <v>86</v>
      </c>
      <c r="H666" s="12" t="s">
        <v>1290</v>
      </c>
      <c r="I666" s="12">
        <v>45.04</v>
      </c>
      <c r="J666" s="16">
        <v>-83.378333299999994</v>
      </c>
      <c r="K666" s="12" t="s">
        <v>103</v>
      </c>
      <c r="L666" s="12" t="s">
        <v>28</v>
      </c>
      <c r="N666" s="12">
        <v>2410</v>
      </c>
      <c r="O666" s="12" t="s">
        <v>346</v>
      </c>
      <c r="P666" s="12">
        <f t="shared" si="17"/>
        <v>2410</v>
      </c>
      <c r="Q666" s="12" t="s">
        <v>107</v>
      </c>
      <c r="R666" s="12" t="s">
        <v>1257</v>
      </c>
    </row>
    <row r="667" spans="1:18" ht="15.75" customHeight="1" x14ac:dyDescent="0.35">
      <c r="A667" s="12">
        <v>46</v>
      </c>
      <c r="B667" s="12" t="s">
        <v>1253</v>
      </c>
      <c r="C667" s="12">
        <v>2022</v>
      </c>
      <c r="D667" s="12" t="s">
        <v>420</v>
      </c>
      <c r="E667" s="12" t="s">
        <v>1254</v>
      </c>
      <c r="F667" s="12" t="s">
        <v>1255</v>
      </c>
      <c r="G667" s="12" t="s">
        <v>86</v>
      </c>
      <c r="H667" s="12" t="s">
        <v>1291</v>
      </c>
      <c r="I667" s="12">
        <v>45.066666669999996</v>
      </c>
      <c r="J667" s="16">
        <v>-81.253888900000007</v>
      </c>
      <c r="K667" s="12" t="s">
        <v>103</v>
      </c>
      <c r="L667" s="12" t="s">
        <v>28</v>
      </c>
      <c r="N667" s="12">
        <v>3232</v>
      </c>
      <c r="O667" s="12" t="s">
        <v>346</v>
      </c>
      <c r="P667" s="12">
        <f t="shared" si="17"/>
        <v>3232</v>
      </c>
      <c r="Q667" s="12" t="s">
        <v>107</v>
      </c>
      <c r="R667" s="12" t="s">
        <v>1257</v>
      </c>
    </row>
    <row r="668" spans="1:18" ht="15.75" customHeight="1" x14ac:dyDescent="0.35">
      <c r="A668" s="12">
        <v>46</v>
      </c>
      <c r="B668" s="12" t="s">
        <v>1253</v>
      </c>
      <c r="C668" s="12">
        <v>2022</v>
      </c>
      <c r="D668" s="12" t="s">
        <v>420</v>
      </c>
      <c r="E668" s="12" t="s">
        <v>1254</v>
      </c>
      <c r="F668" s="12" t="s">
        <v>1255</v>
      </c>
      <c r="G668" s="12" t="s">
        <v>86</v>
      </c>
      <c r="H668" s="12" t="s">
        <v>1292</v>
      </c>
      <c r="I668" s="12">
        <v>45.166666669999998</v>
      </c>
      <c r="J668" s="16">
        <v>-80.296666700000003</v>
      </c>
      <c r="K668" s="12" t="s">
        <v>103</v>
      </c>
      <c r="L668" s="12" t="s">
        <v>28</v>
      </c>
      <c r="N668" s="12">
        <v>1983</v>
      </c>
      <c r="O668" s="12" t="s">
        <v>346</v>
      </c>
      <c r="P668" s="12">
        <f t="shared" si="17"/>
        <v>1983</v>
      </c>
      <c r="Q668" s="12" t="s">
        <v>107</v>
      </c>
      <c r="R668" s="12" t="s">
        <v>1257</v>
      </c>
    </row>
    <row r="669" spans="1:18" ht="15.75" customHeight="1" x14ac:dyDescent="0.35">
      <c r="A669" s="12">
        <v>46</v>
      </c>
      <c r="B669" s="12" t="s">
        <v>1253</v>
      </c>
      <c r="C669" s="12">
        <v>2022</v>
      </c>
      <c r="D669" s="12" t="s">
        <v>420</v>
      </c>
      <c r="E669" s="12" t="s">
        <v>1254</v>
      </c>
      <c r="F669" s="12" t="s">
        <v>1255</v>
      </c>
      <c r="G669" s="12" t="s">
        <v>86</v>
      </c>
      <c r="H669" s="12" t="s">
        <v>1293</v>
      </c>
      <c r="I669" s="12">
        <v>45.221666669999998</v>
      </c>
      <c r="J669" s="16">
        <v>-81.819999999999993</v>
      </c>
      <c r="K669" s="12" t="s">
        <v>103</v>
      </c>
      <c r="L669" s="12" t="s">
        <v>28</v>
      </c>
      <c r="N669" s="12">
        <v>15214</v>
      </c>
      <c r="O669" s="12" t="s">
        <v>346</v>
      </c>
      <c r="P669" s="12">
        <f t="shared" si="17"/>
        <v>15214</v>
      </c>
      <c r="Q669" s="12" t="s">
        <v>107</v>
      </c>
      <c r="R669" s="12" t="s">
        <v>1257</v>
      </c>
    </row>
    <row r="670" spans="1:18" ht="15.75" customHeight="1" x14ac:dyDescent="0.35">
      <c r="A670" s="12">
        <v>46</v>
      </c>
      <c r="B670" s="12" t="s">
        <v>1253</v>
      </c>
      <c r="C670" s="12">
        <v>2022</v>
      </c>
      <c r="D670" s="12" t="s">
        <v>420</v>
      </c>
      <c r="E670" s="12" t="s">
        <v>1254</v>
      </c>
      <c r="F670" s="12" t="s">
        <v>1255</v>
      </c>
      <c r="G670" s="12" t="s">
        <v>86</v>
      </c>
      <c r="H670" s="12" t="s">
        <v>1294</v>
      </c>
      <c r="I670" s="12">
        <v>45.238333330000003</v>
      </c>
      <c r="J670" s="16">
        <v>-81.44</v>
      </c>
      <c r="K670" s="12" t="s">
        <v>103</v>
      </c>
      <c r="L670" s="12" t="s">
        <v>28</v>
      </c>
      <c r="N670" s="12">
        <v>656</v>
      </c>
      <c r="O670" s="12" t="s">
        <v>346</v>
      </c>
      <c r="P670" s="12">
        <f t="shared" si="17"/>
        <v>656</v>
      </c>
      <c r="Q670" s="12" t="s">
        <v>107</v>
      </c>
      <c r="R670" s="12" t="s">
        <v>1257</v>
      </c>
    </row>
    <row r="671" spans="1:18" ht="15.75" customHeight="1" x14ac:dyDescent="0.35">
      <c r="A671" s="12">
        <v>46</v>
      </c>
      <c r="B671" s="12" t="s">
        <v>1253</v>
      </c>
      <c r="C671" s="12">
        <v>2022</v>
      </c>
      <c r="D671" s="12" t="s">
        <v>420</v>
      </c>
      <c r="E671" s="12" t="s">
        <v>1254</v>
      </c>
      <c r="F671" s="12" t="s">
        <v>1255</v>
      </c>
      <c r="G671" s="12" t="s">
        <v>86</v>
      </c>
      <c r="H671" s="12" t="s">
        <v>1295</v>
      </c>
      <c r="I671" s="12">
        <v>45.244999999999997</v>
      </c>
      <c r="J671" s="16">
        <v>-80.875</v>
      </c>
      <c r="K671" s="12" t="s">
        <v>103</v>
      </c>
      <c r="L671" s="12" t="s">
        <v>28</v>
      </c>
      <c r="N671" s="12">
        <v>68789</v>
      </c>
      <c r="O671" s="12" t="s">
        <v>346</v>
      </c>
      <c r="P671" s="12">
        <f t="shared" si="17"/>
        <v>68789</v>
      </c>
      <c r="Q671" s="12" t="s">
        <v>107</v>
      </c>
      <c r="R671" s="12" t="s">
        <v>1257</v>
      </c>
    </row>
    <row r="672" spans="1:18" ht="15.75" customHeight="1" x14ac:dyDescent="0.35">
      <c r="A672" s="12">
        <v>46</v>
      </c>
      <c r="B672" s="12" t="s">
        <v>1253</v>
      </c>
      <c r="C672" s="12">
        <v>2022</v>
      </c>
      <c r="D672" s="12" t="s">
        <v>420</v>
      </c>
      <c r="E672" s="12" t="s">
        <v>1254</v>
      </c>
      <c r="F672" s="12" t="s">
        <v>1255</v>
      </c>
      <c r="G672" s="12" t="s">
        <v>86</v>
      </c>
      <c r="H672" s="12" t="s">
        <v>1296</v>
      </c>
      <c r="I672" s="12">
        <v>45.325000000000003</v>
      </c>
      <c r="J672" s="16">
        <v>-80.116666699999996</v>
      </c>
      <c r="K672" s="12" t="s">
        <v>103</v>
      </c>
      <c r="L672" s="12" t="s">
        <v>28</v>
      </c>
      <c r="N672" s="12">
        <v>1780</v>
      </c>
      <c r="O672" s="12" t="s">
        <v>346</v>
      </c>
      <c r="P672" s="12">
        <f t="shared" si="17"/>
        <v>1780</v>
      </c>
      <c r="Q672" s="12" t="s">
        <v>107</v>
      </c>
      <c r="R672" s="12" t="s">
        <v>1257</v>
      </c>
    </row>
    <row r="673" spans="1:18" ht="15.75" customHeight="1" x14ac:dyDescent="0.35">
      <c r="A673" s="12">
        <v>46</v>
      </c>
      <c r="B673" s="12" t="s">
        <v>1253</v>
      </c>
      <c r="C673" s="12">
        <v>2022</v>
      </c>
      <c r="D673" s="12" t="s">
        <v>420</v>
      </c>
      <c r="E673" s="12" t="s">
        <v>1254</v>
      </c>
      <c r="F673" s="12" t="s">
        <v>1255</v>
      </c>
      <c r="G673" s="12" t="s">
        <v>86</v>
      </c>
      <c r="H673" s="12" t="s">
        <v>1297</v>
      </c>
      <c r="I673" s="12">
        <v>45.336277780000003</v>
      </c>
      <c r="J673" s="16">
        <v>-80.060500000000005</v>
      </c>
      <c r="K673" s="12" t="s">
        <v>103</v>
      </c>
      <c r="L673" s="12" t="s">
        <v>28</v>
      </c>
      <c r="N673" s="12">
        <v>5530</v>
      </c>
      <c r="O673" s="12" t="s">
        <v>346</v>
      </c>
      <c r="P673" s="12">
        <f t="shared" si="17"/>
        <v>5530</v>
      </c>
      <c r="Q673" s="12" t="s">
        <v>107</v>
      </c>
      <c r="R673" s="12" t="s">
        <v>1257</v>
      </c>
    </row>
    <row r="674" spans="1:18" ht="15.75" customHeight="1" x14ac:dyDescent="0.35">
      <c r="A674" s="12">
        <v>46</v>
      </c>
      <c r="B674" s="12" t="s">
        <v>1253</v>
      </c>
      <c r="C674" s="12">
        <v>2022</v>
      </c>
      <c r="D674" s="12" t="s">
        <v>420</v>
      </c>
      <c r="E674" s="12" t="s">
        <v>1254</v>
      </c>
      <c r="F674" s="12" t="s">
        <v>1255</v>
      </c>
      <c r="G674" s="12" t="s">
        <v>86</v>
      </c>
      <c r="H674" s="12" t="s">
        <v>1298</v>
      </c>
      <c r="I674" s="12">
        <v>45.336861110000001</v>
      </c>
      <c r="J674" s="16">
        <v>-80.281638900000004</v>
      </c>
      <c r="K674" s="12" t="s">
        <v>103</v>
      </c>
      <c r="L674" s="12" t="s">
        <v>28</v>
      </c>
      <c r="N674" s="12">
        <v>3592</v>
      </c>
      <c r="O674" s="12" t="s">
        <v>346</v>
      </c>
      <c r="P674" s="12">
        <f t="shared" si="17"/>
        <v>3592</v>
      </c>
      <c r="Q674" s="12" t="s">
        <v>107</v>
      </c>
      <c r="R674" s="12" t="s">
        <v>1257</v>
      </c>
    </row>
    <row r="675" spans="1:18" ht="15.75" customHeight="1" x14ac:dyDescent="0.35">
      <c r="A675" s="12">
        <v>46</v>
      </c>
      <c r="B675" s="12" t="s">
        <v>1253</v>
      </c>
      <c r="C675" s="12">
        <v>2022</v>
      </c>
      <c r="D675" s="12" t="s">
        <v>420</v>
      </c>
      <c r="E675" s="12" t="s">
        <v>1254</v>
      </c>
      <c r="F675" s="12" t="s">
        <v>1255</v>
      </c>
      <c r="G675" s="12" t="s">
        <v>86</v>
      </c>
      <c r="H675" s="12" t="s">
        <v>1299</v>
      </c>
      <c r="I675" s="12">
        <v>45.365000000000002</v>
      </c>
      <c r="J675" s="16">
        <v>-81.19</v>
      </c>
      <c r="K675" s="12" t="s">
        <v>103</v>
      </c>
      <c r="L675" s="12" t="s">
        <v>28</v>
      </c>
      <c r="N675" s="12">
        <v>143655</v>
      </c>
      <c r="O675" s="12" t="s">
        <v>346</v>
      </c>
      <c r="P675" s="12">
        <f t="shared" si="17"/>
        <v>143655</v>
      </c>
      <c r="Q675" s="12" t="s">
        <v>107</v>
      </c>
      <c r="R675" s="12" t="s">
        <v>1257</v>
      </c>
    </row>
    <row r="676" spans="1:18" ht="15.75" customHeight="1" x14ac:dyDescent="0.35">
      <c r="A676" s="12">
        <v>46</v>
      </c>
      <c r="B676" s="12" t="s">
        <v>1253</v>
      </c>
      <c r="C676" s="12">
        <v>2022</v>
      </c>
      <c r="D676" s="12" t="s">
        <v>420</v>
      </c>
      <c r="E676" s="12" t="s">
        <v>1254</v>
      </c>
      <c r="F676" s="12" t="s">
        <v>1255</v>
      </c>
      <c r="G676" s="12" t="s">
        <v>86</v>
      </c>
      <c r="H676" s="12" t="s">
        <v>1300</v>
      </c>
      <c r="I676" s="12">
        <v>45.370277780000002</v>
      </c>
      <c r="J676" s="16">
        <v>-81.584999999999994</v>
      </c>
      <c r="K676" s="12" t="s">
        <v>103</v>
      </c>
      <c r="L676" s="12" t="s">
        <v>28</v>
      </c>
      <c r="N676" s="12">
        <v>539</v>
      </c>
      <c r="O676" s="12" t="s">
        <v>346</v>
      </c>
      <c r="P676" s="12">
        <f t="shared" si="17"/>
        <v>539</v>
      </c>
      <c r="Q676" s="12" t="s">
        <v>107</v>
      </c>
      <c r="R676" s="12" t="s">
        <v>1257</v>
      </c>
    </row>
    <row r="677" spans="1:18" ht="15.75" customHeight="1" x14ac:dyDescent="0.35">
      <c r="A677" s="12">
        <v>46</v>
      </c>
      <c r="B677" s="12" t="s">
        <v>1253</v>
      </c>
      <c r="C677" s="12">
        <v>2022</v>
      </c>
      <c r="D677" s="12" t="s">
        <v>420</v>
      </c>
      <c r="E677" s="12" t="s">
        <v>1254</v>
      </c>
      <c r="F677" s="12" t="s">
        <v>1255</v>
      </c>
      <c r="G677" s="12" t="s">
        <v>86</v>
      </c>
      <c r="H677" s="12" t="s">
        <v>1301</v>
      </c>
      <c r="I677" s="12">
        <v>45.516666669999999</v>
      </c>
      <c r="J677" s="16">
        <v>-83.416666699999993</v>
      </c>
      <c r="K677" s="12" t="s">
        <v>103</v>
      </c>
      <c r="L677" s="12" t="s">
        <v>28</v>
      </c>
      <c r="N677" s="12">
        <v>8535</v>
      </c>
      <c r="O677" s="12" t="s">
        <v>346</v>
      </c>
      <c r="P677" s="12">
        <f t="shared" si="17"/>
        <v>8535</v>
      </c>
      <c r="Q677" s="12" t="s">
        <v>107</v>
      </c>
      <c r="R677" s="12" t="s">
        <v>1257</v>
      </c>
    </row>
    <row r="678" spans="1:18" ht="15.75" customHeight="1" x14ac:dyDescent="0.35">
      <c r="A678" s="12">
        <v>46</v>
      </c>
      <c r="B678" s="12" t="s">
        <v>1253</v>
      </c>
      <c r="C678" s="12">
        <v>2022</v>
      </c>
      <c r="D678" s="12" t="s">
        <v>420</v>
      </c>
      <c r="E678" s="12" t="s">
        <v>1254</v>
      </c>
      <c r="F678" s="12" t="s">
        <v>1255</v>
      </c>
      <c r="G678" s="12" t="s">
        <v>86</v>
      </c>
      <c r="H678" s="12" t="s">
        <v>1302</v>
      </c>
      <c r="I678" s="12">
        <v>45.516666669999999</v>
      </c>
      <c r="J678" s="16">
        <v>-84.083333300000007</v>
      </c>
      <c r="K678" s="12" t="s">
        <v>103</v>
      </c>
      <c r="L678" s="12" t="s">
        <v>28</v>
      </c>
      <c r="N678" s="12">
        <v>1867</v>
      </c>
      <c r="O678" s="12" t="s">
        <v>346</v>
      </c>
      <c r="P678" s="12">
        <f t="shared" si="17"/>
        <v>1867</v>
      </c>
      <c r="Q678" s="12" t="s">
        <v>107</v>
      </c>
      <c r="R678" s="12" t="s">
        <v>1257</v>
      </c>
    </row>
    <row r="679" spans="1:18" ht="15.75" customHeight="1" x14ac:dyDescent="0.35">
      <c r="A679" s="12">
        <v>46</v>
      </c>
      <c r="B679" s="12" t="s">
        <v>1253</v>
      </c>
      <c r="C679" s="12">
        <v>2022</v>
      </c>
      <c r="D679" s="12" t="s">
        <v>420</v>
      </c>
      <c r="E679" s="12" t="s">
        <v>1254</v>
      </c>
      <c r="F679" s="12" t="s">
        <v>1255</v>
      </c>
      <c r="G679" s="12" t="s">
        <v>86</v>
      </c>
      <c r="H679" s="12" t="s">
        <v>1303</v>
      </c>
      <c r="I679" s="12">
        <v>45.527500000000003</v>
      </c>
      <c r="J679" s="16">
        <v>-81.669444400000003</v>
      </c>
      <c r="K679" s="12" t="s">
        <v>103</v>
      </c>
      <c r="L679" s="12" t="s">
        <v>28</v>
      </c>
      <c r="N679" s="12">
        <v>1067</v>
      </c>
      <c r="O679" s="12" t="s">
        <v>346</v>
      </c>
      <c r="P679" s="12">
        <f t="shared" si="17"/>
        <v>1067</v>
      </c>
      <c r="Q679" s="12" t="s">
        <v>107</v>
      </c>
      <c r="R679" s="12" t="s">
        <v>1257</v>
      </c>
    </row>
    <row r="680" spans="1:18" ht="15.75" customHeight="1" x14ac:dyDescent="0.35">
      <c r="A680" s="12">
        <v>46</v>
      </c>
      <c r="B680" s="12" t="s">
        <v>1253</v>
      </c>
      <c r="C680" s="12">
        <v>2022</v>
      </c>
      <c r="D680" s="12" t="s">
        <v>420</v>
      </c>
      <c r="E680" s="12" t="s">
        <v>1254</v>
      </c>
      <c r="F680" s="12" t="s">
        <v>1255</v>
      </c>
      <c r="G680" s="12" t="s">
        <v>86</v>
      </c>
      <c r="H680" s="12" t="s">
        <v>1304</v>
      </c>
      <c r="I680" s="12">
        <v>45.534999999999997</v>
      </c>
      <c r="J680" s="16">
        <v>-82.034999999999997</v>
      </c>
      <c r="K680" s="12" t="s">
        <v>103</v>
      </c>
      <c r="L680" s="12" t="s">
        <v>28</v>
      </c>
      <c r="N680" s="12">
        <v>213</v>
      </c>
      <c r="O680" s="12" t="s">
        <v>346</v>
      </c>
      <c r="P680" s="12">
        <f t="shared" si="17"/>
        <v>213</v>
      </c>
      <c r="Q680" s="12" t="s">
        <v>107</v>
      </c>
      <c r="R680" s="12" t="s">
        <v>1257</v>
      </c>
    </row>
    <row r="681" spans="1:18" ht="15.75" customHeight="1" x14ac:dyDescent="0.35">
      <c r="A681" s="12">
        <v>46</v>
      </c>
      <c r="B681" s="12" t="s">
        <v>1253</v>
      </c>
      <c r="C681" s="12">
        <v>2022</v>
      </c>
      <c r="D681" s="12" t="s">
        <v>420</v>
      </c>
      <c r="E681" s="12" t="s">
        <v>1254</v>
      </c>
      <c r="F681" s="12" t="s">
        <v>1255</v>
      </c>
      <c r="G681" s="12" t="s">
        <v>86</v>
      </c>
      <c r="H681" s="12" t="s">
        <v>1305</v>
      </c>
      <c r="I681" s="12">
        <v>45.583333330000002</v>
      </c>
      <c r="J681" s="16">
        <v>-81.083333300000007</v>
      </c>
      <c r="K681" s="12" t="s">
        <v>103</v>
      </c>
      <c r="L681" s="12" t="s">
        <v>28</v>
      </c>
      <c r="N681" s="12">
        <v>123</v>
      </c>
      <c r="O681" s="12" t="s">
        <v>346</v>
      </c>
      <c r="P681" s="12">
        <f t="shared" si="17"/>
        <v>123</v>
      </c>
      <c r="Q681" s="12" t="s">
        <v>107</v>
      </c>
      <c r="R681" s="12" t="s">
        <v>1257</v>
      </c>
    </row>
    <row r="682" spans="1:18" ht="15.75" customHeight="1" x14ac:dyDescent="0.35">
      <c r="A682" s="12">
        <v>46</v>
      </c>
      <c r="B682" s="12" t="s">
        <v>1253</v>
      </c>
      <c r="C682" s="12">
        <v>2022</v>
      </c>
      <c r="D682" s="12" t="s">
        <v>420</v>
      </c>
      <c r="E682" s="12" t="s">
        <v>1254</v>
      </c>
      <c r="F682" s="12" t="s">
        <v>1255</v>
      </c>
      <c r="G682" s="12" t="s">
        <v>86</v>
      </c>
      <c r="H682" s="12" t="s">
        <v>1306</v>
      </c>
      <c r="I682" s="12">
        <v>45.651666669999997</v>
      </c>
      <c r="J682" s="16">
        <v>-82.648333300000004</v>
      </c>
      <c r="K682" s="12" t="s">
        <v>103</v>
      </c>
      <c r="L682" s="12" t="s">
        <v>28</v>
      </c>
      <c r="N682" s="12">
        <v>665</v>
      </c>
      <c r="O682" s="12" t="s">
        <v>346</v>
      </c>
      <c r="P682" s="12">
        <f t="shared" si="17"/>
        <v>665</v>
      </c>
      <c r="Q682" s="12" t="s">
        <v>107</v>
      </c>
      <c r="R682" s="12" t="s">
        <v>1257</v>
      </c>
    </row>
    <row r="683" spans="1:18" ht="15.75" customHeight="1" x14ac:dyDescent="0.35">
      <c r="A683" s="12">
        <v>46</v>
      </c>
      <c r="B683" s="12" t="s">
        <v>1253</v>
      </c>
      <c r="C683" s="12">
        <v>2022</v>
      </c>
      <c r="D683" s="12" t="s">
        <v>420</v>
      </c>
      <c r="E683" s="12" t="s">
        <v>1254</v>
      </c>
      <c r="F683" s="12" t="s">
        <v>1255</v>
      </c>
      <c r="G683" s="12" t="s">
        <v>86</v>
      </c>
      <c r="H683" s="12" t="s">
        <v>1307</v>
      </c>
      <c r="I683" s="12">
        <v>45.674999999999997</v>
      </c>
      <c r="J683" s="16">
        <v>-84.186666700000004</v>
      </c>
      <c r="K683" s="12" t="s">
        <v>103</v>
      </c>
      <c r="L683" s="12" t="s">
        <v>28</v>
      </c>
      <c r="N683" s="12">
        <v>3544</v>
      </c>
      <c r="O683" s="12" t="s">
        <v>346</v>
      </c>
      <c r="P683" s="12">
        <f t="shared" si="17"/>
        <v>3544</v>
      </c>
      <c r="Q683" s="12" t="s">
        <v>107</v>
      </c>
      <c r="R683" s="12" t="s">
        <v>1257</v>
      </c>
    </row>
    <row r="684" spans="1:18" ht="15.75" customHeight="1" x14ac:dyDescent="0.35">
      <c r="A684" s="12">
        <v>46</v>
      </c>
      <c r="B684" s="12" t="s">
        <v>1253</v>
      </c>
      <c r="C684" s="12">
        <v>2022</v>
      </c>
      <c r="D684" s="12" t="s">
        <v>420</v>
      </c>
      <c r="E684" s="12" t="s">
        <v>1254</v>
      </c>
      <c r="F684" s="12" t="s">
        <v>1255</v>
      </c>
      <c r="G684" s="12" t="s">
        <v>86</v>
      </c>
      <c r="H684" s="12" t="s">
        <v>1308</v>
      </c>
      <c r="I684" s="12">
        <v>45.678888890000003</v>
      </c>
      <c r="J684" s="16">
        <v>-80.838888900000001</v>
      </c>
      <c r="K684" s="12" t="s">
        <v>103</v>
      </c>
      <c r="L684" s="12" t="s">
        <v>28</v>
      </c>
      <c r="N684" s="12">
        <v>22604</v>
      </c>
      <c r="O684" s="12" t="s">
        <v>346</v>
      </c>
      <c r="P684" s="12">
        <f t="shared" si="17"/>
        <v>22604</v>
      </c>
      <c r="Q684" s="12" t="s">
        <v>107</v>
      </c>
      <c r="R684" s="12" t="s">
        <v>1257</v>
      </c>
    </row>
    <row r="685" spans="1:18" ht="15.75" customHeight="1" x14ac:dyDescent="0.35">
      <c r="A685" s="12">
        <v>46</v>
      </c>
      <c r="B685" s="12" t="s">
        <v>1253</v>
      </c>
      <c r="C685" s="12">
        <v>2022</v>
      </c>
      <c r="D685" s="12" t="s">
        <v>420</v>
      </c>
      <c r="E685" s="12" t="s">
        <v>1254</v>
      </c>
      <c r="F685" s="12" t="s">
        <v>1255</v>
      </c>
      <c r="G685" s="12" t="s">
        <v>86</v>
      </c>
      <c r="H685" s="12" t="s">
        <v>1309</v>
      </c>
      <c r="I685" s="12">
        <v>45.70333333</v>
      </c>
      <c r="J685" s="16">
        <v>-84.511666700000006</v>
      </c>
      <c r="K685" s="12" t="s">
        <v>103</v>
      </c>
      <c r="L685" s="12" t="s">
        <v>28</v>
      </c>
      <c r="N685" s="12">
        <v>1539</v>
      </c>
      <c r="O685" s="12" t="s">
        <v>346</v>
      </c>
      <c r="P685" s="12">
        <f t="shared" si="17"/>
        <v>1539</v>
      </c>
      <c r="Q685" s="12" t="s">
        <v>107</v>
      </c>
      <c r="R685" s="12" t="s">
        <v>1257</v>
      </c>
    </row>
    <row r="686" spans="1:18" ht="15.75" customHeight="1" x14ac:dyDescent="0.35">
      <c r="A686" s="12">
        <v>46</v>
      </c>
      <c r="B686" s="12" t="s">
        <v>1253</v>
      </c>
      <c r="C686" s="12">
        <v>2022</v>
      </c>
      <c r="D686" s="12" t="s">
        <v>420</v>
      </c>
      <c r="E686" s="12" t="s">
        <v>1254</v>
      </c>
      <c r="F686" s="12" t="s">
        <v>1255</v>
      </c>
      <c r="G686" s="12" t="s">
        <v>86</v>
      </c>
      <c r="H686" s="12" t="s">
        <v>1310</v>
      </c>
      <c r="I686" s="12">
        <v>45.708333330000002</v>
      </c>
      <c r="J686" s="16">
        <v>-81.62</v>
      </c>
      <c r="K686" s="12" t="s">
        <v>103</v>
      </c>
      <c r="L686" s="12" t="s">
        <v>28</v>
      </c>
      <c r="N686" s="12">
        <v>206</v>
      </c>
      <c r="O686" s="12" t="s">
        <v>346</v>
      </c>
      <c r="P686" s="12">
        <f t="shared" si="17"/>
        <v>206</v>
      </c>
      <c r="Q686" s="12" t="s">
        <v>107</v>
      </c>
      <c r="R686" s="12" t="s">
        <v>1257</v>
      </c>
    </row>
    <row r="687" spans="1:18" ht="15.75" customHeight="1" x14ac:dyDescent="0.35">
      <c r="A687" s="12">
        <v>46</v>
      </c>
      <c r="B687" s="12" t="s">
        <v>1253</v>
      </c>
      <c r="C687" s="12">
        <v>2022</v>
      </c>
      <c r="D687" s="12" t="s">
        <v>420</v>
      </c>
      <c r="E687" s="12" t="s">
        <v>1254</v>
      </c>
      <c r="F687" s="12" t="s">
        <v>1255</v>
      </c>
      <c r="G687" s="12" t="s">
        <v>86</v>
      </c>
      <c r="H687" s="12" t="s">
        <v>1311</v>
      </c>
      <c r="I687" s="12">
        <v>45.75</v>
      </c>
      <c r="J687" s="16">
        <v>-83.916666699999993</v>
      </c>
      <c r="K687" s="12" t="s">
        <v>103</v>
      </c>
      <c r="L687" s="12" t="s">
        <v>28</v>
      </c>
      <c r="N687" s="12">
        <v>25608</v>
      </c>
      <c r="O687" s="12" t="s">
        <v>346</v>
      </c>
      <c r="P687" s="12">
        <f t="shared" si="17"/>
        <v>25608</v>
      </c>
      <c r="Q687" s="12" t="s">
        <v>107</v>
      </c>
      <c r="R687" s="12" t="s">
        <v>1257</v>
      </c>
    </row>
    <row r="688" spans="1:18" ht="15.75" customHeight="1" x14ac:dyDescent="0.35">
      <c r="A688" s="12">
        <v>46</v>
      </c>
      <c r="B688" s="12" t="s">
        <v>1253</v>
      </c>
      <c r="C688" s="12">
        <v>2022</v>
      </c>
      <c r="D688" s="12" t="s">
        <v>420</v>
      </c>
      <c r="E688" s="12" t="s">
        <v>1254</v>
      </c>
      <c r="F688" s="12" t="s">
        <v>1255</v>
      </c>
      <c r="G688" s="12" t="s">
        <v>86</v>
      </c>
      <c r="H688" s="12" t="s">
        <v>1312</v>
      </c>
      <c r="I688" s="12">
        <v>45.761666669999997</v>
      </c>
      <c r="J688" s="16">
        <v>-81.794722199999995</v>
      </c>
      <c r="K688" s="12" t="s">
        <v>103</v>
      </c>
      <c r="L688" s="12" t="s">
        <v>28</v>
      </c>
      <c r="N688" s="12">
        <v>2671</v>
      </c>
      <c r="O688" s="12" t="s">
        <v>346</v>
      </c>
      <c r="P688" s="12">
        <f t="shared" si="17"/>
        <v>2671</v>
      </c>
      <c r="Q688" s="12" t="s">
        <v>107</v>
      </c>
      <c r="R688" s="12" t="s">
        <v>1257</v>
      </c>
    </row>
    <row r="689" spans="1:18" ht="15.75" customHeight="1" x14ac:dyDescent="0.35">
      <c r="A689" s="12">
        <v>46</v>
      </c>
      <c r="B689" s="12" t="s">
        <v>1253</v>
      </c>
      <c r="C689" s="12">
        <v>2022</v>
      </c>
      <c r="D689" s="12" t="s">
        <v>420</v>
      </c>
      <c r="E689" s="12" t="s">
        <v>1254</v>
      </c>
      <c r="F689" s="12" t="s">
        <v>1255</v>
      </c>
      <c r="G689" s="12" t="s">
        <v>86</v>
      </c>
      <c r="H689" s="12" t="s">
        <v>1313</v>
      </c>
      <c r="I689" s="12">
        <v>45.844999999999999</v>
      </c>
      <c r="J689" s="16">
        <v>-84.566666699999999</v>
      </c>
      <c r="K689" s="12" t="s">
        <v>103</v>
      </c>
      <c r="L689" s="12" t="s">
        <v>28</v>
      </c>
      <c r="N689" s="12">
        <v>1718</v>
      </c>
      <c r="O689" s="12" t="s">
        <v>346</v>
      </c>
      <c r="P689" s="12">
        <f t="shared" si="17"/>
        <v>1718</v>
      </c>
      <c r="Q689" s="12" t="s">
        <v>107</v>
      </c>
      <c r="R689" s="12" t="s">
        <v>1257</v>
      </c>
    </row>
    <row r="690" spans="1:18" ht="15.75" customHeight="1" x14ac:dyDescent="0.35">
      <c r="A690" s="12">
        <v>46</v>
      </c>
      <c r="B690" s="12" t="s">
        <v>1253</v>
      </c>
      <c r="C690" s="12">
        <v>2022</v>
      </c>
      <c r="D690" s="12" t="s">
        <v>420</v>
      </c>
      <c r="E690" s="12" t="s">
        <v>1254</v>
      </c>
      <c r="F690" s="12" t="s">
        <v>1255</v>
      </c>
      <c r="G690" s="12" t="s">
        <v>86</v>
      </c>
      <c r="H690" s="12" t="s">
        <v>1314</v>
      </c>
      <c r="I690" s="12">
        <v>45.863333330000003</v>
      </c>
      <c r="J690" s="16">
        <v>-84.295000000000002</v>
      </c>
      <c r="K690" s="12" t="s">
        <v>103</v>
      </c>
      <c r="L690" s="12" t="s">
        <v>28</v>
      </c>
      <c r="N690" s="12">
        <v>34232</v>
      </c>
      <c r="O690" s="12" t="s">
        <v>346</v>
      </c>
      <c r="P690" s="12">
        <f t="shared" si="17"/>
        <v>34232</v>
      </c>
      <c r="Q690" s="12" t="s">
        <v>107</v>
      </c>
      <c r="R690" s="12" t="s">
        <v>1257</v>
      </c>
    </row>
    <row r="691" spans="1:18" ht="15.75" customHeight="1" x14ac:dyDescent="0.35">
      <c r="A691" s="12">
        <v>46</v>
      </c>
      <c r="B691" s="12" t="s">
        <v>1253</v>
      </c>
      <c r="C691" s="12">
        <v>2022</v>
      </c>
      <c r="D691" s="12" t="s">
        <v>420</v>
      </c>
      <c r="E691" s="12" t="s">
        <v>1254</v>
      </c>
      <c r="F691" s="12" t="s">
        <v>1255</v>
      </c>
      <c r="G691" s="12" t="s">
        <v>86</v>
      </c>
      <c r="H691" s="12" t="s">
        <v>1315</v>
      </c>
      <c r="I691" s="12">
        <v>45.866666670000001</v>
      </c>
      <c r="J691" s="16">
        <v>-83.266666700000002</v>
      </c>
      <c r="K691" s="12" t="s">
        <v>103</v>
      </c>
      <c r="L691" s="12" t="s">
        <v>28</v>
      </c>
      <c r="N691" s="12">
        <v>81</v>
      </c>
      <c r="O691" s="12" t="s">
        <v>346</v>
      </c>
      <c r="P691" s="12">
        <f t="shared" si="17"/>
        <v>81</v>
      </c>
      <c r="Q691" s="12" t="s">
        <v>107</v>
      </c>
      <c r="R691" s="12" t="s">
        <v>1257</v>
      </c>
    </row>
    <row r="692" spans="1:18" ht="15.75" customHeight="1" x14ac:dyDescent="0.35">
      <c r="A692" s="12">
        <v>46</v>
      </c>
      <c r="B692" s="12" t="s">
        <v>1253</v>
      </c>
      <c r="C692" s="12">
        <v>2022</v>
      </c>
      <c r="D692" s="12" t="s">
        <v>420</v>
      </c>
      <c r="E692" s="12" t="s">
        <v>1254</v>
      </c>
      <c r="F692" s="12" t="s">
        <v>1255</v>
      </c>
      <c r="G692" s="12" t="s">
        <v>86</v>
      </c>
      <c r="H692" s="12" t="s">
        <v>1316</v>
      </c>
      <c r="I692" s="12">
        <v>45.873333330000001</v>
      </c>
      <c r="J692" s="16">
        <v>-81.258333300000004</v>
      </c>
      <c r="K692" s="12" t="s">
        <v>103</v>
      </c>
      <c r="L692" s="12" t="s">
        <v>28</v>
      </c>
      <c r="N692" s="12">
        <v>130</v>
      </c>
      <c r="O692" s="12" t="s">
        <v>346</v>
      </c>
      <c r="P692" s="12">
        <f t="shared" si="17"/>
        <v>130</v>
      </c>
      <c r="Q692" s="12" t="s">
        <v>107</v>
      </c>
      <c r="R692" s="12" t="s">
        <v>1257</v>
      </c>
    </row>
    <row r="693" spans="1:18" ht="15.75" customHeight="1" x14ac:dyDescent="0.35">
      <c r="A693" s="12">
        <v>46</v>
      </c>
      <c r="B693" s="12" t="s">
        <v>1253</v>
      </c>
      <c r="C693" s="12">
        <v>2022</v>
      </c>
      <c r="D693" s="12" t="s">
        <v>420</v>
      </c>
      <c r="E693" s="12" t="s">
        <v>1254</v>
      </c>
      <c r="F693" s="12" t="s">
        <v>1255</v>
      </c>
      <c r="G693" s="12" t="s">
        <v>86</v>
      </c>
      <c r="H693" s="12" t="s">
        <v>1317</v>
      </c>
      <c r="I693" s="12">
        <v>45.912777779999999</v>
      </c>
      <c r="J693" s="16">
        <v>-81.594999999999999</v>
      </c>
      <c r="K693" s="12" t="s">
        <v>103</v>
      </c>
      <c r="L693" s="12" t="s">
        <v>28</v>
      </c>
      <c r="N693" s="12">
        <v>3042</v>
      </c>
      <c r="O693" s="12" t="s">
        <v>346</v>
      </c>
      <c r="P693" s="12">
        <f t="shared" si="17"/>
        <v>3042</v>
      </c>
      <c r="Q693" s="12" t="s">
        <v>107</v>
      </c>
      <c r="R693" s="12" t="s">
        <v>1257</v>
      </c>
    </row>
    <row r="694" spans="1:18" ht="15.75" customHeight="1" x14ac:dyDescent="0.35">
      <c r="A694" s="12">
        <v>46</v>
      </c>
      <c r="B694" s="12" t="s">
        <v>1253</v>
      </c>
      <c r="C694" s="12">
        <v>2022</v>
      </c>
      <c r="D694" s="12" t="s">
        <v>420</v>
      </c>
      <c r="E694" s="12" t="s">
        <v>1254</v>
      </c>
      <c r="F694" s="12" t="s">
        <v>1255</v>
      </c>
      <c r="G694" s="12" t="s">
        <v>86</v>
      </c>
      <c r="H694" s="12" t="s">
        <v>1318</v>
      </c>
      <c r="I694" s="12">
        <v>45.916666669999998</v>
      </c>
      <c r="J694" s="16">
        <v>-82.161111099999999</v>
      </c>
      <c r="K694" s="12" t="s">
        <v>103</v>
      </c>
      <c r="L694" s="12" t="s">
        <v>28</v>
      </c>
      <c r="N694" s="12">
        <v>54488</v>
      </c>
      <c r="O694" s="12" t="s">
        <v>346</v>
      </c>
      <c r="P694" s="12">
        <f t="shared" si="17"/>
        <v>54488</v>
      </c>
      <c r="Q694" s="12" t="s">
        <v>107</v>
      </c>
      <c r="R694" s="12" t="s">
        <v>1257</v>
      </c>
    </row>
    <row r="695" spans="1:18" ht="15.75" customHeight="1" x14ac:dyDescent="0.35">
      <c r="A695" s="12">
        <v>46</v>
      </c>
      <c r="B695" s="12" t="s">
        <v>1253</v>
      </c>
      <c r="C695" s="12">
        <v>2022</v>
      </c>
      <c r="D695" s="12" t="s">
        <v>420</v>
      </c>
      <c r="E695" s="12" t="s">
        <v>1254</v>
      </c>
      <c r="F695" s="12" t="s">
        <v>1255</v>
      </c>
      <c r="G695" s="12" t="s">
        <v>86</v>
      </c>
      <c r="H695" s="12" t="s">
        <v>1319</v>
      </c>
      <c r="I695" s="12">
        <v>45.935000000000002</v>
      </c>
      <c r="J695" s="16">
        <v>-83.9</v>
      </c>
      <c r="K695" s="12" t="s">
        <v>103</v>
      </c>
      <c r="L695" s="12" t="s">
        <v>28</v>
      </c>
      <c r="N695" s="12">
        <v>985</v>
      </c>
      <c r="O695" s="12" t="s">
        <v>346</v>
      </c>
      <c r="P695" s="12">
        <f t="shared" si="17"/>
        <v>985</v>
      </c>
      <c r="Q695" s="12" t="s">
        <v>107</v>
      </c>
      <c r="R695" s="12" t="s">
        <v>1257</v>
      </c>
    </row>
    <row r="696" spans="1:18" ht="15.75" customHeight="1" x14ac:dyDescent="0.35">
      <c r="A696" s="12">
        <v>46</v>
      </c>
      <c r="B696" s="12" t="s">
        <v>1253</v>
      </c>
      <c r="C696" s="12">
        <v>2022</v>
      </c>
      <c r="D696" s="12" t="s">
        <v>420</v>
      </c>
      <c r="E696" s="12" t="s">
        <v>1254</v>
      </c>
      <c r="F696" s="12" t="s">
        <v>1255</v>
      </c>
      <c r="G696" s="12" t="s">
        <v>86</v>
      </c>
      <c r="H696" s="12" t="s">
        <v>1320</v>
      </c>
      <c r="I696" s="12">
        <v>45.936666670000001</v>
      </c>
      <c r="J696" s="16">
        <v>-82.758333300000004</v>
      </c>
      <c r="K696" s="12" t="s">
        <v>103</v>
      </c>
      <c r="L696" s="12" t="s">
        <v>28</v>
      </c>
      <c r="N696" s="12">
        <v>8509</v>
      </c>
      <c r="O696" s="12" t="s">
        <v>346</v>
      </c>
      <c r="P696" s="12">
        <f t="shared" si="17"/>
        <v>8509</v>
      </c>
      <c r="Q696" s="12" t="s">
        <v>107</v>
      </c>
      <c r="R696" s="12" t="s">
        <v>1257</v>
      </c>
    </row>
    <row r="697" spans="1:18" ht="15.75" customHeight="1" x14ac:dyDescent="0.35">
      <c r="A697" s="12">
        <v>46</v>
      </c>
      <c r="B697" s="12" t="s">
        <v>1253</v>
      </c>
      <c r="C697" s="12">
        <v>2022</v>
      </c>
      <c r="D697" s="12" t="s">
        <v>420</v>
      </c>
      <c r="E697" s="12" t="s">
        <v>1254</v>
      </c>
      <c r="F697" s="12" t="s">
        <v>1255</v>
      </c>
      <c r="G697" s="12" t="s">
        <v>86</v>
      </c>
      <c r="H697" s="12" t="s">
        <v>1321</v>
      </c>
      <c r="I697" s="12">
        <v>45.97</v>
      </c>
      <c r="J697" s="16">
        <v>-83.198333300000002</v>
      </c>
      <c r="K697" s="12" t="s">
        <v>103</v>
      </c>
      <c r="L697" s="12" t="s">
        <v>28</v>
      </c>
      <c r="N697" s="12">
        <v>3875</v>
      </c>
      <c r="O697" s="12" t="s">
        <v>346</v>
      </c>
      <c r="P697" s="12">
        <f t="shared" ref="P697:P708" si="18">N697</f>
        <v>3875</v>
      </c>
      <c r="Q697" s="12" t="s">
        <v>107</v>
      </c>
      <c r="R697" s="12" t="s">
        <v>1257</v>
      </c>
    </row>
    <row r="698" spans="1:18" ht="15.75" customHeight="1" x14ac:dyDescent="0.35">
      <c r="A698" s="12">
        <v>46</v>
      </c>
      <c r="B698" s="12" t="s">
        <v>1253</v>
      </c>
      <c r="C698" s="12">
        <v>2022</v>
      </c>
      <c r="D698" s="12" t="s">
        <v>420</v>
      </c>
      <c r="E698" s="12" t="s">
        <v>1254</v>
      </c>
      <c r="F698" s="12" t="s">
        <v>1255</v>
      </c>
      <c r="G698" s="12" t="s">
        <v>86</v>
      </c>
      <c r="H698" s="12" t="s">
        <v>1322</v>
      </c>
      <c r="I698" s="12">
        <v>46</v>
      </c>
      <c r="J698" s="16">
        <v>-82.55</v>
      </c>
      <c r="K698" s="12" t="s">
        <v>103</v>
      </c>
      <c r="L698" s="12" t="s">
        <v>28</v>
      </c>
      <c r="N698" s="12">
        <v>18062</v>
      </c>
      <c r="O698" s="12" t="s">
        <v>346</v>
      </c>
      <c r="P698" s="12">
        <f t="shared" si="18"/>
        <v>18062</v>
      </c>
      <c r="Q698" s="12" t="s">
        <v>107</v>
      </c>
      <c r="R698" s="12" t="s">
        <v>1257</v>
      </c>
    </row>
    <row r="699" spans="1:18" ht="15.75" customHeight="1" x14ac:dyDescent="0.35">
      <c r="A699" s="12">
        <v>46</v>
      </c>
      <c r="B699" s="12" t="s">
        <v>1253</v>
      </c>
      <c r="C699" s="12">
        <v>2022</v>
      </c>
      <c r="D699" s="12" t="s">
        <v>420</v>
      </c>
      <c r="E699" s="12" t="s">
        <v>1254</v>
      </c>
      <c r="F699" s="12" t="s">
        <v>1255</v>
      </c>
      <c r="G699" s="12" t="s">
        <v>86</v>
      </c>
      <c r="H699" s="12" t="s">
        <v>1323</v>
      </c>
      <c r="I699" s="12">
        <v>46</v>
      </c>
      <c r="J699" s="16">
        <v>-83.433333300000001</v>
      </c>
      <c r="K699" s="12" t="s">
        <v>103</v>
      </c>
      <c r="L699" s="12" t="s">
        <v>28</v>
      </c>
      <c r="N699" s="12">
        <v>43072</v>
      </c>
      <c r="O699" s="12" t="s">
        <v>346</v>
      </c>
      <c r="P699" s="12">
        <f t="shared" si="18"/>
        <v>43072</v>
      </c>
      <c r="Q699" s="12" t="s">
        <v>107</v>
      </c>
      <c r="R699" s="12" t="s">
        <v>1257</v>
      </c>
    </row>
    <row r="700" spans="1:18" ht="15.75" customHeight="1" x14ac:dyDescent="0.35">
      <c r="A700" s="12">
        <v>46</v>
      </c>
      <c r="B700" s="12" t="s">
        <v>1253</v>
      </c>
      <c r="C700" s="12">
        <v>2022</v>
      </c>
      <c r="D700" s="12" t="s">
        <v>420</v>
      </c>
      <c r="E700" s="12" t="s">
        <v>1254</v>
      </c>
      <c r="F700" s="12" t="s">
        <v>1255</v>
      </c>
      <c r="G700" s="12" t="s">
        <v>86</v>
      </c>
      <c r="H700" s="12" t="s">
        <v>1324</v>
      </c>
      <c r="I700" s="12">
        <v>46.041666669999998</v>
      </c>
      <c r="J700" s="16">
        <v>-83.853333300000003</v>
      </c>
      <c r="K700" s="12" t="s">
        <v>103</v>
      </c>
      <c r="L700" s="12" t="s">
        <v>28</v>
      </c>
      <c r="N700" s="12">
        <v>7499</v>
      </c>
      <c r="O700" s="12" t="s">
        <v>346</v>
      </c>
      <c r="P700" s="12">
        <f t="shared" si="18"/>
        <v>7499</v>
      </c>
      <c r="Q700" s="12" t="s">
        <v>107</v>
      </c>
      <c r="R700" s="12" t="s">
        <v>1257</v>
      </c>
    </row>
    <row r="701" spans="1:18" ht="15.75" customHeight="1" x14ac:dyDescent="0.35">
      <c r="A701" s="12">
        <v>46</v>
      </c>
      <c r="B701" s="12" t="s">
        <v>1253</v>
      </c>
      <c r="C701" s="12">
        <v>2022</v>
      </c>
      <c r="D701" s="12" t="s">
        <v>420</v>
      </c>
      <c r="E701" s="12" t="s">
        <v>1254</v>
      </c>
      <c r="F701" s="12" t="s">
        <v>1255</v>
      </c>
      <c r="G701" s="12" t="s">
        <v>86</v>
      </c>
      <c r="H701" s="12" t="s">
        <v>1325</v>
      </c>
      <c r="I701" s="12">
        <v>46.055555560000002</v>
      </c>
      <c r="J701" s="16">
        <v>-82</v>
      </c>
      <c r="K701" s="12" t="s">
        <v>103</v>
      </c>
      <c r="L701" s="12" t="s">
        <v>28</v>
      </c>
      <c r="N701" s="12">
        <v>31731</v>
      </c>
      <c r="O701" s="12" t="s">
        <v>346</v>
      </c>
      <c r="P701" s="12">
        <f t="shared" si="18"/>
        <v>31731</v>
      </c>
      <c r="Q701" s="12" t="s">
        <v>107</v>
      </c>
      <c r="R701" s="12" t="s">
        <v>1257</v>
      </c>
    </row>
    <row r="702" spans="1:18" ht="15.75" customHeight="1" x14ac:dyDescent="0.35">
      <c r="A702" s="12">
        <v>46</v>
      </c>
      <c r="B702" s="12" t="s">
        <v>1253</v>
      </c>
      <c r="C702" s="12">
        <v>2022</v>
      </c>
      <c r="D702" s="12" t="s">
        <v>420</v>
      </c>
      <c r="E702" s="12" t="s">
        <v>1254</v>
      </c>
      <c r="F702" s="12" t="s">
        <v>1255</v>
      </c>
      <c r="G702" s="12" t="s">
        <v>86</v>
      </c>
      <c r="H702" s="12" t="s">
        <v>1326</v>
      </c>
      <c r="I702" s="12">
        <v>46.061111109999999</v>
      </c>
      <c r="J702" s="16">
        <v>-82.197222199999999</v>
      </c>
      <c r="K702" s="12" t="s">
        <v>103</v>
      </c>
      <c r="L702" s="12" t="s">
        <v>28</v>
      </c>
      <c r="N702" s="12">
        <v>6188</v>
      </c>
      <c r="O702" s="12" t="s">
        <v>346</v>
      </c>
      <c r="P702" s="12">
        <f t="shared" si="18"/>
        <v>6188</v>
      </c>
      <c r="Q702" s="12" t="s">
        <v>107</v>
      </c>
      <c r="R702" s="12" t="s">
        <v>1257</v>
      </c>
    </row>
    <row r="703" spans="1:18" ht="15.75" customHeight="1" x14ac:dyDescent="0.35">
      <c r="A703" s="12">
        <v>46</v>
      </c>
      <c r="B703" s="12" t="s">
        <v>1253</v>
      </c>
      <c r="C703" s="12">
        <v>2022</v>
      </c>
      <c r="D703" s="12" t="s">
        <v>420</v>
      </c>
      <c r="E703" s="12" t="s">
        <v>1254</v>
      </c>
      <c r="F703" s="12" t="s">
        <v>1255</v>
      </c>
      <c r="G703" s="12" t="s">
        <v>86</v>
      </c>
      <c r="H703" s="12" t="s">
        <v>1327</v>
      </c>
      <c r="I703" s="12">
        <v>46.07833333</v>
      </c>
      <c r="J703" s="16">
        <v>-84.0283333</v>
      </c>
      <c r="K703" s="12" t="s">
        <v>103</v>
      </c>
      <c r="L703" s="12" t="s">
        <v>28</v>
      </c>
      <c r="N703" s="12">
        <v>73193</v>
      </c>
      <c r="O703" s="12" t="s">
        <v>346</v>
      </c>
      <c r="P703" s="12">
        <f t="shared" si="18"/>
        <v>73193</v>
      </c>
      <c r="Q703" s="12" t="s">
        <v>107</v>
      </c>
      <c r="R703" s="12" t="s">
        <v>1257</v>
      </c>
    </row>
    <row r="704" spans="1:18" ht="15.75" customHeight="1" x14ac:dyDescent="0.35">
      <c r="A704" s="12">
        <v>46</v>
      </c>
      <c r="B704" s="12" t="s">
        <v>1253</v>
      </c>
      <c r="C704" s="12">
        <v>2022</v>
      </c>
      <c r="D704" s="12" t="s">
        <v>420</v>
      </c>
      <c r="E704" s="12" t="s">
        <v>1254</v>
      </c>
      <c r="F704" s="12" t="s">
        <v>1255</v>
      </c>
      <c r="G704" s="12" t="s">
        <v>86</v>
      </c>
      <c r="H704" s="12" t="s">
        <v>1328</v>
      </c>
      <c r="I704" s="12">
        <v>46.091666670000002</v>
      </c>
      <c r="J704" s="16">
        <v>-82.556666699999994</v>
      </c>
      <c r="K704" s="12" t="s">
        <v>103</v>
      </c>
      <c r="L704" s="12" t="s">
        <v>28</v>
      </c>
      <c r="N704" s="12">
        <v>23832</v>
      </c>
      <c r="O704" s="12" t="s">
        <v>346</v>
      </c>
      <c r="P704" s="12">
        <f t="shared" si="18"/>
        <v>23832</v>
      </c>
      <c r="Q704" s="12" t="s">
        <v>107</v>
      </c>
      <c r="R704" s="12" t="s">
        <v>1257</v>
      </c>
    </row>
    <row r="705" spans="1:18" ht="15.75" customHeight="1" x14ac:dyDescent="0.35">
      <c r="A705" s="12">
        <v>46</v>
      </c>
      <c r="B705" s="12" t="s">
        <v>1253</v>
      </c>
      <c r="C705" s="12">
        <v>2022</v>
      </c>
      <c r="D705" s="12" t="s">
        <v>420</v>
      </c>
      <c r="E705" s="12" t="s">
        <v>1254</v>
      </c>
      <c r="F705" s="12" t="s">
        <v>1255</v>
      </c>
      <c r="G705" s="12" t="s">
        <v>86</v>
      </c>
      <c r="H705" s="12" t="s">
        <v>1329</v>
      </c>
      <c r="I705" s="12">
        <v>46.123333330000001</v>
      </c>
      <c r="J705" s="16">
        <v>-82.885833300000002</v>
      </c>
      <c r="K705" s="12" t="s">
        <v>103</v>
      </c>
      <c r="L705" s="12" t="s">
        <v>28</v>
      </c>
      <c r="N705" s="12">
        <v>1484</v>
      </c>
      <c r="O705" s="12" t="s">
        <v>346</v>
      </c>
      <c r="P705" s="12">
        <f t="shared" si="18"/>
        <v>1484</v>
      </c>
      <c r="Q705" s="12" t="s">
        <v>107</v>
      </c>
      <c r="R705" s="12" t="s">
        <v>1257</v>
      </c>
    </row>
    <row r="706" spans="1:18" ht="15.75" customHeight="1" x14ac:dyDescent="0.35">
      <c r="A706" s="12">
        <v>46</v>
      </c>
      <c r="B706" s="12" t="s">
        <v>1253</v>
      </c>
      <c r="C706" s="12">
        <v>2022</v>
      </c>
      <c r="D706" s="12" t="s">
        <v>420</v>
      </c>
      <c r="E706" s="12" t="s">
        <v>1254</v>
      </c>
      <c r="F706" s="12" t="s">
        <v>1255</v>
      </c>
      <c r="G706" s="12" t="s">
        <v>86</v>
      </c>
      <c r="H706" s="12" t="s">
        <v>1330</v>
      </c>
      <c r="I706" s="12">
        <v>46.136666669999997</v>
      </c>
      <c r="J706" s="16">
        <v>-83.671666700000003</v>
      </c>
      <c r="K706" s="12" t="s">
        <v>103</v>
      </c>
      <c r="L706" s="12" t="s">
        <v>28</v>
      </c>
      <c r="N706" s="12">
        <v>6192</v>
      </c>
      <c r="O706" s="12" t="s">
        <v>346</v>
      </c>
      <c r="P706" s="12">
        <f t="shared" si="18"/>
        <v>6192</v>
      </c>
      <c r="Q706" s="12" t="s">
        <v>107</v>
      </c>
      <c r="R706" s="12" t="s">
        <v>1257</v>
      </c>
    </row>
    <row r="707" spans="1:18" ht="15.75" customHeight="1" x14ac:dyDescent="0.35">
      <c r="A707" s="12">
        <v>46</v>
      </c>
      <c r="B707" s="12" t="s">
        <v>1253</v>
      </c>
      <c r="C707" s="12">
        <v>2022</v>
      </c>
      <c r="D707" s="12" t="s">
        <v>420</v>
      </c>
      <c r="E707" s="12" t="s">
        <v>1254</v>
      </c>
      <c r="F707" s="12" t="s">
        <v>1255</v>
      </c>
      <c r="G707" s="12" t="s">
        <v>86</v>
      </c>
      <c r="H707" s="12" t="s">
        <v>1331</v>
      </c>
      <c r="I707" s="12">
        <v>46.186666670000001</v>
      </c>
      <c r="J707" s="16">
        <v>-83.355000000000004</v>
      </c>
      <c r="K707" s="12" t="s">
        <v>103</v>
      </c>
      <c r="L707" s="12" t="s">
        <v>28</v>
      </c>
      <c r="N707" s="12">
        <v>1343</v>
      </c>
      <c r="O707" s="12" t="s">
        <v>346</v>
      </c>
      <c r="P707" s="12">
        <f t="shared" si="18"/>
        <v>1343</v>
      </c>
      <c r="Q707" s="12" t="s">
        <v>107</v>
      </c>
      <c r="R707" s="12" t="s">
        <v>1257</v>
      </c>
    </row>
    <row r="708" spans="1:18" ht="15.75" customHeight="1" x14ac:dyDescent="0.35">
      <c r="A708" s="12">
        <v>46</v>
      </c>
      <c r="B708" s="12" t="s">
        <v>1253</v>
      </c>
      <c r="C708" s="12">
        <v>2022</v>
      </c>
      <c r="D708" s="12" t="s">
        <v>420</v>
      </c>
      <c r="E708" s="12" t="s">
        <v>1254</v>
      </c>
      <c r="F708" s="12" t="s">
        <v>1255</v>
      </c>
      <c r="G708" s="12" t="s">
        <v>86</v>
      </c>
      <c r="H708" s="12" t="s">
        <v>1332</v>
      </c>
      <c r="I708" s="12">
        <v>46.233333330000001</v>
      </c>
      <c r="J708" s="16">
        <v>-83.746666700000006</v>
      </c>
      <c r="K708" s="12" t="s">
        <v>103</v>
      </c>
      <c r="L708" s="12" t="s">
        <v>28</v>
      </c>
      <c r="N708" s="12">
        <v>335714</v>
      </c>
      <c r="O708" s="12" t="s">
        <v>346</v>
      </c>
      <c r="P708" s="12">
        <f t="shared" si="18"/>
        <v>335714</v>
      </c>
      <c r="Q708" s="12" t="s">
        <v>107</v>
      </c>
      <c r="R708" s="12" t="s">
        <v>1257</v>
      </c>
    </row>
    <row r="709" spans="1:18" ht="15.75" customHeight="1" x14ac:dyDescent="0.35">
      <c r="A709" s="12">
        <v>47</v>
      </c>
      <c r="B709" s="12" t="s">
        <v>1333</v>
      </c>
      <c r="C709" s="12">
        <v>2022</v>
      </c>
      <c r="D709" s="12" t="s">
        <v>1334</v>
      </c>
      <c r="E709" s="12" t="s">
        <v>1335</v>
      </c>
      <c r="F709" s="12" t="s">
        <v>1336</v>
      </c>
      <c r="G709" s="12" t="s">
        <v>161</v>
      </c>
      <c r="H709" s="12" t="s">
        <v>1337</v>
      </c>
      <c r="I709" s="16">
        <v>45.399895000000001</v>
      </c>
      <c r="J709" s="16">
        <v>-73.899874999999994</v>
      </c>
      <c r="K709" s="12" t="s">
        <v>41</v>
      </c>
      <c r="L709" s="12" t="s">
        <v>223</v>
      </c>
      <c r="M709" s="12" t="s">
        <v>1338</v>
      </c>
      <c r="N709" s="12">
        <v>1.17</v>
      </c>
      <c r="O709" s="12" t="s">
        <v>248</v>
      </c>
      <c r="P709" s="12">
        <f t="shared" ref="P709:P716" si="19">N709/1000</f>
        <v>1.17E-3</v>
      </c>
      <c r="Q709" s="12" t="s">
        <v>59</v>
      </c>
      <c r="R709" s="12" t="s">
        <v>1339</v>
      </c>
    </row>
    <row r="710" spans="1:18" ht="15.75" customHeight="1" x14ac:dyDescent="0.35">
      <c r="A710" s="12">
        <v>47</v>
      </c>
      <c r="B710" s="12" t="s">
        <v>1333</v>
      </c>
      <c r="C710" s="12">
        <v>2022</v>
      </c>
      <c r="D710" s="12" t="s">
        <v>1334</v>
      </c>
      <c r="E710" s="12" t="s">
        <v>1335</v>
      </c>
      <c r="F710" s="12" t="s">
        <v>1336</v>
      </c>
      <c r="G710" s="12" t="s">
        <v>161</v>
      </c>
      <c r="H710" s="12" t="s">
        <v>1340</v>
      </c>
      <c r="I710" s="16">
        <v>45.33</v>
      </c>
      <c r="J710" s="16">
        <v>-73.930000000000007</v>
      </c>
      <c r="K710" s="12" t="s">
        <v>41</v>
      </c>
      <c r="L710" s="12" t="s">
        <v>223</v>
      </c>
      <c r="M710" s="12" t="s">
        <v>1338</v>
      </c>
      <c r="N710" s="12">
        <v>1.62</v>
      </c>
      <c r="O710" s="12" t="s">
        <v>248</v>
      </c>
      <c r="P710" s="12">
        <f t="shared" si="19"/>
        <v>1.6200000000000001E-3</v>
      </c>
      <c r="Q710" s="12" t="s">
        <v>59</v>
      </c>
      <c r="R710" s="12" t="s">
        <v>1339</v>
      </c>
    </row>
    <row r="711" spans="1:18" ht="15.75" customHeight="1" x14ac:dyDescent="0.35">
      <c r="A711" s="12">
        <v>47</v>
      </c>
      <c r="B711" s="12" t="s">
        <v>1333</v>
      </c>
      <c r="C711" s="12">
        <v>2022</v>
      </c>
      <c r="D711" s="12" t="s">
        <v>1334</v>
      </c>
      <c r="E711" s="12" t="s">
        <v>1335</v>
      </c>
      <c r="F711" s="12" t="s">
        <v>1336</v>
      </c>
      <c r="G711" s="12" t="s">
        <v>161</v>
      </c>
      <c r="H711" s="12" t="s">
        <v>1341</v>
      </c>
      <c r="I711" s="16">
        <v>46.2</v>
      </c>
      <c r="J711" s="16">
        <v>-72.81</v>
      </c>
      <c r="K711" s="12" t="s">
        <v>41</v>
      </c>
      <c r="L711" s="12" t="s">
        <v>223</v>
      </c>
      <c r="M711" s="12" t="s">
        <v>1338</v>
      </c>
      <c r="N711" s="12">
        <v>5.87</v>
      </c>
      <c r="O711" s="12" t="s">
        <v>248</v>
      </c>
      <c r="P711" s="12">
        <f t="shared" si="19"/>
        <v>5.8700000000000002E-3</v>
      </c>
      <c r="Q711" s="12" t="s">
        <v>59</v>
      </c>
      <c r="R711" s="12" t="s">
        <v>1339</v>
      </c>
    </row>
    <row r="712" spans="1:18" ht="15.75" customHeight="1" x14ac:dyDescent="0.35">
      <c r="A712" s="12">
        <v>47</v>
      </c>
      <c r="B712" s="12" t="s">
        <v>1333</v>
      </c>
      <c r="C712" s="12">
        <v>2022</v>
      </c>
      <c r="D712" s="12" t="s">
        <v>1334</v>
      </c>
      <c r="E712" s="12" t="s">
        <v>1335</v>
      </c>
      <c r="F712" s="12" t="s">
        <v>1336</v>
      </c>
      <c r="G712" s="12" t="s">
        <v>161</v>
      </c>
      <c r="H712" s="12" t="s">
        <v>1342</v>
      </c>
      <c r="I712" s="16">
        <v>46.83</v>
      </c>
      <c r="J712" s="16">
        <v>-71.180000000000007</v>
      </c>
      <c r="K712" s="12" t="s">
        <v>41</v>
      </c>
      <c r="L712" s="12" t="s">
        <v>223</v>
      </c>
      <c r="M712" s="12" t="s">
        <v>1338</v>
      </c>
      <c r="N712" s="12">
        <v>3.18</v>
      </c>
      <c r="O712" s="12" t="s">
        <v>248</v>
      </c>
      <c r="P712" s="12">
        <f t="shared" si="19"/>
        <v>3.1800000000000001E-3</v>
      </c>
      <c r="Q712" s="12" t="s">
        <v>59</v>
      </c>
      <c r="R712" s="12" t="s">
        <v>1339</v>
      </c>
    </row>
    <row r="713" spans="1:18" ht="15.75" customHeight="1" x14ac:dyDescent="0.35">
      <c r="A713" s="12">
        <v>47</v>
      </c>
      <c r="B713" s="12" t="s">
        <v>1333</v>
      </c>
      <c r="C713" s="12">
        <v>2022</v>
      </c>
      <c r="D713" s="12" t="s">
        <v>1334</v>
      </c>
      <c r="E713" s="12" t="s">
        <v>1335</v>
      </c>
      <c r="F713" s="12" t="s">
        <v>1336</v>
      </c>
      <c r="G713" s="12" t="s">
        <v>161</v>
      </c>
      <c r="H713" s="12" t="s">
        <v>1343</v>
      </c>
      <c r="I713" s="16">
        <v>47.4</v>
      </c>
      <c r="J713" s="16">
        <v>-70.459999999999994</v>
      </c>
      <c r="K713" s="12" t="s">
        <v>41</v>
      </c>
      <c r="L713" s="12" t="s">
        <v>163</v>
      </c>
      <c r="M713" s="12" t="s">
        <v>1338</v>
      </c>
      <c r="N713" s="12">
        <v>8.35</v>
      </c>
      <c r="O713" s="12" t="s">
        <v>248</v>
      </c>
      <c r="P713" s="12">
        <f t="shared" si="19"/>
        <v>8.3499999999999998E-3</v>
      </c>
      <c r="Q713" s="12" t="s">
        <v>59</v>
      </c>
      <c r="R713" s="12" t="s">
        <v>1339</v>
      </c>
    </row>
    <row r="714" spans="1:18" ht="15.75" customHeight="1" x14ac:dyDescent="0.35">
      <c r="A714" s="12">
        <v>47</v>
      </c>
      <c r="B714" s="12" t="s">
        <v>1333</v>
      </c>
      <c r="C714" s="12">
        <v>2022</v>
      </c>
      <c r="D714" s="12" t="s">
        <v>1334</v>
      </c>
      <c r="E714" s="12" t="s">
        <v>1335</v>
      </c>
      <c r="F714" s="12" t="s">
        <v>1336</v>
      </c>
      <c r="G714" s="12" t="s">
        <v>161</v>
      </c>
      <c r="H714" s="12" t="s">
        <v>1344</v>
      </c>
      <c r="I714" s="16">
        <v>47.36</v>
      </c>
      <c r="J714" s="16">
        <v>-70.12</v>
      </c>
      <c r="K714" s="12" t="s">
        <v>41</v>
      </c>
      <c r="L714" s="12" t="s">
        <v>163</v>
      </c>
      <c r="M714" s="12" t="s">
        <v>1338</v>
      </c>
      <c r="N714" s="12">
        <v>16.600000000000001</v>
      </c>
      <c r="O714" s="12" t="s">
        <v>248</v>
      </c>
      <c r="P714" s="12">
        <f t="shared" si="19"/>
        <v>1.66E-2</v>
      </c>
      <c r="Q714" s="12" t="s">
        <v>59</v>
      </c>
      <c r="R714" s="12" t="s">
        <v>1339</v>
      </c>
    </row>
    <row r="715" spans="1:18" ht="15.75" customHeight="1" x14ac:dyDescent="0.35">
      <c r="A715" s="12">
        <v>47</v>
      </c>
      <c r="B715" s="12" t="s">
        <v>1333</v>
      </c>
      <c r="C715" s="12">
        <v>2022</v>
      </c>
      <c r="D715" s="12" t="s">
        <v>1334</v>
      </c>
      <c r="E715" s="12" t="s">
        <v>1335</v>
      </c>
      <c r="F715" s="12" t="s">
        <v>1336</v>
      </c>
      <c r="G715" s="12" t="s">
        <v>161</v>
      </c>
      <c r="H715" s="12" t="s">
        <v>1345</v>
      </c>
      <c r="I715" s="16">
        <v>48.04</v>
      </c>
      <c r="J715" s="16">
        <v>-69.64</v>
      </c>
      <c r="K715" s="12" t="s">
        <v>41</v>
      </c>
      <c r="L715" s="12" t="s">
        <v>163</v>
      </c>
      <c r="M715" s="12" t="s">
        <v>1338</v>
      </c>
      <c r="N715" s="12">
        <v>14.19</v>
      </c>
      <c r="O715" s="12" t="s">
        <v>248</v>
      </c>
      <c r="P715" s="12">
        <f t="shared" si="19"/>
        <v>1.4189999999999999E-2</v>
      </c>
      <c r="Q715" s="12" t="s">
        <v>59</v>
      </c>
      <c r="R715" s="12" t="s">
        <v>1339</v>
      </c>
    </row>
    <row r="716" spans="1:18" ht="15.75" customHeight="1" x14ac:dyDescent="0.35">
      <c r="A716" s="12">
        <v>47</v>
      </c>
      <c r="B716" s="12" t="s">
        <v>1333</v>
      </c>
      <c r="C716" s="12">
        <v>2022</v>
      </c>
      <c r="D716" s="12" t="s">
        <v>1334</v>
      </c>
      <c r="E716" s="12" t="s">
        <v>1335</v>
      </c>
      <c r="F716" s="12" t="s">
        <v>1336</v>
      </c>
      <c r="G716" s="12" t="s">
        <v>161</v>
      </c>
      <c r="H716" s="12" t="s">
        <v>1346</v>
      </c>
      <c r="I716" s="16">
        <v>47.97</v>
      </c>
      <c r="J716" s="16">
        <v>-69.56</v>
      </c>
      <c r="K716" s="12" t="s">
        <v>41</v>
      </c>
      <c r="L716" s="12" t="s">
        <v>163</v>
      </c>
      <c r="M716" s="12" t="s">
        <v>1338</v>
      </c>
      <c r="N716" s="12">
        <v>33.33</v>
      </c>
      <c r="O716" s="12" t="s">
        <v>248</v>
      </c>
      <c r="P716" s="12">
        <f t="shared" si="19"/>
        <v>3.3329999999999999E-2</v>
      </c>
      <c r="Q716" s="12" t="s">
        <v>59</v>
      </c>
      <c r="R716" s="12" t="s">
        <v>1339</v>
      </c>
    </row>
    <row r="717" spans="1:18" ht="15.75" customHeight="1" x14ac:dyDescent="0.35">
      <c r="A717" s="12">
        <v>48</v>
      </c>
      <c r="B717" s="12" t="s">
        <v>1347</v>
      </c>
      <c r="C717" s="12">
        <v>2025</v>
      </c>
      <c r="D717" s="12" t="s">
        <v>1348</v>
      </c>
      <c r="E717" s="13" t="s">
        <v>1349</v>
      </c>
      <c r="F717" s="12" t="s">
        <v>1350</v>
      </c>
      <c r="G717" s="12" t="s">
        <v>86</v>
      </c>
      <c r="H717" s="12" t="s">
        <v>1351</v>
      </c>
      <c r="I717" s="12">
        <v>43.585223999999997</v>
      </c>
      <c r="J717" s="12">
        <v>-80.482315</v>
      </c>
      <c r="K717" s="12" t="s">
        <v>41</v>
      </c>
      <c r="L717" s="12" t="s">
        <v>223</v>
      </c>
      <c r="M717" s="12" t="s">
        <v>1353</v>
      </c>
      <c r="N717" s="12">
        <v>6.2180974477958202</v>
      </c>
      <c r="O717" s="12" t="s">
        <v>92</v>
      </c>
      <c r="P717" s="12">
        <v>6.2180974477958202</v>
      </c>
      <c r="Q717" s="12" t="s">
        <v>59</v>
      </c>
      <c r="R717" s="12" t="s">
        <v>166</v>
      </c>
    </row>
    <row r="718" spans="1:18" ht="15.75" customHeight="1" x14ac:dyDescent="0.35">
      <c r="A718" s="12">
        <v>48</v>
      </c>
      <c r="B718" s="12" t="s">
        <v>1347</v>
      </c>
      <c r="C718" s="12">
        <v>2025</v>
      </c>
      <c r="D718" s="12" t="s">
        <v>1348</v>
      </c>
      <c r="E718" s="12" t="s">
        <v>1349</v>
      </c>
      <c r="F718" s="12" t="s">
        <v>1350</v>
      </c>
      <c r="G718" s="12" t="s">
        <v>86</v>
      </c>
      <c r="H718" s="12" t="s">
        <v>1354</v>
      </c>
      <c r="I718" s="12">
        <v>43.069066999999997</v>
      </c>
      <c r="J718" s="12">
        <v>-79.945093</v>
      </c>
      <c r="K718" s="12" t="s">
        <v>41</v>
      </c>
      <c r="L718" s="12" t="s">
        <v>223</v>
      </c>
      <c r="M718" s="12" t="s">
        <v>1353</v>
      </c>
      <c r="N718" s="12">
        <v>4.7795823665893202</v>
      </c>
      <c r="O718" s="12" t="s">
        <v>92</v>
      </c>
      <c r="P718" s="12">
        <v>4.7795823665893202</v>
      </c>
      <c r="Q718" s="12" t="s">
        <v>59</v>
      </c>
      <c r="R718" s="12" t="s">
        <v>166</v>
      </c>
    </row>
    <row r="719" spans="1:18" ht="15.75" customHeight="1" x14ac:dyDescent="0.35">
      <c r="A719" s="12">
        <v>48</v>
      </c>
      <c r="B719" s="12" t="s">
        <v>1347</v>
      </c>
      <c r="C719" s="12">
        <v>2025</v>
      </c>
      <c r="D719" s="12" t="s">
        <v>1348</v>
      </c>
      <c r="E719" s="12" t="s">
        <v>1349</v>
      </c>
      <c r="F719" s="12" t="s">
        <v>1350</v>
      </c>
      <c r="G719" s="12" t="s">
        <v>86</v>
      </c>
      <c r="H719" s="12" t="s">
        <v>1355</v>
      </c>
      <c r="I719" s="12">
        <v>43.068924000000003</v>
      </c>
      <c r="J719" s="12">
        <v>-79.944989000000007</v>
      </c>
      <c r="K719" s="12" t="s">
        <v>41</v>
      </c>
      <c r="L719" s="12" t="s">
        <v>223</v>
      </c>
      <c r="M719" s="12" t="s">
        <v>1353</v>
      </c>
      <c r="N719" s="12">
        <v>3.2250580046403701</v>
      </c>
      <c r="O719" s="12" t="s">
        <v>92</v>
      </c>
      <c r="P719" s="12">
        <v>3.2250580046403701</v>
      </c>
      <c r="Q719" s="12" t="s">
        <v>59</v>
      </c>
      <c r="R719" s="12" t="s">
        <v>166</v>
      </c>
    </row>
    <row r="720" spans="1:18" ht="15.75" customHeight="1" x14ac:dyDescent="0.35">
      <c r="A720" s="12">
        <v>48</v>
      </c>
      <c r="B720" s="12" t="s">
        <v>1347</v>
      </c>
      <c r="C720" s="12">
        <v>2025</v>
      </c>
      <c r="D720" s="12" t="s">
        <v>1348</v>
      </c>
      <c r="E720" s="12" t="s">
        <v>1349</v>
      </c>
      <c r="F720" s="12" t="s">
        <v>1350</v>
      </c>
      <c r="G720" s="12" t="s">
        <v>86</v>
      </c>
      <c r="H720" s="12" t="s">
        <v>1356</v>
      </c>
      <c r="I720" s="29">
        <v>43.020569999999999</v>
      </c>
      <c r="J720" s="32">
        <v>-79.891954999999996</v>
      </c>
      <c r="K720" s="12" t="s">
        <v>41</v>
      </c>
      <c r="L720" s="12" t="s">
        <v>223</v>
      </c>
      <c r="M720" s="12" t="s">
        <v>1353</v>
      </c>
      <c r="N720" s="12">
        <v>1.9489559164733099</v>
      </c>
      <c r="O720" s="12" t="s">
        <v>92</v>
      </c>
      <c r="P720" s="12">
        <v>1.9489559164733099</v>
      </c>
      <c r="Q720" s="12" t="s">
        <v>59</v>
      </c>
      <c r="R720" s="12" t="s">
        <v>166</v>
      </c>
    </row>
    <row r="721" spans="1:18" ht="15.75" customHeight="1" x14ac:dyDescent="0.35">
      <c r="A721" s="12">
        <v>48</v>
      </c>
      <c r="B721" s="12" t="s">
        <v>1347</v>
      </c>
      <c r="C721" s="12">
        <v>2025</v>
      </c>
      <c r="D721" s="12" t="s">
        <v>1348</v>
      </c>
      <c r="E721" s="12" t="s">
        <v>1349</v>
      </c>
      <c r="F721" s="12" t="s">
        <v>1350</v>
      </c>
      <c r="G721" s="12" t="s">
        <v>86</v>
      </c>
      <c r="H721" s="12" t="s">
        <v>1357</v>
      </c>
      <c r="I721" s="12">
        <v>43.424281999999998</v>
      </c>
      <c r="J721" s="12">
        <v>-80.329398999999995</v>
      </c>
      <c r="K721" s="12" t="s">
        <v>41</v>
      </c>
      <c r="L721" s="12" t="s">
        <v>223</v>
      </c>
      <c r="M721" s="12" t="s">
        <v>1353</v>
      </c>
      <c r="N721" s="12">
        <v>5.32407407407407</v>
      </c>
      <c r="O721" s="12" t="s">
        <v>92</v>
      </c>
      <c r="P721" s="12">
        <v>5.32407407407407</v>
      </c>
      <c r="Q721" s="12" t="s">
        <v>59</v>
      </c>
      <c r="R721" s="12" t="s">
        <v>166</v>
      </c>
    </row>
    <row r="722" spans="1:18" ht="15.75" customHeight="1" x14ac:dyDescent="0.35">
      <c r="A722" s="12">
        <v>48</v>
      </c>
      <c r="B722" s="12" t="s">
        <v>1347</v>
      </c>
      <c r="C722" s="12">
        <v>2025</v>
      </c>
      <c r="D722" s="12" t="s">
        <v>1348</v>
      </c>
      <c r="E722" s="12" t="s">
        <v>1349</v>
      </c>
      <c r="F722" s="12" t="s">
        <v>1350</v>
      </c>
      <c r="G722" s="12" t="s">
        <v>86</v>
      </c>
      <c r="H722" s="12" t="s">
        <v>1358</v>
      </c>
      <c r="I722" s="12">
        <v>43.424014999999997</v>
      </c>
      <c r="J722" s="12">
        <v>-80.329723000000001</v>
      </c>
      <c r="K722" s="12" t="s">
        <v>41</v>
      </c>
      <c r="L722" s="12" t="s">
        <v>223</v>
      </c>
      <c r="M722" s="12" t="s">
        <v>1353</v>
      </c>
      <c r="N722" s="12">
        <v>5.8101851851851798</v>
      </c>
      <c r="O722" s="12" t="s">
        <v>92</v>
      </c>
      <c r="P722" s="12">
        <v>5.8101851851851798</v>
      </c>
      <c r="Q722" s="12" t="s">
        <v>59</v>
      </c>
      <c r="R722" s="12" t="s">
        <v>166</v>
      </c>
    </row>
    <row r="723" spans="1:18" ht="15.75" customHeight="1" x14ac:dyDescent="0.35">
      <c r="A723" s="12">
        <v>48</v>
      </c>
      <c r="B723" s="12" t="s">
        <v>1347</v>
      </c>
      <c r="C723" s="12">
        <v>2025</v>
      </c>
      <c r="D723" s="12" t="s">
        <v>1348</v>
      </c>
      <c r="E723" s="17" t="s">
        <v>1349</v>
      </c>
      <c r="F723" s="12" t="s">
        <v>1350</v>
      </c>
      <c r="G723" s="12" t="s">
        <v>86</v>
      </c>
      <c r="H723" s="12" t="s">
        <v>1359</v>
      </c>
      <c r="I723" s="12">
        <v>43.281640000000003</v>
      </c>
      <c r="J723" s="12">
        <v>-80.464954000000006</v>
      </c>
      <c r="K723" s="12" t="s">
        <v>41</v>
      </c>
      <c r="L723" s="12" t="s">
        <v>223</v>
      </c>
      <c r="M723" s="12" t="s">
        <v>1353</v>
      </c>
      <c r="N723" s="12">
        <v>5.7407407407407396</v>
      </c>
      <c r="O723" s="12" t="s">
        <v>92</v>
      </c>
      <c r="P723" s="12">
        <v>5.7407407407407396</v>
      </c>
      <c r="Q723" s="12" t="s">
        <v>59</v>
      </c>
      <c r="R723" s="12" t="s">
        <v>166</v>
      </c>
    </row>
    <row r="724" spans="1:18" ht="15.75" customHeight="1" x14ac:dyDescent="0.35">
      <c r="A724" s="12">
        <v>48</v>
      </c>
      <c r="B724" s="12" t="s">
        <v>1347</v>
      </c>
      <c r="C724" s="12">
        <v>2025</v>
      </c>
      <c r="D724" s="12" t="s">
        <v>1348</v>
      </c>
      <c r="E724" s="12" t="s">
        <v>1349</v>
      </c>
      <c r="F724" s="12" t="s">
        <v>1350</v>
      </c>
      <c r="G724" s="12" t="s">
        <v>86</v>
      </c>
      <c r="H724" s="12" t="s">
        <v>1360</v>
      </c>
      <c r="I724" s="12">
        <v>43.281506999999998</v>
      </c>
      <c r="J724" s="28">
        <v>-80.465179000000006</v>
      </c>
      <c r="K724" s="12" t="s">
        <v>41</v>
      </c>
      <c r="L724" s="12" t="s">
        <v>223</v>
      </c>
      <c r="M724" s="12" t="s">
        <v>1353</v>
      </c>
      <c r="N724" s="12">
        <v>9.0972222222222197</v>
      </c>
      <c r="O724" s="12" t="s">
        <v>92</v>
      </c>
      <c r="P724" s="12">
        <v>9.0972222222222197</v>
      </c>
      <c r="Q724" s="12" t="s">
        <v>59</v>
      </c>
      <c r="R724" s="12" t="s">
        <v>166</v>
      </c>
    </row>
    <row r="725" spans="1:18" ht="15.75" customHeight="1" x14ac:dyDescent="0.35">
      <c r="A725" s="12">
        <v>49</v>
      </c>
      <c r="B725" s="12" t="s">
        <v>1361</v>
      </c>
      <c r="C725" s="12">
        <v>2021</v>
      </c>
      <c r="D725" s="12" t="s">
        <v>468</v>
      </c>
      <c r="E725" s="12" t="s">
        <v>1362</v>
      </c>
      <c r="F725" s="12" t="s">
        <v>1363</v>
      </c>
      <c r="G725" s="12" t="s">
        <v>86</v>
      </c>
      <c r="H725" s="12" t="s">
        <v>1364</v>
      </c>
      <c r="I725" s="16">
        <v>46.674999999999997</v>
      </c>
      <c r="J725" s="16">
        <v>-84.564250000000001</v>
      </c>
      <c r="K725" s="12" t="s">
        <v>41</v>
      </c>
      <c r="L725" s="12" t="s">
        <v>28</v>
      </c>
      <c r="N725" s="33">
        <v>39000</v>
      </c>
      <c r="O725" s="12" t="s">
        <v>1366</v>
      </c>
      <c r="P725" s="18">
        <f t="shared" ref="P725:P754" si="20">N725</f>
        <v>39000</v>
      </c>
      <c r="Q725" s="12" t="s">
        <v>46</v>
      </c>
    </row>
    <row r="726" spans="1:18" ht="15.75" customHeight="1" x14ac:dyDescent="0.35">
      <c r="A726" s="12">
        <v>49</v>
      </c>
      <c r="B726" s="12" t="s">
        <v>1361</v>
      </c>
      <c r="C726" s="12">
        <v>2021</v>
      </c>
      <c r="D726" s="12" t="s">
        <v>468</v>
      </c>
      <c r="E726" s="12" t="s">
        <v>1362</v>
      </c>
      <c r="F726" s="12" t="s">
        <v>1363</v>
      </c>
      <c r="G726" s="12" t="s">
        <v>86</v>
      </c>
      <c r="H726" s="12" t="s">
        <v>1367</v>
      </c>
      <c r="I726" s="16">
        <v>46.770667000000003</v>
      </c>
      <c r="J726" s="16">
        <v>-84.599082999999993</v>
      </c>
      <c r="K726" s="12" t="s">
        <v>41</v>
      </c>
      <c r="L726" s="12" t="s">
        <v>28</v>
      </c>
      <c r="N726" s="33">
        <v>24000</v>
      </c>
      <c r="O726" s="12" t="s">
        <v>1366</v>
      </c>
      <c r="P726" s="18">
        <f t="shared" si="20"/>
        <v>24000</v>
      </c>
      <c r="Q726" s="12" t="s">
        <v>46</v>
      </c>
    </row>
    <row r="727" spans="1:18" ht="15.75" customHeight="1" x14ac:dyDescent="0.35">
      <c r="A727" s="12">
        <v>49</v>
      </c>
      <c r="B727" s="12" t="s">
        <v>1361</v>
      </c>
      <c r="C727" s="12">
        <v>2021</v>
      </c>
      <c r="D727" s="12" t="s">
        <v>468</v>
      </c>
      <c r="E727" s="12" t="s">
        <v>1362</v>
      </c>
      <c r="F727" s="12" t="s">
        <v>1363</v>
      </c>
      <c r="G727" s="12" t="s">
        <v>86</v>
      </c>
      <c r="H727" s="12" t="s">
        <v>1368</v>
      </c>
      <c r="I727" s="16">
        <v>46.940666999999998</v>
      </c>
      <c r="J727" s="16">
        <v>-84.727000000000004</v>
      </c>
      <c r="K727" s="12" t="s">
        <v>41</v>
      </c>
      <c r="L727" s="12" t="s">
        <v>28</v>
      </c>
      <c r="N727" s="33">
        <v>20000</v>
      </c>
      <c r="O727" s="12" t="s">
        <v>1366</v>
      </c>
      <c r="P727" s="18">
        <f t="shared" si="20"/>
        <v>20000</v>
      </c>
      <c r="Q727" s="12" t="s">
        <v>46</v>
      </c>
    </row>
    <row r="728" spans="1:18" ht="15.75" customHeight="1" x14ac:dyDescent="0.35">
      <c r="A728" s="12">
        <v>49</v>
      </c>
      <c r="B728" s="12" t="s">
        <v>1361</v>
      </c>
      <c r="C728" s="12">
        <v>2021</v>
      </c>
      <c r="D728" s="12" t="s">
        <v>468</v>
      </c>
      <c r="E728" s="12" t="s">
        <v>1362</v>
      </c>
      <c r="F728" s="12" t="s">
        <v>1363</v>
      </c>
      <c r="G728" s="12" t="s">
        <v>86</v>
      </c>
      <c r="H728" s="12" t="s">
        <v>1369</v>
      </c>
      <c r="I728" s="16">
        <v>47.22025</v>
      </c>
      <c r="J728" s="16">
        <v>-85.102417000000003</v>
      </c>
      <c r="K728" s="12" t="s">
        <v>41</v>
      </c>
      <c r="L728" s="12" t="s">
        <v>28</v>
      </c>
      <c r="N728" s="33">
        <v>71000</v>
      </c>
      <c r="O728" s="12" t="s">
        <v>1366</v>
      </c>
      <c r="P728" s="18">
        <f t="shared" si="20"/>
        <v>71000</v>
      </c>
      <c r="Q728" s="12" t="s">
        <v>46</v>
      </c>
    </row>
    <row r="729" spans="1:18" ht="15.75" customHeight="1" x14ac:dyDescent="0.35">
      <c r="A729" s="12">
        <v>49</v>
      </c>
      <c r="B729" s="12" t="s">
        <v>1361</v>
      </c>
      <c r="C729" s="12">
        <v>2021</v>
      </c>
      <c r="D729" s="12" t="s">
        <v>468</v>
      </c>
      <c r="E729" s="12" t="s">
        <v>1362</v>
      </c>
      <c r="F729" s="12" t="s">
        <v>1363</v>
      </c>
      <c r="G729" s="12" t="s">
        <v>86</v>
      </c>
      <c r="H729" s="12" t="s">
        <v>1370</v>
      </c>
      <c r="I729" s="16">
        <v>47.316082999999999</v>
      </c>
      <c r="J729" s="16">
        <v>-84.648584</v>
      </c>
      <c r="K729" s="12" t="s">
        <v>41</v>
      </c>
      <c r="L729" s="12" t="s">
        <v>28</v>
      </c>
      <c r="N729" s="33">
        <v>21000</v>
      </c>
      <c r="O729" s="12" t="s">
        <v>1366</v>
      </c>
      <c r="P729" s="18">
        <f t="shared" si="20"/>
        <v>21000</v>
      </c>
      <c r="Q729" s="12" t="s">
        <v>46</v>
      </c>
    </row>
    <row r="730" spans="1:18" x14ac:dyDescent="0.35">
      <c r="A730" s="12">
        <v>49</v>
      </c>
      <c r="B730" s="12" t="s">
        <v>1361</v>
      </c>
      <c r="C730" s="12">
        <v>2021</v>
      </c>
      <c r="D730" s="12" t="s">
        <v>468</v>
      </c>
      <c r="E730" s="12" t="s">
        <v>1362</v>
      </c>
      <c r="F730" s="12" t="s">
        <v>1363</v>
      </c>
      <c r="G730" s="12" t="s">
        <v>86</v>
      </c>
      <c r="H730" s="12" t="s">
        <v>1371</v>
      </c>
      <c r="I730" s="16">
        <v>47.412916000000003</v>
      </c>
      <c r="J730" s="16">
        <v>-85.666167000000002</v>
      </c>
      <c r="K730" s="12" t="s">
        <v>41</v>
      </c>
      <c r="L730" s="12" t="s">
        <v>28</v>
      </c>
      <c r="N730" s="33">
        <v>27000</v>
      </c>
      <c r="O730" s="12" t="s">
        <v>1366</v>
      </c>
      <c r="P730" s="18">
        <f t="shared" si="20"/>
        <v>27000</v>
      </c>
      <c r="Q730" s="12" t="s">
        <v>46</v>
      </c>
    </row>
    <row r="731" spans="1:18" x14ac:dyDescent="0.35">
      <c r="A731" s="12">
        <v>49</v>
      </c>
      <c r="B731" s="12" t="s">
        <v>1361</v>
      </c>
      <c r="C731" s="12">
        <v>2021</v>
      </c>
      <c r="D731" s="12" t="s">
        <v>468</v>
      </c>
      <c r="E731" s="12" t="s">
        <v>1362</v>
      </c>
      <c r="F731" s="12" t="s">
        <v>1363</v>
      </c>
      <c r="G731" s="12" t="s">
        <v>86</v>
      </c>
      <c r="H731" s="12" t="s">
        <v>1372</v>
      </c>
      <c r="I731" s="16">
        <v>47.456916999999997</v>
      </c>
      <c r="J731" s="16">
        <v>-85.265165999999994</v>
      </c>
      <c r="K731" s="12" t="s">
        <v>41</v>
      </c>
      <c r="L731" s="12" t="s">
        <v>28</v>
      </c>
      <c r="N731" s="33">
        <v>13000</v>
      </c>
      <c r="O731" s="12" t="s">
        <v>1366</v>
      </c>
      <c r="P731" s="18">
        <f t="shared" si="20"/>
        <v>13000</v>
      </c>
      <c r="Q731" s="12" t="s">
        <v>46</v>
      </c>
    </row>
    <row r="732" spans="1:18" x14ac:dyDescent="0.35">
      <c r="A732" s="12">
        <v>49</v>
      </c>
      <c r="B732" s="12" t="s">
        <v>1361</v>
      </c>
      <c r="C732" s="12">
        <v>2021</v>
      </c>
      <c r="D732" s="12" t="s">
        <v>468</v>
      </c>
      <c r="E732" s="12" t="s">
        <v>1362</v>
      </c>
      <c r="F732" s="12" t="s">
        <v>1363</v>
      </c>
      <c r="G732" s="12" t="s">
        <v>86</v>
      </c>
      <c r="H732" s="12" t="s">
        <v>1373</v>
      </c>
      <c r="I732" s="16">
        <v>47.551833000000002</v>
      </c>
      <c r="J732" s="16">
        <v>-84.962999999999994</v>
      </c>
      <c r="K732" s="12" t="s">
        <v>41</v>
      </c>
      <c r="L732" s="12" t="s">
        <v>28</v>
      </c>
      <c r="N732" s="33">
        <v>32000</v>
      </c>
      <c r="O732" s="12" t="s">
        <v>1366</v>
      </c>
      <c r="P732" s="18">
        <f t="shared" si="20"/>
        <v>32000</v>
      </c>
      <c r="Q732" s="12" t="s">
        <v>46</v>
      </c>
    </row>
    <row r="733" spans="1:18" x14ac:dyDescent="0.35">
      <c r="A733" s="12">
        <v>49</v>
      </c>
      <c r="B733" s="12" t="s">
        <v>1361</v>
      </c>
      <c r="C733" s="12">
        <v>2021</v>
      </c>
      <c r="D733" s="12" t="s">
        <v>468</v>
      </c>
      <c r="E733" s="12" t="s">
        <v>1362</v>
      </c>
      <c r="F733" s="12" t="s">
        <v>1363</v>
      </c>
      <c r="G733" s="12" t="s">
        <v>86</v>
      </c>
      <c r="H733" s="12" t="s">
        <v>1374</v>
      </c>
      <c r="I733" s="16">
        <v>47.594915999999998</v>
      </c>
      <c r="J733" s="16">
        <v>-86.224917000000005</v>
      </c>
      <c r="K733" s="12" t="s">
        <v>41</v>
      </c>
      <c r="L733" s="12" t="s">
        <v>28</v>
      </c>
      <c r="N733" s="33">
        <v>16000</v>
      </c>
      <c r="O733" s="12" t="s">
        <v>1366</v>
      </c>
      <c r="P733" s="18">
        <f t="shared" si="20"/>
        <v>16000</v>
      </c>
      <c r="Q733" s="12" t="s">
        <v>46</v>
      </c>
    </row>
    <row r="734" spans="1:18" x14ac:dyDescent="0.35">
      <c r="A734" s="12">
        <v>49</v>
      </c>
      <c r="B734" s="12" t="s">
        <v>1361</v>
      </c>
      <c r="C734" s="12">
        <v>2021</v>
      </c>
      <c r="D734" s="12" t="s">
        <v>468</v>
      </c>
      <c r="E734" s="12" t="s">
        <v>1362</v>
      </c>
      <c r="F734" s="12" t="s">
        <v>1363</v>
      </c>
      <c r="G734" s="12" t="s">
        <v>86</v>
      </c>
      <c r="H734" s="12" t="s">
        <v>1375</v>
      </c>
      <c r="I734" s="16">
        <v>47.634082999999997</v>
      </c>
      <c r="J734" s="16">
        <v>-86.109834000000006</v>
      </c>
      <c r="K734" s="12" t="s">
        <v>41</v>
      </c>
      <c r="L734" s="12" t="s">
        <v>28</v>
      </c>
      <c r="N734" s="33">
        <v>14000</v>
      </c>
      <c r="O734" s="12" t="s">
        <v>1366</v>
      </c>
      <c r="P734" s="18">
        <f t="shared" si="20"/>
        <v>14000</v>
      </c>
      <c r="Q734" s="12" t="s">
        <v>46</v>
      </c>
    </row>
    <row r="735" spans="1:18" x14ac:dyDescent="0.35">
      <c r="A735" s="12">
        <v>49</v>
      </c>
      <c r="B735" s="12" t="s">
        <v>1361</v>
      </c>
      <c r="C735" s="12">
        <v>2021</v>
      </c>
      <c r="D735" s="12" t="s">
        <v>468</v>
      </c>
      <c r="E735" s="12" t="s">
        <v>1362</v>
      </c>
      <c r="F735" s="12" t="s">
        <v>1363</v>
      </c>
      <c r="G735" s="12" t="s">
        <v>86</v>
      </c>
      <c r="H735" s="12" t="s">
        <v>1376</v>
      </c>
      <c r="I735" s="16">
        <v>47.649417</v>
      </c>
      <c r="J735" s="16">
        <v>-85.559832999999998</v>
      </c>
      <c r="K735" s="12" t="s">
        <v>41</v>
      </c>
      <c r="L735" s="12" t="s">
        <v>28</v>
      </c>
      <c r="N735" s="33">
        <v>13000</v>
      </c>
      <c r="O735" s="12" t="s">
        <v>1366</v>
      </c>
      <c r="P735" s="18">
        <f t="shared" si="20"/>
        <v>13000</v>
      </c>
      <c r="Q735" s="12" t="s">
        <v>46</v>
      </c>
    </row>
    <row r="736" spans="1:18" x14ac:dyDescent="0.35">
      <c r="A736" s="12">
        <v>49</v>
      </c>
      <c r="B736" s="12" t="s">
        <v>1361</v>
      </c>
      <c r="C736" s="12">
        <v>2021</v>
      </c>
      <c r="D736" s="12" t="s">
        <v>468</v>
      </c>
      <c r="E736" s="12" t="s">
        <v>1362</v>
      </c>
      <c r="F736" s="12" t="s">
        <v>1363</v>
      </c>
      <c r="G736" s="12" t="s">
        <v>86</v>
      </c>
      <c r="H736" s="12" t="s">
        <v>1377</v>
      </c>
      <c r="I736" s="16">
        <v>47.701500000000003</v>
      </c>
      <c r="J736" s="16">
        <v>-85.957999999999998</v>
      </c>
      <c r="K736" s="12" t="s">
        <v>41</v>
      </c>
      <c r="L736" s="12" t="s">
        <v>28</v>
      </c>
      <c r="N736" s="33">
        <v>14000</v>
      </c>
      <c r="O736" s="12" t="s">
        <v>1366</v>
      </c>
      <c r="P736" s="18">
        <f t="shared" si="20"/>
        <v>14000</v>
      </c>
      <c r="Q736" s="12" t="s">
        <v>46</v>
      </c>
    </row>
    <row r="737" spans="1:17" x14ac:dyDescent="0.35">
      <c r="A737" s="12">
        <v>49</v>
      </c>
      <c r="B737" s="12" t="s">
        <v>1361</v>
      </c>
      <c r="C737" s="12">
        <v>2021</v>
      </c>
      <c r="D737" s="12" t="s">
        <v>468</v>
      </c>
      <c r="E737" s="12" t="s">
        <v>1362</v>
      </c>
      <c r="F737" s="12" t="s">
        <v>1363</v>
      </c>
      <c r="G737" s="12" t="s">
        <v>86</v>
      </c>
      <c r="H737" s="12" t="s">
        <v>1378</v>
      </c>
      <c r="I737" s="16">
        <v>47.827832999999998</v>
      </c>
      <c r="J737" s="16">
        <v>-86.698417000000006</v>
      </c>
      <c r="K737" s="12" t="s">
        <v>41</v>
      </c>
      <c r="L737" s="12" t="s">
        <v>28</v>
      </c>
      <c r="N737" s="33">
        <v>8900</v>
      </c>
      <c r="O737" s="12" t="s">
        <v>1366</v>
      </c>
      <c r="P737" s="18">
        <f t="shared" si="20"/>
        <v>8900</v>
      </c>
      <c r="Q737" s="12" t="s">
        <v>46</v>
      </c>
    </row>
    <row r="738" spans="1:17" x14ac:dyDescent="0.35">
      <c r="A738" s="12">
        <v>49</v>
      </c>
      <c r="B738" s="12" t="s">
        <v>1361</v>
      </c>
      <c r="C738" s="12">
        <v>2021</v>
      </c>
      <c r="D738" s="12" t="s">
        <v>468</v>
      </c>
      <c r="E738" s="12" t="s">
        <v>1362</v>
      </c>
      <c r="F738" s="12" t="s">
        <v>1363</v>
      </c>
      <c r="G738" s="12" t="s">
        <v>86</v>
      </c>
      <c r="H738" s="12" t="s">
        <v>1379</v>
      </c>
      <c r="I738" s="16">
        <v>47.914583</v>
      </c>
      <c r="J738" s="16">
        <v>-85.43</v>
      </c>
      <c r="K738" s="12" t="s">
        <v>41</v>
      </c>
      <c r="L738" s="12" t="s">
        <v>28</v>
      </c>
      <c r="N738" s="33">
        <v>25000</v>
      </c>
      <c r="O738" s="12" t="s">
        <v>1366</v>
      </c>
      <c r="P738" s="18">
        <f t="shared" si="20"/>
        <v>25000</v>
      </c>
      <c r="Q738" s="12" t="s">
        <v>46</v>
      </c>
    </row>
    <row r="739" spans="1:17" x14ac:dyDescent="0.35">
      <c r="A739" s="12">
        <v>49</v>
      </c>
      <c r="B739" s="12" t="s">
        <v>1361</v>
      </c>
      <c r="C739" s="12">
        <v>2021</v>
      </c>
      <c r="D739" s="12" t="s">
        <v>468</v>
      </c>
      <c r="E739" s="12" t="s">
        <v>1362</v>
      </c>
      <c r="F739" s="12" t="s">
        <v>1363</v>
      </c>
      <c r="G739" s="12" t="s">
        <v>86</v>
      </c>
      <c r="H739" s="12" t="s">
        <v>1380</v>
      </c>
      <c r="I739" s="16">
        <v>47.943249999999999</v>
      </c>
      <c r="J739" s="16">
        <v>-85.183166</v>
      </c>
      <c r="K739" s="12" t="s">
        <v>41</v>
      </c>
      <c r="L739" s="12" t="s">
        <v>28</v>
      </c>
      <c r="N739" s="33">
        <v>12000</v>
      </c>
      <c r="O739" s="12" t="s">
        <v>1366</v>
      </c>
      <c r="P739" s="18">
        <f t="shared" si="20"/>
        <v>12000</v>
      </c>
      <c r="Q739" s="12" t="s">
        <v>46</v>
      </c>
    </row>
    <row r="740" spans="1:17" x14ac:dyDescent="0.35">
      <c r="A740" s="12">
        <v>49</v>
      </c>
      <c r="B740" s="12" t="s">
        <v>1361</v>
      </c>
      <c r="C740" s="12">
        <v>2021</v>
      </c>
      <c r="D740" s="12" t="s">
        <v>468</v>
      </c>
      <c r="E740" s="12" t="s">
        <v>1362</v>
      </c>
      <c r="F740" s="12" t="s">
        <v>1363</v>
      </c>
      <c r="G740" s="12" t="s">
        <v>86</v>
      </c>
      <c r="H740" s="12" t="s">
        <v>1381</v>
      </c>
      <c r="I740" s="16">
        <v>47.950083999999997</v>
      </c>
      <c r="J740" s="16">
        <v>-84.942082999999997</v>
      </c>
      <c r="K740" s="12" t="s">
        <v>41</v>
      </c>
      <c r="L740" s="12" t="s">
        <v>28</v>
      </c>
      <c r="N740" s="33">
        <v>28000</v>
      </c>
      <c r="O740" s="12" t="s">
        <v>1366</v>
      </c>
      <c r="P740" s="18">
        <f t="shared" si="20"/>
        <v>28000</v>
      </c>
      <c r="Q740" s="12" t="s">
        <v>46</v>
      </c>
    </row>
    <row r="741" spans="1:17" x14ac:dyDescent="0.35">
      <c r="A741" s="12">
        <v>49</v>
      </c>
      <c r="B741" s="12" t="s">
        <v>1361</v>
      </c>
      <c r="C741" s="12">
        <v>2021</v>
      </c>
      <c r="D741" s="12" t="s">
        <v>468</v>
      </c>
      <c r="E741" s="12" t="s">
        <v>1362</v>
      </c>
      <c r="F741" s="12" t="s">
        <v>1363</v>
      </c>
      <c r="G741" s="12" t="s">
        <v>86</v>
      </c>
      <c r="H741" s="12" t="s">
        <v>1382</v>
      </c>
      <c r="I741" s="16">
        <v>48.023415999999997</v>
      </c>
      <c r="J741" s="16">
        <v>-86.637749999999997</v>
      </c>
      <c r="K741" s="12" t="s">
        <v>41</v>
      </c>
      <c r="L741" s="12" t="s">
        <v>28</v>
      </c>
      <c r="N741" s="33">
        <v>16000</v>
      </c>
      <c r="O741" s="12" t="s">
        <v>1366</v>
      </c>
      <c r="P741" s="18">
        <f t="shared" si="20"/>
        <v>16000</v>
      </c>
      <c r="Q741" s="12" t="s">
        <v>46</v>
      </c>
    </row>
    <row r="742" spans="1:17" x14ac:dyDescent="0.35">
      <c r="A742" s="12">
        <v>49</v>
      </c>
      <c r="B742" s="12" t="s">
        <v>1361</v>
      </c>
      <c r="C742" s="12">
        <v>2021</v>
      </c>
      <c r="D742" s="12" t="s">
        <v>468</v>
      </c>
      <c r="E742" s="12" t="s">
        <v>1362</v>
      </c>
      <c r="F742" s="12" t="s">
        <v>1363</v>
      </c>
      <c r="G742" s="12" t="s">
        <v>86</v>
      </c>
      <c r="H742" s="12" t="s">
        <v>1383</v>
      </c>
      <c r="I742" s="16">
        <v>48.078167000000001</v>
      </c>
      <c r="J742" s="16">
        <v>-89.417749999999998</v>
      </c>
      <c r="K742" s="12" t="s">
        <v>41</v>
      </c>
      <c r="L742" s="12" t="s">
        <v>28</v>
      </c>
      <c r="N742" s="33">
        <v>47000</v>
      </c>
      <c r="O742" s="12" t="s">
        <v>1366</v>
      </c>
      <c r="P742" s="18">
        <f t="shared" si="20"/>
        <v>47000</v>
      </c>
      <c r="Q742" s="12" t="s">
        <v>46</v>
      </c>
    </row>
    <row r="743" spans="1:17" x14ac:dyDescent="0.35">
      <c r="A743" s="12">
        <v>49</v>
      </c>
      <c r="B743" s="12" t="s">
        <v>1361</v>
      </c>
      <c r="C743" s="12">
        <v>2021</v>
      </c>
      <c r="D743" s="12" t="s">
        <v>468</v>
      </c>
      <c r="E743" s="12" t="s">
        <v>1362</v>
      </c>
      <c r="F743" s="12" t="s">
        <v>1363</v>
      </c>
      <c r="G743" s="12" t="s">
        <v>86</v>
      </c>
      <c r="H743" s="12" t="s">
        <v>1384</v>
      </c>
      <c r="I743" s="16">
        <v>48.122416000000001</v>
      </c>
      <c r="J743" s="16">
        <v>-86.052417000000005</v>
      </c>
      <c r="K743" s="12" t="s">
        <v>41</v>
      </c>
      <c r="L743" s="12" t="s">
        <v>28</v>
      </c>
      <c r="N743" s="33">
        <v>39000</v>
      </c>
      <c r="O743" s="12" t="s">
        <v>1366</v>
      </c>
      <c r="P743" s="18">
        <f t="shared" si="20"/>
        <v>39000</v>
      </c>
      <c r="Q743" s="12" t="s">
        <v>46</v>
      </c>
    </row>
    <row r="744" spans="1:17" x14ac:dyDescent="0.35">
      <c r="A744" s="12">
        <v>49</v>
      </c>
      <c r="B744" s="12" t="s">
        <v>1361</v>
      </c>
      <c r="C744" s="12">
        <v>2021</v>
      </c>
      <c r="D744" s="12" t="s">
        <v>468</v>
      </c>
      <c r="E744" s="12" t="s">
        <v>1362</v>
      </c>
      <c r="F744" s="12" t="s">
        <v>1363</v>
      </c>
      <c r="G744" s="12" t="s">
        <v>86</v>
      </c>
      <c r="H744" s="12" t="s">
        <v>1385</v>
      </c>
      <c r="I744" s="16">
        <v>48.262332999999998</v>
      </c>
      <c r="J744" s="16">
        <v>-89.165000000000006</v>
      </c>
      <c r="K744" s="12" t="s">
        <v>41</v>
      </c>
      <c r="L744" s="12" t="s">
        <v>28</v>
      </c>
      <c r="N744" s="33">
        <v>30000</v>
      </c>
      <c r="O744" s="12" t="s">
        <v>1366</v>
      </c>
      <c r="P744" s="18">
        <f t="shared" si="20"/>
        <v>30000</v>
      </c>
      <c r="Q744" s="12" t="s">
        <v>46</v>
      </c>
    </row>
    <row r="745" spans="1:17" x14ac:dyDescent="0.35">
      <c r="A745" s="12">
        <v>49</v>
      </c>
      <c r="B745" s="12" t="s">
        <v>1361</v>
      </c>
      <c r="C745" s="12">
        <v>2021</v>
      </c>
      <c r="D745" s="12" t="s">
        <v>468</v>
      </c>
      <c r="E745" s="12" t="s">
        <v>1362</v>
      </c>
      <c r="F745" s="12" t="s">
        <v>1363</v>
      </c>
      <c r="G745" s="12" t="s">
        <v>86</v>
      </c>
      <c r="H745" s="12" t="s">
        <v>1386</v>
      </c>
      <c r="I745" s="16">
        <v>48.299916000000003</v>
      </c>
      <c r="J745" s="16">
        <v>-88.924582999999998</v>
      </c>
      <c r="K745" s="12" t="s">
        <v>41</v>
      </c>
      <c r="L745" s="12" t="s">
        <v>28</v>
      </c>
      <c r="N745" s="33">
        <v>230000</v>
      </c>
      <c r="O745" s="12" t="s">
        <v>1366</v>
      </c>
      <c r="P745" s="18">
        <f t="shared" si="20"/>
        <v>230000</v>
      </c>
      <c r="Q745" s="12" t="s">
        <v>46</v>
      </c>
    </row>
    <row r="746" spans="1:17" x14ac:dyDescent="0.35">
      <c r="A746" s="12">
        <v>49</v>
      </c>
      <c r="B746" s="12" t="s">
        <v>1361</v>
      </c>
      <c r="C746" s="12">
        <v>2021</v>
      </c>
      <c r="D746" s="12" t="s">
        <v>468</v>
      </c>
      <c r="E746" s="12" t="s">
        <v>1362</v>
      </c>
      <c r="F746" s="12" t="s">
        <v>1363</v>
      </c>
      <c r="G746" s="12" t="s">
        <v>86</v>
      </c>
      <c r="H746" s="12" t="s">
        <v>1387</v>
      </c>
      <c r="I746" s="16">
        <v>48.304499999999997</v>
      </c>
      <c r="J746" s="16">
        <v>-87.657083</v>
      </c>
      <c r="K746" s="12" t="s">
        <v>41</v>
      </c>
      <c r="L746" s="12" t="s">
        <v>28</v>
      </c>
      <c r="N746" s="33">
        <v>47000</v>
      </c>
      <c r="O746" s="12" t="s">
        <v>1366</v>
      </c>
      <c r="P746" s="18">
        <f t="shared" si="20"/>
        <v>47000</v>
      </c>
      <c r="Q746" s="12" t="s">
        <v>46</v>
      </c>
    </row>
    <row r="747" spans="1:17" x14ac:dyDescent="0.35">
      <c r="A747" s="12">
        <v>49</v>
      </c>
      <c r="B747" s="12" t="s">
        <v>1361</v>
      </c>
      <c r="C747" s="12">
        <v>2021</v>
      </c>
      <c r="D747" s="12" t="s">
        <v>468</v>
      </c>
      <c r="E747" s="12" t="s">
        <v>1362</v>
      </c>
      <c r="F747" s="12" t="s">
        <v>1363</v>
      </c>
      <c r="G747" s="12" t="s">
        <v>86</v>
      </c>
      <c r="H747" s="12" t="s">
        <v>1388</v>
      </c>
      <c r="I747" s="16">
        <v>48.354999999999997</v>
      </c>
      <c r="J747" s="16">
        <v>-86.979249999999993</v>
      </c>
      <c r="K747" s="12" t="s">
        <v>41</v>
      </c>
      <c r="L747" s="12" t="s">
        <v>28</v>
      </c>
      <c r="N747" s="33">
        <v>13000</v>
      </c>
      <c r="O747" s="12" t="s">
        <v>1366</v>
      </c>
      <c r="P747" s="18">
        <f t="shared" si="20"/>
        <v>13000</v>
      </c>
      <c r="Q747" s="12" t="s">
        <v>46</v>
      </c>
    </row>
    <row r="748" spans="1:17" x14ac:dyDescent="0.35">
      <c r="A748" s="12">
        <v>49</v>
      </c>
      <c r="B748" s="12" t="s">
        <v>1361</v>
      </c>
      <c r="C748" s="12">
        <v>2021</v>
      </c>
      <c r="D748" s="12" t="s">
        <v>468</v>
      </c>
      <c r="E748" s="12" t="s">
        <v>1362</v>
      </c>
      <c r="F748" s="12" t="s">
        <v>1363</v>
      </c>
      <c r="G748" s="12" t="s">
        <v>86</v>
      </c>
      <c r="H748" s="12" t="s">
        <v>1389</v>
      </c>
      <c r="I748" s="16">
        <v>48.370334</v>
      </c>
      <c r="J748" s="16">
        <v>-88.880499999999998</v>
      </c>
      <c r="K748" s="12" t="s">
        <v>41</v>
      </c>
      <c r="L748" s="12" t="s">
        <v>28</v>
      </c>
      <c r="N748" s="33">
        <v>40000</v>
      </c>
      <c r="O748" s="12" t="s">
        <v>1366</v>
      </c>
      <c r="P748" s="18">
        <f t="shared" si="20"/>
        <v>40000</v>
      </c>
      <c r="Q748" s="12" t="s">
        <v>46</v>
      </c>
    </row>
    <row r="749" spans="1:17" x14ac:dyDescent="0.35">
      <c r="A749" s="12">
        <v>49</v>
      </c>
      <c r="B749" s="12" t="s">
        <v>1361</v>
      </c>
      <c r="C749" s="12">
        <v>2021</v>
      </c>
      <c r="D749" s="12" t="s">
        <v>468</v>
      </c>
      <c r="E749" s="12" t="s">
        <v>1362</v>
      </c>
      <c r="F749" s="12" t="s">
        <v>1363</v>
      </c>
      <c r="G749" s="12" t="s">
        <v>86</v>
      </c>
      <c r="H749" s="12" t="s">
        <v>1390</v>
      </c>
      <c r="I749" s="16">
        <v>48.501249999999999</v>
      </c>
      <c r="J749" s="16">
        <v>-88.936750000000004</v>
      </c>
      <c r="K749" s="12" t="s">
        <v>41</v>
      </c>
      <c r="L749" s="12" t="s">
        <v>28</v>
      </c>
      <c r="N749" s="33">
        <v>340000</v>
      </c>
      <c r="O749" s="12" t="s">
        <v>1366</v>
      </c>
      <c r="P749" s="18">
        <f t="shared" si="20"/>
        <v>340000</v>
      </c>
      <c r="Q749" s="12" t="s">
        <v>46</v>
      </c>
    </row>
    <row r="750" spans="1:17" x14ac:dyDescent="0.35">
      <c r="A750" s="12">
        <v>49</v>
      </c>
      <c r="B750" s="12" t="s">
        <v>1361</v>
      </c>
      <c r="C750" s="12">
        <v>2021</v>
      </c>
      <c r="D750" s="12" t="s">
        <v>468</v>
      </c>
      <c r="E750" s="12" t="s">
        <v>1362</v>
      </c>
      <c r="F750" s="12" t="s">
        <v>1363</v>
      </c>
      <c r="G750" s="12" t="s">
        <v>86</v>
      </c>
      <c r="H750" s="12" t="s">
        <v>1391</v>
      </c>
      <c r="I750" s="16">
        <v>48.515917000000002</v>
      </c>
      <c r="J750" s="16">
        <v>-88.604584000000003</v>
      </c>
      <c r="K750" s="12" t="s">
        <v>41</v>
      </c>
      <c r="L750" s="12" t="s">
        <v>28</v>
      </c>
      <c r="N750" s="33">
        <v>50000</v>
      </c>
      <c r="O750" s="12" t="s">
        <v>1366</v>
      </c>
      <c r="P750" s="18">
        <f t="shared" si="20"/>
        <v>50000</v>
      </c>
      <c r="Q750" s="12" t="s">
        <v>46</v>
      </c>
    </row>
    <row r="751" spans="1:17" x14ac:dyDescent="0.35">
      <c r="A751" s="12">
        <v>49</v>
      </c>
      <c r="B751" s="12" t="s">
        <v>1361</v>
      </c>
      <c r="C751" s="12">
        <v>2021</v>
      </c>
      <c r="D751" s="12" t="s">
        <v>468</v>
      </c>
      <c r="E751" s="12" t="s">
        <v>1362</v>
      </c>
      <c r="F751" s="12" t="s">
        <v>1363</v>
      </c>
      <c r="G751" s="12" t="s">
        <v>86</v>
      </c>
      <c r="H751" s="12" t="s">
        <v>1392</v>
      </c>
      <c r="I751" s="16">
        <v>48.554583000000001</v>
      </c>
      <c r="J751" s="16">
        <v>-87.773416999999995</v>
      </c>
      <c r="K751" s="12" t="s">
        <v>41</v>
      </c>
      <c r="L751" s="12" t="s">
        <v>28</v>
      </c>
      <c r="N751" s="33">
        <v>44000</v>
      </c>
      <c r="O751" s="12" t="s">
        <v>1366</v>
      </c>
      <c r="P751" s="18">
        <f t="shared" si="20"/>
        <v>44000</v>
      </c>
      <c r="Q751" s="12" t="s">
        <v>46</v>
      </c>
    </row>
    <row r="752" spans="1:17" x14ac:dyDescent="0.35">
      <c r="A752" s="12">
        <v>49</v>
      </c>
      <c r="B752" s="12" t="s">
        <v>1361</v>
      </c>
      <c r="C752" s="12">
        <v>2021</v>
      </c>
      <c r="D752" s="12" t="s">
        <v>468</v>
      </c>
      <c r="E752" s="12" t="s">
        <v>1362</v>
      </c>
      <c r="F752" s="12" t="s">
        <v>1363</v>
      </c>
      <c r="G752" s="12" t="s">
        <v>86</v>
      </c>
      <c r="H752" s="12" t="s">
        <v>1393</v>
      </c>
      <c r="I752" s="16">
        <v>48.715833000000003</v>
      </c>
      <c r="J752" s="16">
        <v>-87.299582999999998</v>
      </c>
      <c r="K752" s="12" t="s">
        <v>41</v>
      </c>
      <c r="L752" s="12" t="s">
        <v>28</v>
      </c>
      <c r="N752" s="33">
        <v>12000</v>
      </c>
      <c r="O752" s="12" t="s">
        <v>1366</v>
      </c>
      <c r="P752" s="18">
        <f t="shared" si="20"/>
        <v>12000</v>
      </c>
      <c r="Q752" s="12" t="s">
        <v>46</v>
      </c>
    </row>
    <row r="753" spans="1:19" x14ac:dyDescent="0.35">
      <c r="A753" s="12">
        <v>49</v>
      </c>
      <c r="B753" s="12" t="s">
        <v>1361</v>
      </c>
      <c r="C753" s="12">
        <v>2021</v>
      </c>
      <c r="D753" s="12" t="s">
        <v>468</v>
      </c>
      <c r="E753" s="12" t="s">
        <v>1362</v>
      </c>
      <c r="F753" s="12" t="s">
        <v>1363</v>
      </c>
      <c r="G753" s="12" t="s">
        <v>86</v>
      </c>
      <c r="H753" s="12" t="s">
        <v>1394</v>
      </c>
      <c r="I753" s="16">
        <v>48.767583000000002</v>
      </c>
      <c r="J753" s="16">
        <v>-86.635750000000002</v>
      </c>
      <c r="K753" s="12" t="s">
        <v>41</v>
      </c>
      <c r="L753" s="12" t="s">
        <v>28</v>
      </c>
      <c r="N753" s="33">
        <v>22000</v>
      </c>
      <c r="O753" s="12" t="s">
        <v>1366</v>
      </c>
      <c r="P753" s="18">
        <f t="shared" si="20"/>
        <v>22000</v>
      </c>
      <c r="Q753" s="12" t="s">
        <v>46</v>
      </c>
    </row>
    <row r="754" spans="1:19" x14ac:dyDescent="0.35">
      <c r="A754" s="12">
        <v>49</v>
      </c>
      <c r="B754" s="12" t="s">
        <v>1361</v>
      </c>
      <c r="C754" s="12">
        <v>2021</v>
      </c>
      <c r="D754" s="12" t="s">
        <v>468</v>
      </c>
      <c r="E754" s="12" t="s">
        <v>1362</v>
      </c>
      <c r="F754" s="12" t="s">
        <v>1363</v>
      </c>
      <c r="G754" s="12" t="s">
        <v>86</v>
      </c>
      <c r="H754" s="12" t="s">
        <v>1395</v>
      </c>
      <c r="I754" s="16">
        <v>48.816915999999999</v>
      </c>
      <c r="J754" s="16">
        <v>-87.449667000000005</v>
      </c>
      <c r="K754" s="12" t="s">
        <v>41</v>
      </c>
      <c r="L754" s="12" t="s">
        <v>28</v>
      </c>
      <c r="N754" s="33">
        <v>18000</v>
      </c>
      <c r="O754" s="12" t="s">
        <v>1366</v>
      </c>
      <c r="P754" s="18">
        <f t="shared" si="20"/>
        <v>18000</v>
      </c>
      <c r="Q754" s="12" t="s">
        <v>46</v>
      </c>
    </row>
    <row r="755" spans="1:19" x14ac:dyDescent="0.35">
      <c r="A755" s="12">
        <v>50</v>
      </c>
      <c r="B755" s="12" t="s">
        <v>1396</v>
      </c>
      <c r="C755" s="12">
        <v>2022</v>
      </c>
      <c r="D755" s="12" t="s">
        <v>420</v>
      </c>
      <c r="E755" s="12" t="s">
        <v>1397</v>
      </c>
      <c r="F755" s="12" t="s">
        <v>1398</v>
      </c>
      <c r="G755" s="12" t="s">
        <v>494</v>
      </c>
      <c r="H755" s="12" t="s">
        <v>1399</v>
      </c>
      <c r="I755" s="12">
        <v>44.298271999999997</v>
      </c>
      <c r="J755" s="16">
        <v>-64.359630999999993</v>
      </c>
      <c r="K755" s="12" t="s">
        <v>41</v>
      </c>
      <c r="L755" s="12" t="s">
        <v>42</v>
      </c>
      <c r="N755" s="26">
        <v>9668.9</v>
      </c>
      <c r="O755" s="12" t="s">
        <v>1403</v>
      </c>
      <c r="P755" s="12">
        <v>9.6688999999999994E-3</v>
      </c>
      <c r="Q755" s="12" t="s">
        <v>144</v>
      </c>
      <c r="R755" s="12" t="s">
        <v>1404</v>
      </c>
      <c r="S755" s="12" t="s">
        <v>1405</v>
      </c>
    </row>
    <row r="756" spans="1:19" x14ac:dyDescent="0.35">
      <c r="A756" s="12">
        <v>50</v>
      </c>
      <c r="B756" s="12" t="s">
        <v>1396</v>
      </c>
      <c r="C756" s="12">
        <v>2022</v>
      </c>
      <c r="D756" s="12" t="s">
        <v>420</v>
      </c>
      <c r="E756" s="13" t="s">
        <v>1397</v>
      </c>
      <c r="F756" s="12" t="s">
        <v>1398</v>
      </c>
      <c r="G756" s="12" t="s">
        <v>804</v>
      </c>
      <c r="H756" s="12" t="s">
        <v>1406</v>
      </c>
      <c r="I756" s="12">
        <v>49.209031000000003</v>
      </c>
      <c r="J756" s="16">
        <v>-58.351194</v>
      </c>
      <c r="K756" s="12" t="s">
        <v>41</v>
      </c>
      <c r="L756" s="12" t="s">
        <v>42</v>
      </c>
      <c r="N756" s="26">
        <v>5721.75</v>
      </c>
      <c r="O756" s="12" t="s">
        <v>1403</v>
      </c>
      <c r="P756" s="12">
        <v>5.7217500000000003E-3</v>
      </c>
      <c r="Q756" s="12" t="s">
        <v>144</v>
      </c>
      <c r="R756" s="12" t="s">
        <v>1404</v>
      </c>
      <c r="S756" s="12" t="s">
        <v>1405</v>
      </c>
    </row>
    <row r="757" spans="1:19" x14ac:dyDescent="0.35">
      <c r="A757" s="12">
        <v>50</v>
      </c>
      <c r="B757" s="12" t="s">
        <v>1396</v>
      </c>
      <c r="C757" s="12">
        <v>2022</v>
      </c>
      <c r="D757" s="12" t="s">
        <v>420</v>
      </c>
      <c r="E757" s="12" t="s">
        <v>1397</v>
      </c>
      <c r="F757" s="12" t="s">
        <v>1398</v>
      </c>
      <c r="G757" s="12" t="s">
        <v>494</v>
      </c>
      <c r="H757" s="12" t="s">
        <v>1407</v>
      </c>
      <c r="I757" s="12">
        <v>44.649419999999999</v>
      </c>
      <c r="J757" s="16">
        <v>-65.685097999999996</v>
      </c>
      <c r="K757" s="12" t="s">
        <v>41</v>
      </c>
      <c r="L757" s="12" t="s">
        <v>42</v>
      </c>
      <c r="N757" s="26">
        <v>18629.27</v>
      </c>
      <c r="O757" s="12" t="s">
        <v>1403</v>
      </c>
      <c r="P757" s="12">
        <v>1.862927E-2</v>
      </c>
      <c r="Q757" s="12" t="s">
        <v>144</v>
      </c>
      <c r="R757" s="12" t="s">
        <v>1404</v>
      </c>
    </row>
    <row r="758" spans="1:19" x14ac:dyDescent="0.35">
      <c r="A758" s="12">
        <v>51</v>
      </c>
      <c r="B758" s="12" t="s">
        <v>1408</v>
      </c>
      <c r="C758" s="12">
        <v>2021</v>
      </c>
      <c r="D758" s="12" t="s">
        <v>1409</v>
      </c>
      <c r="E758" s="12" t="s">
        <v>1410</v>
      </c>
      <c r="F758" s="12" t="s">
        <v>1411</v>
      </c>
      <c r="G758" s="12" t="s">
        <v>39</v>
      </c>
      <c r="H758" s="12" t="s">
        <v>1412</v>
      </c>
      <c r="I758" s="12">
        <v>72.165599999999998</v>
      </c>
      <c r="J758" s="16">
        <v>-130.8177</v>
      </c>
      <c r="K758" s="12" t="s">
        <v>103</v>
      </c>
      <c r="L758" s="12" t="s">
        <v>42</v>
      </c>
      <c r="N758" s="12">
        <v>0</v>
      </c>
      <c r="O758" s="12" t="s">
        <v>1415</v>
      </c>
      <c r="P758" s="12">
        <f t="shared" ref="P758:P769" si="21">N758/1000</f>
        <v>0</v>
      </c>
      <c r="Q758" s="12" t="s">
        <v>107</v>
      </c>
    </row>
    <row r="759" spans="1:19" x14ac:dyDescent="0.35">
      <c r="A759" s="12">
        <v>51</v>
      </c>
      <c r="B759" s="12" t="s">
        <v>1408</v>
      </c>
      <c r="C759" s="12">
        <v>2021</v>
      </c>
      <c r="D759" s="12" t="s">
        <v>1409</v>
      </c>
      <c r="E759" s="12" t="s">
        <v>1410</v>
      </c>
      <c r="F759" s="12" t="s">
        <v>1411</v>
      </c>
      <c r="G759" s="12" t="s">
        <v>39</v>
      </c>
      <c r="H759" s="12" t="s">
        <v>1416</v>
      </c>
      <c r="I759" s="12">
        <v>70.630283333333296</v>
      </c>
      <c r="J759" s="16">
        <v>-136.18901666666699</v>
      </c>
      <c r="K759" s="12" t="s">
        <v>103</v>
      </c>
      <c r="L759" s="12" t="s">
        <v>163</v>
      </c>
      <c r="N759" s="12">
        <v>0.28000000000000003</v>
      </c>
      <c r="O759" s="12" t="s">
        <v>1415</v>
      </c>
      <c r="P759" s="12">
        <f t="shared" si="21"/>
        <v>2.8000000000000003E-4</v>
      </c>
      <c r="Q759" s="12" t="s">
        <v>107</v>
      </c>
    </row>
    <row r="760" spans="1:19" x14ac:dyDescent="0.35">
      <c r="A760" s="12">
        <v>51</v>
      </c>
      <c r="B760" s="12" t="s">
        <v>1408</v>
      </c>
      <c r="C760" s="12">
        <v>2021</v>
      </c>
      <c r="D760" s="12" t="s">
        <v>1409</v>
      </c>
      <c r="E760" s="12" t="s">
        <v>1410</v>
      </c>
      <c r="F760" s="12" t="s">
        <v>1411</v>
      </c>
      <c r="G760" s="12" t="s">
        <v>39</v>
      </c>
      <c r="H760" s="12" t="s">
        <v>1417</v>
      </c>
      <c r="I760" s="12">
        <v>70.639499999999998</v>
      </c>
      <c r="J760" s="16">
        <v>-139.01478333333301</v>
      </c>
      <c r="K760" s="12" t="s">
        <v>103</v>
      </c>
      <c r="L760" s="12" t="s">
        <v>42</v>
      </c>
      <c r="N760" s="12">
        <v>0.13</v>
      </c>
      <c r="O760" s="12" t="s">
        <v>1415</v>
      </c>
      <c r="P760" s="12">
        <f t="shared" si="21"/>
        <v>1.3000000000000002E-4</v>
      </c>
      <c r="Q760" s="12" t="s">
        <v>107</v>
      </c>
    </row>
    <row r="761" spans="1:19" x14ac:dyDescent="0.35">
      <c r="A761" s="12">
        <v>51</v>
      </c>
      <c r="B761" s="12" t="s">
        <v>1408</v>
      </c>
      <c r="C761" s="12">
        <v>2021</v>
      </c>
      <c r="D761" s="12" t="s">
        <v>1409</v>
      </c>
      <c r="E761" s="12" t="s">
        <v>1410</v>
      </c>
      <c r="F761" s="12" t="s">
        <v>1411</v>
      </c>
      <c r="G761" s="12" t="s">
        <v>25</v>
      </c>
      <c r="H761" s="12" t="s">
        <v>1418</v>
      </c>
      <c r="I761" s="12">
        <v>71.475300000000004</v>
      </c>
      <c r="J761" s="16">
        <v>-91.993200000000002</v>
      </c>
      <c r="K761" s="12" t="s">
        <v>103</v>
      </c>
      <c r="L761" s="12" t="s">
        <v>42</v>
      </c>
      <c r="N761" s="12">
        <v>5.2999999999999999E-2</v>
      </c>
      <c r="O761" s="12" t="s">
        <v>1415</v>
      </c>
      <c r="P761" s="12">
        <f t="shared" si="21"/>
        <v>5.3000000000000001E-5</v>
      </c>
      <c r="Q761" s="12" t="s">
        <v>107</v>
      </c>
    </row>
    <row r="762" spans="1:19" x14ac:dyDescent="0.35">
      <c r="A762" s="12">
        <v>51</v>
      </c>
      <c r="B762" s="12" t="s">
        <v>1408</v>
      </c>
      <c r="C762" s="12">
        <v>2021</v>
      </c>
      <c r="D762" s="12" t="s">
        <v>1409</v>
      </c>
      <c r="E762" s="12" t="s">
        <v>1410</v>
      </c>
      <c r="F762" s="12" t="s">
        <v>1411</v>
      </c>
      <c r="G762" s="12" t="s">
        <v>39</v>
      </c>
      <c r="H762" s="12" t="s">
        <v>1419</v>
      </c>
      <c r="I762" s="12">
        <v>69.407300000000006</v>
      </c>
      <c r="J762" s="16">
        <v>-64.732200000000006</v>
      </c>
      <c r="K762" s="12" t="s">
        <v>103</v>
      </c>
      <c r="L762" s="12" t="s">
        <v>42</v>
      </c>
      <c r="N762" s="12">
        <v>0</v>
      </c>
      <c r="O762" s="12" t="s">
        <v>1415</v>
      </c>
      <c r="P762" s="12">
        <f t="shared" si="21"/>
        <v>0</v>
      </c>
      <c r="Q762" s="12" t="s">
        <v>107</v>
      </c>
    </row>
    <row r="763" spans="1:19" x14ac:dyDescent="0.35">
      <c r="A763" s="12">
        <v>51</v>
      </c>
      <c r="B763" s="12" t="s">
        <v>1408</v>
      </c>
      <c r="C763" s="12">
        <v>2021</v>
      </c>
      <c r="D763" s="12" t="s">
        <v>1409</v>
      </c>
      <c r="E763" s="12" t="s">
        <v>1410</v>
      </c>
      <c r="F763" s="12" t="s">
        <v>1411</v>
      </c>
      <c r="G763" s="12" t="s">
        <v>39</v>
      </c>
      <c r="H763" s="12" t="s">
        <v>1420</v>
      </c>
      <c r="I763" s="12">
        <v>79.515199999999993</v>
      </c>
      <c r="J763" s="16">
        <v>-70.846999999999994</v>
      </c>
      <c r="K763" s="12" t="s">
        <v>103</v>
      </c>
      <c r="L763" s="12" t="s">
        <v>42</v>
      </c>
      <c r="N763" s="12">
        <v>0.39</v>
      </c>
      <c r="O763" s="12" t="s">
        <v>1415</v>
      </c>
      <c r="P763" s="12">
        <f t="shared" si="21"/>
        <v>3.8999999999999999E-4</v>
      </c>
      <c r="Q763" s="12" t="s">
        <v>107</v>
      </c>
    </row>
    <row r="764" spans="1:19" x14ac:dyDescent="0.35">
      <c r="A764" s="12">
        <v>51</v>
      </c>
      <c r="B764" s="12" t="s">
        <v>1408</v>
      </c>
      <c r="C764" s="12">
        <v>2021</v>
      </c>
      <c r="D764" s="12" t="s">
        <v>1409</v>
      </c>
      <c r="E764" s="12" t="s">
        <v>1410</v>
      </c>
      <c r="F764" s="12" t="s">
        <v>1411</v>
      </c>
      <c r="G764" s="12" t="s">
        <v>39</v>
      </c>
      <c r="H764" s="12" t="s">
        <v>1421</v>
      </c>
      <c r="I764" s="12">
        <v>76.357500000000002</v>
      </c>
      <c r="J764" s="16">
        <v>-77.515199999999993</v>
      </c>
      <c r="K764" s="12" t="s">
        <v>103</v>
      </c>
      <c r="L764" s="12" t="s">
        <v>42</v>
      </c>
      <c r="N764" s="12">
        <v>3.7999999999999999E-2</v>
      </c>
      <c r="O764" s="12" t="s">
        <v>1415</v>
      </c>
      <c r="P764" s="12">
        <f t="shared" si="21"/>
        <v>3.8000000000000002E-5</v>
      </c>
      <c r="Q764" s="12" t="s">
        <v>107</v>
      </c>
    </row>
    <row r="765" spans="1:19" x14ac:dyDescent="0.35">
      <c r="A765" s="12">
        <v>51</v>
      </c>
      <c r="B765" s="12" t="s">
        <v>1408</v>
      </c>
      <c r="C765" s="12">
        <v>2021</v>
      </c>
      <c r="D765" s="12" t="s">
        <v>1409</v>
      </c>
      <c r="E765" s="12" t="s">
        <v>1410</v>
      </c>
      <c r="F765" s="12" t="s">
        <v>1411</v>
      </c>
      <c r="G765" s="12" t="s">
        <v>39</v>
      </c>
      <c r="H765" s="12" t="s">
        <v>1422</v>
      </c>
      <c r="I765" s="12">
        <v>72.487799999999993</v>
      </c>
      <c r="J765" s="16">
        <v>-78.783199999999994</v>
      </c>
      <c r="K765" s="12" t="s">
        <v>103</v>
      </c>
      <c r="L765" s="12" t="s">
        <v>42</v>
      </c>
      <c r="N765" s="12">
        <v>0.79</v>
      </c>
      <c r="O765" s="12" t="s">
        <v>1415</v>
      </c>
      <c r="P765" s="12">
        <f t="shared" si="21"/>
        <v>7.9000000000000001E-4</v>
      </c>
      <c r="Q765" s="12" t="s">
        <v>107</v>
      </c>
    </row>
    <row r="766" spans="1:19" x14ac:dyDescent="0.35">
      <c r="A766" s="12">
        <v>51</v>
      </c>
      <c r="B766" s="12" t="s">
        <v>1408</v>
      </c>
      <c r="C766" s="12">
        <v>2021</v>
      </c>
      <c r="D766" s="12" t="s">
        <v>1409</v>
      </c>
      <c r="E766" s="12" t="s">
        <v>1410</v>
      </c>
      <c r="F766" s="12" t="s">
        <v>1411</v>
      </c>
      <c r="G766" s="12" t="s">
        <v>39</v>
      </c>
      <c r="H766" s="12" t="s">
        <v>1423</v>
      </c>
      <c r="I766" s="12">
        <v>74.277699999999996</v>
      </c>
      <c r="J766" s="16">
        <v>-83.319400000000002</v>
      </c>
      <c r="K766" s="12" t="s">
        <v>103</v>
      </c>
      <c r="L766" s="12" t="s">
        <v>42</v>
      </c>
      <c r="N766" s="12">
        <v>0.19</v>
      </c>
      <c r="O766" s="12" t="s">
        <v>1415</v>
      </c>
      <c r="P766" s="12">
        <f t="shared" si="21"/>
        <v>1.9000000000000001E-4</v>
      </c>
      <c r="Q766" s="12" t="s">
        <v>107</v>
      </c>
    </row>
    <row r="767" spans="1:19" x14ac:dyDescent="0.35">
      <c r="A767" s="12">
        <v>51</v>
      </c>
      <c r="B767" s="12" t="s">
        <v>1408</v>
      </c>
      <c r="C767" s="12">
        <v>2021</v>
      </c>
      <c r="D767" s="12" t="s">
        <v>1409</v>
      </c>
      <c r="E767" s="12" t="s">
        <v>1410</v>
      </c>
      <c r="F767" s="12" t="s">
        <v>1411</v>
      </c>
      <c r="G767" s="12" t="s">
        <v>39</v>
      </c>
      <c r="H767" s="12" t="s">
        <v>1424</v>
      </c>
      <c r="I767" s="12">
        <v>74.246300000000005</v>
      </c>
      <c r="J767" s="16">
        <v>-91.513099999999994</v>
      </c>
      <c r="K767" s="12" t="s">
        <v>103</v>
      </c>
      <c r="L767" s="12" t="s">
        <v>42</v>
      </c>
      <c r="N767" s="12">
        <v>0.14000000000000001</v>
      </c>
      <c r="O767" s="12" t="s">
        <v>1415</v>
      </c>
      <c r="P767" s="12">
        <f t="shared" si="21"/>
        <v>1.4000000000000001E-4</v>
      </c>
      <c r="Q767" s="12" t="s">
        <v>107</v>
      </c>
    </row>
    <row r="768" spans="1:19" x14ac:dyDescent="0.35">
      <c r="A768" s="12">
        <v>51</v>
      </c>
      <c r="B768" s="12" t="s">
        <v>1408</v>
      </c>
      <c r="C768" s="12">
        <v>2021</v>
      </c>
      <c r="D768" s="12" t="s">
        <v>1409</v>
      </c>
      <c r="E768" s="12" t="s">
        <v>1410</v>
      </c>
      <c r="F768" s="12" t="s">
        <v>1411</v>
      </c>
      <c r="G768" s="12" t="s">
        <v>25</v>
      </c>
      <c r="H768" s="12" t="s">
        <v>1425</v>
      </c>
      <c r="I768" s="12">
        <v>68.492500000000007</v>
      </c>
      <c r="J768" s="16">
        <v>-99.897999999999996</v>
      </c>
      <c r="K768" s="12" t="s">
        <v>103</v>
      </c>
      <c r="L768" s="12" t="s">
        <v>42</v>
      </c>
      <c r="N768" s="12">
        <v>0.18</v>
      </c>
      <c r="O768" s="12" t="s">
        <v>1415</v>
      </c>
      <c r="P768" s="12">
        <f t="shared" si="21"/>
        <v>1.7999999999999998E-4</v>
      </c>
      <c r="Q768" s="12" t="s">
        <v>107</v>
      </c>
    </row>
    <row r="769" spans="1:17" x14ac:dyDescent="0.35">
      <c r="A769" s="12">
        <v>51</v>
      </c>
      <c r="B769" s="12" t="s">
        <v>1408</v>
      </c>
      <c r="C769" s="12">
        <v>2021</v>
      </c>
      <c r="D769" s="12" t="s">
        <v>1409</v>
      </c>
      <c r="E769" s="12" t="s">
        <v>1410</v>
      </c>
      <c r="F769" s="12" t="s">
        <v>1411</v>
      </c>
      <c r="G769" s="12" t="s">
        <v>25</v>
      </c>
      <c r="H769" s="12" t="s">
        <v>1426</v>
      </c>
      <c r="I769" s="12">
        <v>67.475999999999999</v>
      </c>
      <c r="J769" s="16">
        <v>-63.791200000000003</v>
      </c>
      <c r="K769" s="12" t="s">
        <v>103</v>
      </c>
      <c r="L769" s="12" t="s">
        <v>42</v>
      </c>
      <c r="N769" s="12">
        <v>0.26</v>
      </c>
      <c r="O769" s="12" t="s">
        <v>1415</v>
      </c>
      <c r="P769" s="12">
        <f t="shared" si="21"/>
        <v>2.6000000000000003E-4</v>
      </c>
      <c r="Q769" s="12" t="s">
        <v>107</v>
      </c>
    </row>
    <row r="770" spans="1:17" x14ac:dyDescent="0.35">
      <c r="A770" s="12">
        <v>53</v>
      </c>
      <c r="B770" s="19" t="s">
        <v>1427</v>
      </c>
      <c r="C770" s="19">
        <v>2022</v>
      </c>
      <c r="D770" s="19" t="s">
        <v>420</v>
      </c>
      <c r="E770" s="13" t="s">
        <v>1428</v>
      </c>
      <c r="F770" s="12" t="s">
        <v>1429</v>
      </c>
      <c r="G770" s="12" t="s">
        <v>54</v>
      </c>
      <c r="H770" s="12" t="s">
        <v>1430</v>
      </c>
      <c r="I770" s="12">
        <v>49.105497</v>
      </c>
      <c r="J770" s="12">
        <v>-125.953813</v>
      </c>
      <c r="K770" s="12" t="s">
        <v>103</v>
      </c>
      <c r="L770" s="12" t="s">
        <v>163</v>
      </c>
      <c r="M770" s="12" t="s">
        <v>1433</v>
      </c>
      <c r="N770" s="12">
        <v>20.8</v>
      </c>
      <c r="O770" s="12" t="s">
        <v>107</v>
      </c>
      <c r="P770" s="12">
        <v>20.8</v>
      </c>
      <c r="Q770" s="12" t="s">
        <v>107</v>
      </c>
    </row>
    <row r="771" spans="1:17" x14ac:dyDescent="0.35">
      <c r="A771" s="12">
        <v>53</v>
      </c>
      <c r="B771" s="19" t="s">
        <v>1427</v>
      </c>
      <c r="C771" s="19">
        <v>2022</v>
      </c>
      <c r="D771" s="19" t="s">
        <v>420</v>
      </c>
      <c r="E771" s="13" t="s">
        <v>1428</v>
      </c>
      <c r="F771" s="12" t="s">
        <v>1429</v>
      </c>
      <c r="G771" s="12" t="s">
        <v>54</v>
      </c>
      <c r="H771" s="12" t="s">
        <v>1434</v>
      </c>
      <c r="I771" s="12">
        <v>48.803747999999999</v>
      </c>
      <c r="J771" s="12">
        <v>-125.306301</v>
      </c>
      <c r="K771" s="12" t="s">
        <v>103</v>
      </c>
      <c r="L771" s="12" t="s">
        <v>163</v>
      </c>
      <c r="M771" s="12" t="s">
        <v>1433</v>
      </c>
      <c r="N771" s="12">
        <v>5.2</v>
      </c>
      <c r="O771" s="12" t="s">
        <v>107</v>
      </c>
      <c r="P771" s="12">
        <v>5.2</v>
      </c>
      <c r="Q771" s="12" t="s">
        <v>107</v>
      </c>
    </row>
    <row r="772" spans="1:17" x14ac:dyDescent="0.35">
      <c r="A772" s="12">
        <v>53</v>
      </c>
      <c r="B772" s="19" t="s">
        <v>1427</v>
      </c>
      <c r="C772" s="19">
        <v>2022</v>
      </c>
      <c r="D772" s="19" t="s">
        <v>420</v>
      </c>
      <c r="E772" s="13" t="s">
        <v>1428</v>
      </c>
      <c r="F772" s="12" t="s">
        <v>1429</v>
      </c>
      <c r="G772" s="12" t="s">
        <v>54</v>
      </c>
      <c r="H772" s="12" t="s">
        <v>1435</v>
      </c>
      <c r="I772" s="12">
        <v>48.379646000000001</v>
      </c>
      <c r="J772" s="12">
        <v>-123.454044</v>
      </c>
      <c r="K772" s="12" t="s">
        <v>103</v>
      </c>
      <c r="L772" s="12" t="s">
        <v>163</v>
      </c>
      <c r="M772" s="12" t="s">
        <v>1433</v>
      </c>
      <c r="N772" s="12">
        <v>25.2</v>
      </c>
      <c r="O772" s="12" t="s">
        <v>107</v>
      </c>
      <c r="P772" s="12">
        <v>25.2</v>
      </c>
      <c r="Q772" s="12" t="s">
        <v>107</v>
      </c>
    </row>
    <row r="773" spans="1:17" x14ac:dyDescent="0.35">
      <c r="A773" s="12">
        <v>53</v>
      </c>
      <c r="B773" s="19" t="s">
        <v>1427</v>
      </c>
      <c r="C773" s="19">
        <v>2022</v>
      </c>
      <c r="D773" s="19" t="s">
        <v>420</v>
      </c>
      <c r="E773" s="13" t="s">
        <v>1428</v>
      </c>
      <c r="F773" s="12" t="s">
        <v>1429</v>
      </c>
      <c r="G773" s="12" t="s">
        <v>54</v>
      </c>
      <c r="H773" s="12" t="s">
        <v>1436</v>
      </c>
      <c r="I773" s="12">
        <v>48.411422000000002</v>
      </c>
      <c r="J773" s="12">
        <v>-123.40948899999999</v>
      </c>
      <c r="K773" s="12" t="s">
        <v>103</v>
      </c>
      <c r="L773" s="12" t="s">
        <v>163</v>
      </c>
      <c r="M773" s="12" t="s">
        <v>1433</v>
      </c>
      <c r="N773" s="12">
        <v>35.6</v>
      </c>
      <c r="O773" s="12" t="s">
        <v>107</v>
      </c>
      <c r="P773" s="12">
        <v>35.6</v>
      </c>
      <c r="Q773" s="12" t="s">
        <v>107</v>
      </c>
    </row>
    <row r="774" spans="1:17" x14ac:dyDescent="0.35">
      <c r="A774" s="12">
        <v>53</v>
      </c>
      <c r="B774" s="19" t="s">
        <v>1427</v>
      </c>
      <c r="C774" s="19">
        <v>2022</v>
      </c>
      <c r="D774" s="19" t="s">
        <v>420</v>
      </c>
      <c r="E774" s="13" t="s">
        <v>1428</v>
      </c>
      <c r="F774" s="12" t="s">
        <v>1429</v>
      </c>
      <c r="G774" s="12" t="s">
        <v>54</v>
      </c>
      <c r="H774" s="12" t="s">
        <v>1437</v>
      </c>
      <c r="I774" s="12">
        <v>48.663820999999999</v>
      </c>
      <c r="J774" s="12">
        <v>-123.49034899999999</v>
      </c>
      <c r="K774" s="12" t="s">
        <v>103</v>
      </c>
      <c r="L774" s="12" t="s">
        <v>163</v>
      </c>
      <c r="M774" s="12" t="s">
        <v>1433</v>
      </c>
      <c r="N774" s="12">
        <v>25.2</v>
      </c>
      <c r="O774" s="12" t="s">
        <v>107</v>
      </c>
      <c r="P774" s="12">
        <v>25.2</v>
      </c>
      <c r="Q774" s="12" t="s">
        <v>107</v>
      </c>
    </row>
    <row r="775" spans="1:17" x14ac:dyDescent="0.35">
      <c r="A775" s="12">
        <v>53</v>
      </c>
      <c r="B775" s="19" t="s">
        <v>1427</v>
      </c>
      <c r="C775" s="19">
        <v>2022</v>
      </c>
      <c r="D775" s="19" t="s">
        <v>420</v>
      </c>
      <c r="E775" s="13" t="s">
        <v>1428</v>
      </c>
      <c r="F775" s="12" t="s">
        <v>1429</v>
      </c>
      <c r="G775" s="12" t="s">
        <v>54</v>
      </c>
      <c r="H775" s="12" t="s">
        <v>1438</v>
      </c>
      <c r="I775" s="12">
        <v>48.435513999999998</v>
      </c>
      <c r="J775" s="12">
        <v>-123.23044299999999</v>
      </c>
      <c r="K775" s="12" t="s">
        <v>103</v>
      </c>
      <c r="L775" s="12" t="s">
        <v>163</v>
      </c>
      <c r="M775" s="12" t="s">
        <v>1433</v>
      </c>
      <c r="N775" s="12">
        <v>0</v>
      </c>
      <c r="O775" s="12" t="s">
        <v>107</v>
      </c>
      <c r="P775" s="12">
        <v>0</v>
      </c>
      <c r="Q775" s="12" t="s">
        <v>107</v>
      </c>
    </row>
    <row r="776" spans="1:17" x14ac:dyDescent="0.35">
      <c r="A776" s="12">
        <v>53</v>
      </c>
      <c r="B776" s="19" t="s">
        <v>1427</v>
      </c>
      <c r="C776" s="19">
        <v>2022</v>
      </c>
      <c r="D776" s="19" t="s">
        <v>420</v>
      </c>
      <c r="E776" s="13" t="s">
        <v>1428</v>
      </c>
      <c r="F776" s="12" t="s">
        <v>1429</v>
      </c>
      <c r="G776" s="12" t="s">
        <v>54</v>
      </c>
      <c r="H776" s="12" t="s">
        <v>1439</v>
      </c>
      <c r="I776" s="12">
        <v>48.442630000000001</v>
      </c>
      <c r="J776" s="12">
        <v>-123.24034399999999</v>
      </c>
      <c r="K776" s="12" t="s">
        <v>103</v>
      </c>
      <c r="L776" s="12" t="s">
        <v>163</v>
      </c>
      <c r="M776" s="12" t="s">
        <v>1433</v>
      </c>
      <c r="N776" s="12">
        <v>76.400000000000006</v>
      </c>
      <c r="O776" s="12" t="s">
        <v>107</v>
      </c>
      <c r="P776" s="12">
        <v>76.400000000000006</v>
      </c>
      <c r="Q776" s="12" t="s">
        <v>107</v>
      </c>
    </row>
    <row r="777" spans="1:17" x14ac:dyDescent="0.35">
      <c r="A777" s="12">
        <v>53</v>
      </c>
      <c r="B777" s="19" t="s">
        <v>1427</v>
      </c>
      <c r="C777" s="19">
        <v>2022</v>
      </c>
      <c r="D777" s="19" t="s">
        <v>420</v>
      </c>
      <c r="E777" s="13" t="s">
        <v>1428</v>
      </c>
      <c r="F777" s="12" t="s">
        <v>1429</v>
      </c>
      <c r="G777" s="12" t="s">
        <v>54</v>
      </c>
      <c r="H777" s="12" t="s">
        <v>1440</v>
      </c>
      <c r="I777" s="12">
        <v>48.449198000000003</v>
      </c>
      <c r="J777" s="12">
        <v>-123.444143</v>
      </c>
      <c r="K777" s="12" t="s">
        <v>103</v>
      </c>
      <c r="L777" s="12" t="s">
        <v>163</v>
      </c>
      <c r="M777" s="12" t="s">
        <v>1433</v>
      </c>
      <c r="N777" s="12">
        <v>106</v>
      </c>
      <c r="O777" s="12" t="s">
        <v>107</v>
      </c>
      <c r="P777" s="12">
        <v>106</v>
      </c>
      <c r="Q777" s="12" t="s">
        <v>107</v>
      </c>
    </row>
    <row r="778" spans="1:17" x14ac:dyDescent="0.35">
      <c r="A778" s="12">
        <v>53</v>
      </c>
      <c r="B778" s="19" t="s">
        <v>1427</v>
      </c>
      <c r="C778" s="19">
        <v>2022</v>
      </c>
      <c r="D778" s="19" t="s">
        <v>420</v>
      </c>
      <c r="E778" s="13" t="s">
        <v>1428</v>
      </c>
      <c r="F778" s="12" t="s">
        <v>1429</v>
      </c>
      <c r="G778" s="12" t="s">
        <v>54</v>
      </c>
      <c r="H778" s="12" t="s">
        <v>1441</v>
      </c>
      <c r="I778" s="12">
        <v>48.420731000000004</v>
      </c>
      <c r="J778" s="12">
        <v>-123.425991</v>
      </c>
      <c r="K778" s="12" t="s">
        <v>103</v>
      </c>
      <c r="L778" s="12" t="s">
        <v>163</v>
      </c>
      <c r="M778" s="12" t="s">
        <v>1433</v>
      </c>
      <c r="N778" s="12">
        <v>60</v>
      </c>
      <c r="O778" s="12" t="s">
        <v>107</v>
      </c>
      <c r="P778" s="12">
        <v>60</v>
      </c>
      <c r="Q778" s="12" t="s">
        <v>107</v>
      </c>
    </row>
    <row r="779" spans="1:17" x14ac:dyDescent="0.35">
      <c r="A779" s="12">
        <v>53</v>
      </c>
      <c r="B779" s="19" t="s">
        <v>1427</v>
      </c>
      <c r="C779" s="19">
        <v>2022</v>
      </c>
      <c r="D779" s="19" t="s">
        <v>420</v>
      </c>
      <c r="E779" s="13" t="s">
        <v>1428</v>
      </c>
      <c r="F779" s="12" t="s">
        <v>1429</v>
      </c>
      <c r="G779" s="12" t="s">
        <v>54</v>
      </c>
      <c r="H779" s="12" t="s">
        <v>1442</v>
      </c>
      <c r="I779" s="12">
        <v>48.417718999999998</v>
      </c>
      <c r="J779" s="12">
        <v>-123.400001</v>
      </c>
      <c r="K779" s="12" t="s">
        <v>103</v>
      </c>
      <c r="L779" s="12" t="s">
        <v>163</v>
      </c>
      <c r="M779" s="12" t="s">
        <v>1433</v>
      </c>
      <c r="N779" s="12">
        <v>141.6</v>
      </c>
      <c r="O779" s="12" t="s">
        <v>107</v>
      </c>
      <c r="P779" s="12">
        <v>141.6</v>
      </c>
      <c r="Q779" s="12" t="s">
        <v>107</v>
      </c>
    </row>
    <row r="780" spans="1:17" x14ac:dyDescent="0.35">
      <c r="A780" s="12">
        <v>53</v>
      </c>
      <c r="B780" s="19" t="s">
        <v>1427</v>
      </c>
      <c r="C780" s="19">
        <v>2022</v>
      </c>
      <c r="D780" s="19" t="s">
        <v>420</v>
      </c>
      <c r="E780" s="13" t="s">
        <v>1428</v>
      </c>
      <c r="F780" s="12" t="s">
        <v>1429</v>
      </c>
      <c r="G780" s="12" t="s">
        <v>54</v>
      </c>
      <c r="H780" s="12" t="s">
        <v>1443</v>
      </c>
      <c r="I780" s="12">
        <v>48.748100999999998</v>
      </c>
      <c r="J780" s="12">
        <v>-123.434122</v>
      </c>
      <c r="K780" s="12" t="s">
        <v>103</v>
      </c>
      <c r="L780" s="12" t="s">
        <v>163</v>
      </c>
      <c r="M780" s="12" t="s">
        <v>1433</v>
      </c>
      <c r="N780" s="12">
        <v>0</v>
      </c>
      <c r="O780" s="12" t="s">
        <v>107</v>
      </c>
      <c r="P780" s="12">
        <v>0</v>
      </c>
      <c r="Q780" s="12" t="s">
        <v>107</v>
      </c>
    </row>
    <row r="781" spans="1:17" x14ac:dyDescent="0.35">
      <c r="A781" s="12">
        <v>53</v>
      </c>
      <c r="B781" s="19" t="s">
        <v>1427</v>
      </c>
      <c r="C781" s="19">
        <v>2022</v>
      </c>
      <c r="D781" s="19" t="s">
        <v>420</v>
      </c>
      <c r="E781" s="13" t="s">
        <v>1428</v>
      </c>
      <c r="F781" s="12" t="s">
        <v>1429</v>
      </c>
      <c r="G781" s="12" t="s">
        <v>54</v>
      </c>
      <c r="H781" s="12" t="s">
        <v>1444</v>
      </c>
      <c r="I781" s="12">
        <v>48.755164000000001</v>
      </c>
      <c r="J781" s="12">
        <v>-123.44238900000001</v>
      </c>
      <c r="K781" s="12" t="s">
        <v>103</v>
      </c>
      <c r="L781" s="12" t="s">
        <v>163</v>
      </c>
      <c r="M781" s="12" t="s">
        <v>1433</v>
      </c>
      <c r="N781" s="12">
        <v>0</v>
      </c>
      <c r="O781" s="12" t="s">
        <v>107</v>
      </c>
      <c r="P781" s="12">
        <v>0</v>
      </c>
      <c r="Q781" s="12" t="s">
        <v>107</v>
      </c>
    </row>
    <row r="782" spans="1:17" x14ac:dyDescent="0.35">
      <c r="A782" s="12">
        <v>53</v>
      </c>
      <c r="B782" s="19" t="s">
        <v>1427</v>
      </c>
      <c r="C782" s="19">
        <v>2022</v>
      </c>
      <c r="D782" s="19" t="s">
        <v>420</v>
      </c>
      <c r="E782" s="13" t="s">
        <v>1428</v>
      </c>
      <c r="F782" s="12" t="s">
        <v>1429</v>
      </c>
      <c r="G782" s="12" t="s">
        <v>54</v>
      </c>
      <c r="H782" s="12" t="s">
        <v>1445</v>
      </c>
      <c r="I782" s="12">
        <v>48.782262000000003</v>
      </c>
      <c r="J782" s="12">
        <v>-123.04111899999999</v>
      </c>
      <c r="K782" s="12" t="s">
        <v>103</v>
      </c>
      <c r="L782" s="12" t="s">
        <v>163</v>
      </c>
      <c r="M782" s="12" t="s">
        <v>1433</v>
      </c>
      <c r="N782" s="12">
        <v>5.2</v>
      </c>
      <c r="O782" s="12" t="s">
        <v>107</v>
      </c>
      <c r="P782" s="12">
        <v>5.2</v>
      </c>
      <c r="Q782" s="12" t="s">
        <v>107</v>
      </c>
    </row>
    <row r="783" spans="1:17" x14ac:dyDescent="0.35">
      <c r="A783" s="12">
        <v>53</v>
      </c>
      <c r="B783" s="19" t="s">
        <v>1427</v>
      </c>
      <c r="C783" s="19">
        <v>2022</v>
      </c>
      <c r="D783" s="19" t="s">
        <v>420</v>
      </c>
      <c r="E783" s="13" t="s">
        <v>1428</v>
      </c>
      <c r="F783" s="12" t="s">
        <v>1429</v>
      </c>
      <c r="G783" s="12" t="s">
        <v>54</v>
      </c>
      <c r="H783" s="12" t="s">
        <v>622</v>
      </c>
      <c r="I783" s="12">
        <v>49.201236000000002</v>
      </c>
      <c r="J783" s="12">
        <v>-123.262916</v>
      </c>
      <c r="K783" s="12" t="s">
        <v>103</v>
      </c>
      <c r="L783" s="12" t="s">
        <v>163</v>
      </c>
      <c r="M783" s="12" t="s">
        <v>1433</v>
      </c>
      <c r="N783" s="12">
        <v>35.6</v>
      </c>
      <c r="O783" s="12" t="s">
        <v>107</v>
      </c>
      <c r="P783" s="12">
        <v>35.6</v>
      </c>
      <c r="Q783" s="12" t="s">
        <v>107</v>
      </c>
    </row>
    <row r="784" spans="1:17" x14ac:dyDescent="0.35">
      <c r="A784" s="12">
        <v>53</v>
      </c>
      <c r="B784" s="19" t="s">
        <v>1427</v>
      </c>
      <c r="C784" s="19">
        <v>2022</v>
      </c>
      <c r="D784" s="19" t="s">
        <v>420</v>
      </c>
      <c r="E784" s="13" t="s">
        <v>1428</v>
      </c>
      <c r="F784" s="12" t="s">
        <v>1429</v>
      </c>
      <c r="G784" s="12" t="s">
        <v>54</v>
      </c>
      <c r="H784" s="12" t="s">
        <v>1446</v>
      </c>
      <c r="I784" s="12">
        <v>49.011896999999998</v>
      </c>
      <c r="J784" s="12">
        <v>-123.163566</v>
      </c>
      <c r="K784" s="12" t="s">
        <v>103</v>
      </c>
      <c r="L784" s="12" t="s">
        <v>163</v>
      </c>
      <c r="M784" s="12" t="s">
        <v>1433</v>
      </c>
      <c r="N784" s="12">
        <v>5.2</v>
      </c>
      <c r="O784" s="12" t="s">
        <v>107</v>
      </c>
      <c r="P784" s="12">
        <v>5.2</v>
      </c>
      <c r="Q784" s="12" t="s">
        <v>107</v>
      </c>
    </row>
    <row r="785" spans="1:17" x14ac:dyDescent="0.35">
      <c r="A785" s="12">
        <v>53</v>
      </c>
      <c r="B785" s="19" t="s">
        <v>1427</v>
      </c>
      <c r="C785" s="19">
        <v>2022</v>
      </c>
      <c r="D785" s="19" t="s">
        <v>420</v>
      </c>
      <c r="E785" s="13" t="s">
        <v>1428</v>
      </c>
      <c r="F785" s="12" t="s">
        <v>1429</v>
      </c>
      <c r="G785" s="12" t="s">
        <v>54</v>
      </c>
      <c r="H785" s="12" t="s">
        <v>1447</v>
      </c>
      <c r="I785" s="12">
        <v>49.332335999999998</v>
      </c>
      <c r="J785" s="12">
        <v>-122.899368</v>
      </c>
      <c r="K785" s="12" t="s">
        <v>103</v>
      </c>
      <c r="L785" s="12" t="s">
        <v>163</v>
      </c>
      <c r="M785" s="12" t="s">
        <v>1433</v>
      </c>
      <c r="N785" s="12">
        <v>35.6</v>
      </c>
      <c r="O785" s="12" t="s">
        <v>107</v>
      </c>
      <c r="P785" s="12">
        <v>35.6</v>
      </c>
      <c r="Q785" s="12" t="s">
        <v>107</v>
      </c>
    </row>
    <row r="786" spans="1:17" x14ac:dyDescent="0.35">
      <c r="A786" s="12">
        <v>53</v>
      </c>
      <c r="B786" s="19" t="s">
        <v>1427</v>
      </c>
      <c r="C786" s="19">
        <v>2022</v>
      </c>
      <c r="D786" s="19" t="s">
        <v>420</v>
      </c>
      <c r="E786" s="13" t="s">
        <v>1428</v>
      </c>
      <c r="F786" s="12" t="s">
        <v>1429</v>
      </c>
      <c r="G786" s="12" t="s">
        <v>54</v>
      </c>
      <c r="H786" s="12" t="s">
        <v>1448</v>
      </c>
      <c r="I786" s="12">
        <v>49.292392</v>
      </c>
      <c r="J786" s="12">
        <v>-122.95249200000001</v>
      </c>
      <c r="K786" s="12" t="s">
        <v>103</v>
      </c>
      <c r="L786" s="12" t="s">
        <v>163</v>
      </c>
      <c r="M786" s="12" t="s">
        <v>1433</v>
      </c>
      <c r="N786" s="12">
        <v>60</v>
      </c>
      <c r="O786" s="12" t="s">
        <v>107</v>
      </c>
      <c r="P786" s="12">
        <v>60</v>
      </c>
      <c r="Q786" s="12" t="s">
        <v>107</v>
      </c>
    </row>
    <row r="787" spans="1:17" x14ac:dyDescent="0.35">
      <c r="A787" s="12">
        <v>53</v>
      </c>
      <c r="B787" s="19" t="s">
        <v>1427</v>
      </c>
      <c r="C787" s="19">
        <v>2022</v>
      </c>
      <c r="D787" s="19" t="s">
        <v>420</v>
      </c>
      <c r="E787" s="13" t="s">
        <v>1428</v>
      </c>
      <c r="F787" s="12" t="s">
        <v>1429</v>
      </c>
      <c r="G787" s="12" t="s">
        <v>54</v>
      </c>
      <c r="H787" s="12" t="s">
        <v>1449</v>
      </c>
      <c r="I787" s="12">
        <v>49.294164000000002</v>
      </c>
      <c r="J787" s="12">
        <v>-122.927009</v>
      </c>
      <c r="K787" s="12" t="s">
        <v>103</v>
      </c>
      <c r="L787" s="12" t="s">
        <v>163</v>
      </c>
      <c r="M787" s="12" t="s">
        <v>1433</v>
      </c>
      <c r="N787" s="12">
        <v>20.8</v>
      </c>
      <c r="O787" s="12" t="s">
        <v>107</v>
      </c>
      <c r="P787" s="12">
        <v>20.8</v>
      </c>
      <c r="Q787" s="12" t="s">
        <v>107</v>
      </c>
    </row>
    <row r="788" spans="1:17" x14ac:dyDescent="0.35">
      <c r="A788" s="12">
        <v>53</v>
      </c>
      <c r="B788" s="19" t="s">
        <v>1427</v>
      </c>
      <c r="C788" s="19">
        <v>2022</v>
      </c>
      <c r="D788" s="19" t="s">
        <v>420</v>
      </c>
      <c r="E788" s="13" t="s">
        <v>1428</v>
      </c>
      <c r="F788" s="12" t="s">
        <v>1429</v>
      </c>
      <c r="G788" s="12" t="s">
        <v>54</v>
      </c>
      <c r="H788" s="12" t="s">
        <v>1450</v>
      </c>
      <c r="I788" s="12">
        <v>49.306792999999999</v>
      </c>
      <c r="J788" s="12">
        <v>-122.986355</v>
      </c>
      <c r="K788" s="12" t="s">
        <v>103</v>
      </c>
      <c r="L788" s="12" t="s">
        <v>163</v>
      </c>
      <c r="M788" s="12" t="s">
        <v>1433</v>
      </c>
      <c r="N788" s="12">
        <v>5.2</v>
      </c>
      <c r="O788" s="12" t="s">
        <v>107</v>
      </c>
      <c r="P788" s="12">
        <v>5.2</v>
      </c>
      <c r="Q788" s="12" t="s">
        <v>107</v>
      </c>
    </row>
    <row r="789" spans="1:17" x14ac:dyDescent="0.35">
      <c r="A789" s="12">
        <v>53</v>
      </c>
      <c r="B789" s="19" t="s">
        <v>1427</v>
      </c>
      <c r="C789" s="19">
        <v>2022</v>
      </c>
      <c r="D789" s="19" t="s">
        <v>420</v>
      </c>
      <c r="E789" s="13" t="s">
        <v>1428</v>
      </c>
      <c r="F789" s="12" t="s">
        <v>1429</v>
      </c>
      <c r="G789" s="12" t="s">
        <v>54</v>
      </c>
      <c r="H789" s="12" t="s">
        <v>1451</v>
      </c>
      <c r="I789" s="12">
        <v>49.295644000000003</v>
      </c>
      <c r="J789" s="12">
        <v>-123.012427</v>
      </c>
      <c r="K789" s="12" t="s">
        <v>103</v>
      </c>
      <c r="L789" s="12" t="s">
        <v>163</v>
      </c>
      <c r="M789" s="12" t="s">
        <v>1433</v>
      </c>
      <c r="N789" s="12">
        <v>60.8</v>
      </c>
      <c r="O789" s="12" t="s">
        <v>107</v>
      </c>
      <c r="P789" s="12">
        <v>60.8</v>
      </c>
      <c r="Q789" s="12" t="s">
        <v>107</v>
      </c>
    </row>
    <row r="790" spans="1:17" x14ac:dyDescent="0.35">
      <c r="A790" s="12">
        <v>53</v>
      </c>
      <c r="B790" s="19" t="s">
        <v>1427</v>
      </c>
      <c r="C790" s="19">
        <v>2022</v>
      </c>
      <c r="D790" s="19" t="s">
        <v>420</v>
      </c>
      <c r="E790" s="13" t="s">
        <v>1428</v>
      </c>
      <c r="F790" s="12" t="s">
        <v>1429</v>
      </c>
      <c r="G790" s="12" t="s">
        <v>54</v>
      </c>
      <c r="H790" s="12" t="s">
        <v>1452</v>
      </c>
      <c r="I790" s="12">
        <v>49.302166</v>
      </c>
      <c r="J790" s="12">
        <v>-123.06303699999999</v>
      </c>
      <c r="K790" s="12" t="s">
        <v>103</v>
      </c>
      <c r="L790" s="12" t="s">
        <v>163</v>
      </c>
      <c r="M790" s="12" t="s">
        <v>1433</v>
      </c>
      <c r="N790" s="12">
        <v>40.799999999999997</v>
      </c>
      <c r="O790" s="12" t="s">
        <v>107</v>
      </c>
      <c r="P790" s="12">
        <v>40.799999999999997</v>
      </c>
      <c r="Q790" s="12" t="s">
        <v>107</v>
      </c>
    </row>
    <row r="791" spans="1:17" x14ac:dyDescent="0.35">
      <c r="A791" s="12">
        <v>53</v>
      </c>
      <c r="B791" s="19" t="s">
        <v>1427</v>
      </c>
      <c r="C791" s="19">
        <v>2022</v>
      </c>
      <c r="D791" s="19" t="s">
        <v>420</v>
      </c>
      <c r="E791" s="13" t="s">
        <v>1428</v>
      </c>
      <c r="F791" s="12" t="s">
        <v>1429</v>
      </c>
      <c r="G791" s="12" t="s">
        <v>54</v>
      </c>
      <c r="H791" s="12" t="s">
        <v>1453</v>
      </c>
      <c r="I791" s="12">
        <v>49.293667999999997</v>
      </c>
      <c r="J791" s="12">
        <v>-123.06303699999999</v>
      </c>
      <c r="K791" s="12" t="s">
        <v>103</v>
      </c>
      <c r="L791" s="12" t="s">
        <v>163</v>
      </c>
      <c r="M791" s="12" t="s">
        <v>1433</v>
      </c>
      <c r="N791" s="12">
        <v>10.4</v>
      </c>
      <c r="O791" s="12" t="s">
        <v>107</v>
      </c>
      <c r="P791" s="12">
        <v>10.4</v>
      </c>
      <c r="Q791" s="12" t="s">
        <v>107</v>
      </c>
    </row>
    <row r="792" spans="1:17" x14ac:dyDescent="0.35">
      <c r="A792" s="12">
        <v>53</v>
      </c>
      <c r="B792" s="19" t="s">
        <v>1427</v>
      </c>
      <c r="C792" s="19">
        <v>2022</v>
      </c>
      <c r="D792" s="19" t="s">
        <v>420</v>
      </c>
      <c r="E792" s="13" t="s">
        <v>1428</v>
      </c>
      <c r="F792" s="12" t="s">
        <v>1429</v>
      </c>
      <c r="G792" s="12" t="s">
        <v>54</v>
      </c>
      <c r="H792" s="12" t="s">
        <v>1454</v>
      </c>
      <c r="I792" s="12">
        <v>49.454478000000002</v>
      </c>
      <c r="J792" s="12">
        <v>-122.87729</v>
      </c>
      <c r="K792" s="12" t="s">
        <v>103</v>
      </c>
      <c r="L792" s="12" t="s">
        <v>163</v>
      </c>
      <c r="M792" s="12" t="s">
        <v>1433</v>
      </c>
      <c r="N792" s="12">
        <v>25.2</v>
      </c>
      <c r="O792" s="12" t="s">
        <v>107</v>
      </c>
      <c r="P792" s="12">
        <v>25.2</v>
      </c>
      <c r="Q792" s="12" t="s">
        <v>107</v>
      </c>
    </row>
    <row r="793" spans="1:17" x14ac:dyDescent="0.35">
      <c r="A793" s="12">
        <v>53</v>
      </c>
      <c r="B793" s="19" t="s">
        <v>1427</v>
      </c>
      <c r="C793" s="19">
        <v>2022</v>
      </c>
      <c r="D793" s="19" t="s">
        <v>420</v>
      </c>
      <c r="E793" s="13" t="s">
        <v>1428</v>
      </c>
      <c r="F793" s="12" t="s">
        <v>1429</v>
      </c>
      <c r="G793" s="12" t="s">
        <v>54</v>
      </c>
      <c r="H793" s="12" t="s">
        <v>1455</v>
      </c>
      <c r="I793" s="12">
        <v>49.293425999999997</v>
      </c>
      <c r="J793" s="12">
        <v>-122.870609</v>
      </c>
      <c r="K793" s="12" t="s">
        <v>103</v>
      </c>
      <c r="L793" s="12" t="s">
        <v>163</v>
      </c>
      <c r="M793" s="12" t="s">
        <v>1433</v>
      </c>
      <c r="N793" s="12">
        <v>5.2</v>
      </c>
      <c r="O793" s="12" t="s">
        <v>107</v>
      </c>
      <c r="P793" s="12">
        <v>5.2</v>
      </c>
      <c r="Q793" s="12" t="s">
        <v>107</v>
      </c>
    </row>
    <row r="794" spans="1:17" x14ac:dyDescent="0.35">
      <c r="A794" s="12">
        <v>53</v>
      </c>
      <c r="B794" s="19" t="s">
        <v>1427</v>
      </c>
      <c r="C794" s="19">
        <v>2022</v>
      </c>
      <c r="D794" s="19" t="s">
        <v>420</v>
      </c>
      <c r="E794" s="13" t="s">
        <v>1428</v>
      </c>
      <c r="F794" s="12" t="s">
        <v>1429</v>
      </c>
      <c r="G794" s="12" t="s">
        <v>54</v>
      </c>
      <c r="H794" s="12" t="s">
        <v>1456</v>
      </c>
      <c r="I794" s="12">
        <v>49.578563000000003</v>
      </c>
      <c r="J794" s="12">
        <v>-123.264611</v>
      </c>
      <c r="K794" s="12" t="s">
        <v>103</v>
      </c>
      <c r="L794" s="12" t="s">
        <v>163</v>
      </c>
      <c r="M794" s="12" t="s">
        <v>1433</v>
      </c>
      <c r="N794" s="12">
        <v>5.2</v>
      </c>
      <c r="O794" s="12" t="s">
        <v>107</v>
      </c>
      <c r="P794" s="12">
        <v>5.2</v>
      </c>
      <c r="Q794" s="12" t="s">
        <v>107</v>
      </c>
    </row>
    <row r="795" spans="1:17" x14ac:dyDescent="0.35">
      <c r="A795" s="12">
        <v>53</v>
      </c>
      <c r="B795" s="19" t="s">
        <v>1427</v>
      </c>
      <c r="C795" s="19">
        <v>2022</v>
      </c>
      <c r="D795" s="19" t="s">
        <v>420</v>
      </c>
      <c r="E795" s="13" t="s">
        <v>1428</v>
      </c>
      <c r="F795" s="12" t="s">
        <v>1429</v>
      </c>
      <c r="G795" s="12" t="s">
        <v>54</v>
      </c>
      <c r="H795" s="12" t="s">
        <v>1457</v>
      </c>
      <c r="I795" s="12">
        <v>49.357914999999998</v>
      </c>
      <c r="J795" s="12">
        <v>-123.479804</v>
      </c>
      <c r="K795" s="12" t="s">
        <v>103</v>
      </c>
      <c r="L795" s="12" t="s">
        <v>163</v>
      </c>
      <c r="M795" s="12" t="s">
        <v>1433</v>
      </c>
      <c r="N795" s="12">
        <v>15.6</v>
      </c>
      <c r="O795" s="12" t="s">
        <v>107</v>
      </c>
      <c r="P795" s="12">
        <v>15.6</v>
      </c>
      <c r="Q795" s="12" t="s">
        <v>107</v>
      </c>
    </row>
    <row r="796" spans="1:17" x14ac:dyDescent="0.35">
      <c r="A796" s="12">
        <v>53</v>
      </c>
      <c r="B796" s="19" t="s">
        <v>1427</v>
      </c>
      <c r="C796" s="19">
        <v>2022</v>
      </c>
      <c r="D796" s="19" t="s">
        <v>420</v>
      </c>
      <c r="E796" s="13" t="s">
        <v>1428</v>
      </c>
      <c r="F796" s="12" t="s">
        <v>1429</v>
      </c>
      <c r="G796" s="12" t="s">
        <v>54</v>
      </c>
      <c r="H796" s="12" t="s">
        <v>1458</v>
      </c>
      <c r="I796" s="12">
        <v>49.466033000000003</v>
      </c>
      <c r="J796" s="12">
        <v>-123.766729</v>
      </c>
      <c r="K796" s="12" t="s">
        <v>103</v>
      </c>
      <c r="L796" s="12" t="s">
        <v>163</v>
      </c>
      <c r="M796" s="12" t="s">
        <v>1433</v>
      </c>
      <c r="N796" s="12">
        <v>26</v>
      </c>
      <c r="O796" s="12" t="s">
        <v>107</v>
      </c>
      <c r="P796" s="12">
        <v>26</v>
      </c>
      <c r="Q796" s="12" t="s">
        <v>107</v>
      </c>
    </row>
    <row r="797" spans="1:17" x14ac:dyDescent="0.35">
      <c r="A797" s="12">
        <v>53</v>
      </c>
      <c r="B797" s="19" t="s">
        <v>1427</v>
      </c>
      <c r="C797" s="19">
        <v>2022</v>
      </c>
      <c r="D797" s="19" t="s">
        <v>420</v>
      </c>
      <c r="E797" s="13" t="s">
        <v>1428</v>
      </c>
      <c r="F797" s="12" t="s">
        <v>1429</v>
      </c>
      <c r="G797" s="12" t="s">
        <v>54</v>
      </c>
      <c r="H797" s="12" t="s">
        <v>1459</v>
      </c>
      <c r="I797" s="12">
        <v>50.442461000000002</v>
      </c>
      <c r="J797" s="12">
        <v>-126.013068</v>
      </c>
      <c r="K797" s="12" t="s">
        <v>103</v>
      </c>
      <c r="L797" s="12" t="s">
        <v>163</v>
      </c>
      <c r="M797" s="12" t="s">
        <v>1433</v>
      </c>
      <c r="N797" s="12">
        <v>20</v>
      </c>
      <c r="O797" s="12" t="s">
        <v>107</v>
      </c>
      <c r="P797" s="12">
        <v>20</v>
      </c>
      <c r="Q797" s="12" t="s">
        <v>107</v>
      </c>
    </row>
    <row r="798" spans="1:17" x14ac:dyDescent="0.35">
      <c r="A798" s="12">
        <v>53</v>
      </c>
      <c r="B798" s="19" t="s">
        <v>1427</v>
      </c>
      <c r="C798" s="19">
        <v>2022</v>
      </c>
      <c r="D798" s="19" t="s">
        <v>420</v>
      </c>
      <c r="E798" s="13" t="s">
        <v>1428</v>
      </c>
      <c r="F798" s="12" t="s">
        <v>1429</v>
      </c>
      <c r="G798" s="12" t="s">
        <v>54</v>
      </c>
      <c r="H798" s="12" t="s">
        <v>1460</v>
      </c>
      <c r="I798" s="12">
        <v>52.113098999999998</v>
      </c>
      <c r="J798" s="12">
        <v>-128.30386799999999</v>
      </c>
      <c r="K798" s="12" t="s">
        <v>103</v>
      </c>
      <c r="L798" s="12" t="s">
        <v>163</v>
      </c>
      <c r="M798" s="12" t="s">
        <v>1433</v>
      </c>
      <c r="N798" s="12">
        <v>40</v>
      </c>
      <c r="O798" s="12" t="s">
        <v>107</v>
      </c>
      <c r="P798" s="12">
        <v>40</v>
      </c>
      <c r="Q798" s="12" t="s">
        <v>107</v>
      </c>
    </row>
    <row r="799" spans="1:17" x14ac:dyDescent="0.35">
      <c r="A799" s="12">
        <v>53</v>
      </c>
      <c r="B799" s="19" t="s">
        <v>1427</v>
      </c>
      <c r="C799" s="19">
        <v>2022</v>
      </c>
      <c r="D799" s="19" t="s">
        <v>420</v>
      </c>
      <c r="E799" s="13" t="s">
        <v>1428</v>
      </c>
      <c r="F799" s="12" t="s">
        <v>1429</v>
      </c>
      <c r="G799" s="12" t="s">
        <v>54</v>
      </c>
      <c r="H799" s="12" t="s">
        <v>1461</v>
      </c>
      <c r="I799" s="12">
        <v>54.202837000000002</v>
      </c>
      <c r="J799" s="12">
        <v>-130.34874500000001</v>
      </c>
      <c r="K799" s="12" t="s">
        <v>103</v>
      </c>
      <c r="L799" s="12" t="s">
        <v>163</v>
      </c>
      <c r="M799" s="12" t="s">
        <v>1433</v>
      </c>
      <c r="N799" s="12">
        <v>60</v>
      </c>
      <c r="O799" s="12" t="s">
        <v>107</v>
      </c>
      <c r="P799" s="12">
        <v>60</v>
      </c>
      <c r="Q799" s="12" t="s">
        <v>107</v>
      </c>
    </row>
    <row r="800" spans="1:17" x14ac:dyDescent="0.35">
      <c r="A800" s="12">
        <v>53</v>
      </c>
      <c r="B800" s="19" t="s">
        <v>1427</v>
      </c>
      <c r="C800" s="19">
        <v>2022</v>
      </c>
      <c r="D800" s="19" t="s">
        <v>420</v>
      </c>
      <c r="E800" s="13" t="s">
        <v>1428</v>
      </c>
      <c r="F800" s="12" t="s">
        <v>1429</v>
      </c>
      <c r="G800" s="12" t="s">
        <v>54</v>
      </c>
      <c r="H800" s="12" t="s">
        <v>1462</v>
      </c>
      <c r="I800" s="12">
        <v>54.285511999999997</v>
      </c>
      <c r="J800" s="12">
        <v>-130.46193500000001</v>
      </c>
      <c r="K800" s="12" t="s">
        <v>103</v>
      </c>
      <c r="L800" s="12" t="s">
        <v>163</v>
      </c>
      <c r="M800" s="12" t="s">
        <v>1433</v>
      </c>
      <c r="N800" s="12">
        <v>76.400000000000006</v>
      </c>
      <c r="O800" s="12" t="s">
        <v>107</v>
      </c>
      <c r="P800" s="12">
        <v>76.400000000000006</v>
      </c>
      <c r="Q800" s="12" t="s">
        <v>107</v>
      </c>
    </row>
    <row r="801" spans="1:18" x14ac:dyDescent="0.35">
      <c r="A801" s="12">
        <v>53</v>
      </c>
      <c r="B801" s="19" t="s">
        <v>1427</v>
      </c>
      <c r="C801" s="19">
        <v>2022</v>
      </c>
      <c r="D801" s="19" t="s">
        <v>420</v>
      </c>
      <c r="E801" s="13" t="s">
        <v>1428</v>
      </c>
      <c r="F801" s="12" t="s">
        <v>1429</v>
      </c>
      <c r="G801" s="12" t="s">
        <v>54</v>
      </c>
      <c r="H801" s="12" t="s">
        <v>1463</v>
      </c>
      <c r="I801" s="12">
        <v>52.845446000000003</v>
      </c>
      <c r="J801" s="12">
        <v>-132.17182</v>
      </c>
      <c r="K801" s="12" t="s">
        <v>103</v>
      </c>
      <c r="L801" s="12" t="s">
        <v>163</v>
      </c>
      <c r="M801" s="12" t="s">
        <v>1433</v>
      </c>
      <c r="N801" s="12">
        <v>30.4</v>
      </c>
      <c r="O801" s="12" t="s">
        <v>107</v>
      </c>
      <c r="P801" s="12">
        <v>30.4</v>
      </c>
      <c r="Q801" s="12" t="s">
        <v>107</v>
      </c>
    </row>
    <row r="802" spans="1:18" x14ac:dyDescent="0.35">
      <c r="A802" s="12">
        <v>53</v>
      </c>
      <c r="B802" s="19" t="s">
        <v>1427</v>
      </c>
      <c r="C802" s="19">
        <v>2022</v>
      </c>
      <c r="D802" s="19" t="s">
        <v>420</v>
      </c>
      <c r="E802" s="13" t="s">
        <v>1428</v>
      </c>
      <c r="F802" s="12" t="s">
        <v>1429</v>
      </c>
      <c r="G802" s="12" t="s">
        <v>54</v>
      </c>
      <c r="H802" s="12" t="s">
        <v>1464</v>
      </c>
      <c r="I802" s="12">
        <v>52.109178</v>
      </c>
      <c r="J802" s="12">
        <v>-131.189696</v>
      </c>
      <c r="K802" s="12" t="s">
        <v>103</v>
      </c>
      <c r="L802" s="12" t="s">
        <v>163</v>
      </c>
      <c r="M802" s="12" t="s">
        <v>1433</v>
      </c>
      <c r="N802" s="12">
        <v>0</v>
      </c>
      <c r="O802" s="12" t="s">
        <v>107</v>
      </c>
      <c r="P802" s="12">
        <v>0</v>
      </c>
      <c r="Q802" s="12" t="s">
        <v>107</v>
      </c>
    </row>
    <row r="803" spans="1:18" x14ac:dyDescent="0.35">
      <c r="A803" s="12">
        <v>53</v>
      </c>
      <c r="B803" s="19" t="s">
        <v>1427</v>
      </c>
      <c r="C803" s="19">
        <v>2022</v>
      </c>
      <c r="D803" s="19" t="s">
        <v>420</v>
      </c>
      <c r="E803" s="13" t="s">
        <v>1428</v>
      </c>
      <c r="F803" s="12" t="s">
        <v>1429</v>
      </c>
      <c r="G803" s="12" t="s">
        <v>54</v>
      </c>
      <c r="H803" s="12" t="s">
        <v>1465</v>
      </c>
      <c r="I803" s="12">
        <v>52.482207000000002</v>
      </c>
      <c r="J803" s="12">
        <v>-131.46501699999999</v>
      </c>
      <c r="K803" s="12" t="s">
        <v>103</v>
      </c>
      <c r="L803" s="12" t="s">
        <v>163</v>
      </c>
      <c r="M803" s="12" t="s">
        <v>1433</v>
      </c>
      <c r="N803" s="12">
        <v>35.6</v>
      </c>
      <c r="O803" s="12" t="s">
        <v>107</v>
      </c>
      <c r="P803" s="12">
        <v>35.6</v>
      </c>
      <c r="Q803" s="12" t="s">
        <v>107</v>
      </c>
    </row>
    <row r="804" spans="1:18" x14ac:dyDescent="0.35">
      <c r="A804" s="12">
        <v>53</v>
      </c>
      <c r="B804" s="19" t="s">
        <v>1427</v>
      </c>
      <c r="C804" s="19">
        <v>2022</v>
      </c>
      <c r="D804" s="19" t="s">
        <v>420</v>
      </c>
      <c r="E804" s="13" t="s">
        <v>1428</v>
      </c>
      <c r="F804" s="12" t="s">
        <v>1429</v>
      </c>
      <c r="G804" s="12" t="s">
        <v>54</v>
      </c>
      <c r="H804" s="12" t="s">
        <v>1466</v>
      </c>
      <c r="I804" s="12">
        <v>52.395274999999998</v>
      </c>
      <c r="J804" s="12">
        <v>-131.62032600000001</v>
      </c>
      <c r="K804" s="12" t="s">
        <v>103</v>
      </c>
      <c r="L804" s="12" t="s">
        <v>163</v>
      </c>
      <c r="M804" s="12" t="s">
        <v>1433</v>
      </c>
      <c r="N804" s="12">
        <v>40</v>
      </c>
      <c r="O804" s="12" t="s">
        <v>107</v>
      </c>
      <c r="P804" s="12">
        <v>40</v>
      </c>
      <c r="Q804" s="12" t="s">
        <v>107</v>
      </c>
    </row>
    <row r="805" spans="1:18" x14ac:dyDescent="0.35">
      <c r="A805" s="12">
        <v>53</v>
      </c>
      <c r="B805" s="19" t="s">
        <v>1427</v>
      </c>
      <c r="C805" s="19">
        <v>2022</v>
      </c>
      <c r="D805" s="19" t="s">
        <v>420</v>
      </c>
      <c r="E805" s="13" t="s">
        <v>1428</v>
      </c>
      <c r="F805" s="12" t="s">
        <v>1429</v>
      </c>
      <c r="G805" s="12" t="s">
        <v>54</v>
      </c>
      <c r="H805" s="12" t="s">
        <v>1467</v>
      </c>
      <c r="I805" s="12">
        <v>54.111618</v>
      </c>
      <c r="J805" s="12">
        <v>-132.287531</v>
      </c>
      <c r="K805" s="12" t="s">
        <v>103</v>
      </c>
      <c r="L805" s="12" t="s">
        <v>163</v>
      </c>
      <c r="M805" s="12" t="s">
        <v>1433</v>
      </c>
      <c r="N805" s="12">
        <v>20</v>
      </c>
      <c r="O805" s="12" t="s">
        <v>107</v>
      </c>
      <c r="P805" s="12">
        <v>20</v>
      </c>
      <c r="Q805" s="12" t="s">
        <v>107</v>
      </c>
    </row>
    <row r="806" spans="1:18" x14ac:dyDescent="0.35">
      <c r="A806" s="12">
        <v>54</v>
      </c>
      <c r="B806" s="12" t="s">
        <v>1468</v>
      </c>
      <c r="C806" s="12">
        <v>2019</v>
      </c>
      <c r="D806" s="12" t="s">
        <v>1409</v>
      </c>
      <c r="E806" s="12" t="s">
        <v>1469</v>
      </c>
      <c r="F806" s="12" t="s">
        <v>1470</v>
      </c>
      <c r="G806" s="12" t="s">
        <v>54</v>
      </c>
      <c r="H806" s="12" t="s">
        <v>1471</v>
      </c>
      <c r="I806" s="12">
        <v>49.457220999999997</v>
      </c>
      <c r="J806" s="12">
        <v>-124.74631599999999</v>
      </c>
      <c r="K806" s="12" t="s">
        <v>41</v>
      </c>
      <c r="L806" s="12" t="s">
        <v>163</v>
      </c>
      <c r="M806" s="12" t="s">
        <v>1474</v>
      </c>
      <c r="N806" s="12">
        <v>0.91</v>
      </c>
      <c r="O806" s="12" t="s">
        <v>59</v>
      </c>
      <c r="P806" s="12">
        <v>0.91</v>
      </c>
      <c r="Q806" s="12" t="s">
        <v>59</v>
      </c>
      <c r="R806" s="12" t="s">
        <v>1475</v>
      </c>
    </row>
    <row r="807" spans="1:18" x14ac:dyDescent="0.35">
      <c r="A807" s="12">
        <v>54</v>
      </c>
      <c r="B807" s="12" t="s">
        <v>1468</v>
      </c>
      <c r="C807" s="12">
        <v>2019</v>
      </c>
      <c r="D807" s="12" t="s">
        <v>1409</v>
      </c>
      <c r="E807" s="12" t="s">
        <v>1469</v>
      </c>
      <c r="F807" s="12" t="s">
        <v>1470</v>
      </c>
      <c r="G807" s="12" t="s">
        <v>54</v>
      </c>
      <c r="H807" s="12" t="s">
        <v>1476</v>
      </c>
      <c r="I807" s="12">
        <v>49.461272000000001</v>
      </c>
      <c r="J807" s="12">
        <v>-124.73385</v>
      </c>
      <c r="K807" s="12" t="s">
        <v>41</v>
      </c>
      <c r="L807" s="12" t="s">
        <v>163</v>
      </c>
      <c r="M807" s="12" t="s">
        <v>1477</v>
      </c>
      <c r="N807" s="12">
        <v>5.28</v>
      </c>
      <c r="O807" s="12" t="s">
        <v>59</v>
      </c>
      <c r="P807" s="12">
        <v>5.28</v>
      </c>
      <c r="Q807" s="12" t="s">
        <v>59</v>
      </c>
      <c r="R807" s="12" t="s">
        <v>1475</v>
      </c>
    </row>
    <row r="808" spans="1:18" x14ac:dyDescent="0.35">
      <c r="A808" s="12">
        <v>55</v>
      </c>
      <c r="B808" s="12" t="s">
        <v>1482</v>
      </c>
      <c r="C808" s="12">
        <v>2025</v>
      </c>
      <c r="D808" s="12" t="s">
        <v>246</v>
      </c>
      <c r="E808" s="12" t="s">
        <v>1483</v>
      </c>
      <c r="F808" s="12" t="s">
        <v>1484</v>
      </c>
      <c r="G808" s="12" t="s">
        <v>804</v>
      </c>
      <c r="H808" s="12" t="s">
        <v>1485</v>
      </c>
      <c r="I808" s="12">
        <v>47.038632999999997</v>
      </c>
      <c r="J808" s="12">
        <v>-54.301014000000002</v>
      </c>
      <c r="K808" s="12" t="s">
        <v>41</v>
      </c>
      <c r="L808" s="12" t="s">
        <v>42</v>
      </c>
      <c r="M808" s="12" t="s">
        <v>1487</v>
      </c>
      <c r="N808" s="12">
        <v>0.31</v>
      </c>
      <c r="O808" s="12" t="s">
        <v>476</v>
      </c>
      <c r="P808" s="12">
        <f>N808/1000</f>
        <v>3.1E-4</v>
      </c>
      <c r="Q808" s="12" t="s">
        <v>59</v>
      </c>
    </row>
    <row r="809" spans="1:18" x14ac:dyDescent="0.35">
      <c r="A809" s="12">
        <v>56</v>
      </c>
      <c r="B809" s="12" t="s">
        <v>1496</v>
      </c>
      <c r="C809" s="12">
        <v>2024</v>
      </c>
      <c r="D809" s="12" t="s">
        <v>1010</v>
      </c>
      <c r="E809" s="12" t="s">
        <v>1497</v>
      </c>
      <c r="F809" s="12" t="s">
        <v>1498</v>
      </c>
      <c r="G809" s="12" t="s">
        <v>25</v>
      </c>
      <c r="H809" s="12" t="s">
        <v>1499</v>
      </c>
      <c r="I809" s="12">
        <v>68.942756306774399</v>
      </c>
      <c r="J809" s="12">
        <v>-108.52063068664199</v>
      </c>
      <c r="K809" s="12" t="s">
        <v>41</v>
      </c>
      <c r="L809" s="12" t="s">
        <v>223</v>
      </c>
      <c r="M809" s="12" t="s">
        <v>2210</v>
      </c>
      <c r="N809" s="16">
        <v>2.5499999999999998</v>
      </c>
      <c r="O809" s="12" t="s">
        <v>1501</v>
      </c>
      <c r="P809" s="16">
        <v>2.5499999999999998</v>
      </c>
      <c r="Q809" s="12" t="s">
        <v>59</v>
      </c>
      <c r="R809" s="12" t="s">
        <v>499</v>
      </c>
    </row>
    <row r="810" spans="1:18" x14ac:dyDescent="0.35">
      <c r="A810" s="12">
        <v>56</v>
      </c>
      <c r="B810" s="12" t="s">
        <v>1496</v>
      </c>
      <c r="C810" s="12">
        <v>2024</v>
      </c>
      <c r="D810" s="12" t="s">
        <v>1010</v>
      </c>
      <c r="E810" s="12" t="s">
        <v>1497</v>
      </c>
      <c r="F810" s="12" t="s">
        <v>1498</v>
      </c>
      <c r="G810" s="12" t="s">
        <v>25</v>
      </c>
      <c r="H810" s="12" t="s">
        <v>1502</v>
      </c>
      <c r="I810" s="12">
        <v>68.933031434182894</v>
      </c>
      <c r="J810" s="12">
        <v>-108.506642694378</v>
      </c>
      <c r="K810" s="12" t="s">
        <v>41</v>
      </c>
      <c r="L810" s="12" t="s">
        <v>163</v>
      </c>
      <c r="M810" s="12" t="s">
        <v>2211</v>
      </c>
      <c r="N810" s="16">
        <v>22.75</v>
      </c>
      <c r="O810" s="12" t="s">
        <v>1501</v>
      </c>
      <c r="P810" s="16">
        <v>22.75</v>
      </c>
      <c r="Q810" s="12" t="s">
        <v>59</v>
      </c>
      <c r="R810" s="12" t="s">
        <v>499</v>
      </c>
    </row>
    <row r="811" spans="1:18" x14ac:dyDescent="0.35">
      <c r="A811" s="12">
        <v>56</v>
      </c>
      <c r="B811" s="12" t="s">
        <v>1496</v>
      </c>
      <c r="C811" s="12">
        <v>2024</v>
      </c>
      <c r="D811" s="12" t="s">
        <v>1010</v>
      </c>
      <c r="E811" s="12" t="s">
        <v>1497</v>
      </c>
      <c r="F811" s="12" t="s">
        <v>1498</v>
      </c>
      <c r="G811" s="12" t="s">
        <v>25</v>
      </c>
      <c r="H811" s="12" t="s">
        <v>1499</v>
      </c>
      <c r="I811" s="12">
        <v>68.942756306774399</v>
      </c>
      <c r="J811" s="12">
        <v>-108.52063068664199</v>
      </c>
      <c r="K811" s="12" t="s">
        <v>103</v>
      </c>
      <c r="L811" s="12" t="s">
        <v>223</v>
      </c>
      <c r="M811" s="12" t="s">
        <v>2212</v>
      </c>
      <c r="N811" s="16">
        <v>0.14000000000000001</v>
      </c>
      <c r="O811" s="12" t="s">
        <v>1505</v>
      </c>
      <c r="P811" s="12">
        <f>N811*1000</f>
        <v>140</v>
      </c>
      <c r="Q811" s="12" t="s">
        <v>1506</v>
      </c>
      <c r="R811" s="12" t="s">
        <v>1507</v>
      </c>
    </row>
    <row r="812" spans="1:18" x14ac:dyDescent="0.35">
      <c r="A812" s="12">
        <v>56</v>
      </c>
      <c r="B812" s="12" t="s">
        <v>1496</v>
      </c>
      <c r="C812" s="12">
        <v>2024</v>
      </c>
      <c r="D812" s="12" t="s">
        <v>1010</v>
      </c>
      <c r="E812" s="12" t="s">
        <v>1497</v>
      </c>
      <c r="F812" s="12" t="s">
        <v>1498</v>
      </c>
      <c r="G812" s="12" t="s">
        <v>25</v>
      </c>
      <c r="H812" s="12" t="s">
        <v>1502</v>
      </c>
      <c r="I812" s="12">
        <v>68.933031434182894</v>
      </c>
      <c r="J812" s="12">
        <v>-108.506642694378</v>
      </c>
      <c r="K812" s="12" t="s">
        <v>103</v>
      </c>
      <c r="L812" s="12" t="s">
        <v>163</v>
      </c>
      <c r="M812" s="12" t="s">
        <v>2213</v>
      </c>
      <c r="N812" s="16">
        <v>0.53</v>
      </c>
      <c r="O812" s="12" t="s">
        <v>1505</v>
      </c>
      <c r="P812" s="12">
        <f>N812*1000</f>
        <v>530</v>
      </c>
      <c r="Q812" s="12" t="s">
        <v>1506</v>
      </c>
      <c r="R812" s="12" t="s">
        <v>1507</v>
      </c>
    </row>
    <row r="813" spans="1:18" x14ac:dyDescent="0.35">
      <c r="A813" s="12">
        <v>60</v>
      </c>
      <c r="B813" s="12" t="s">
        <v>1509</v>
      </c>
      <c r="C813" s="12">
        <v>2017</v>
      </c>
      <c r="D813" s="12" t="s">
        <v>663</v>
      </c>
      <c r="E813" s="12" t="s">
        <v>1510</v>
      </c>
      <c r="F813" s="12" t="s">
        <v>1511</v>
      </c>
      <c r="G813" s="12" t="s">
        <v>1512</v>
      </c>
      <c r="H813" s="12" t="s">
        <v>1513</v>
      </c>
      <c r="I813" s="12">
        <v>50.436039999999998</v>
      </c>
      <c r="J813" s="34">
        <v>-96.834230000000005</v>
      </c>
      <c r="K813" s="12" t="s">
        <v>41</v>
      </c>
      <c r="L813" s="12" t="s">
        <v>28</v>
      </c>
      <c r="N813" s="12">
        <v>108.03400000000001</v>
      </c>
      <c r="O813" s="12" t="s">
        <v>1516</v>
      </c>
      <c r="P813" s="12">
        <v>108.03400000000001</v>
      </c>
      <c r="Q813" s="12" t="s">
        <v>46</v>
      </c>
    </row>
    <row r="814" spans="1:18" x14ac:dyDescent="0.35">
      <c r="A814" s="12">
        <v>60</v>
      </c>
      <c r="B814" s="12" t="s">
        <v>1509</v>
      </c>
      <c r="C814" s="12">
        <v>2017</v>
      </c>
      <c r="D814" s="12" t="s">
        <v>663</v>
      </c>
      <c r="E814" s="12" t="s">
        <v>1510</v>
      </c>
      <c r="F814" s="12" t="s">
        <v>1517</v>
      </c>
      <c r="G814" s="12" t="s">
        <v>1512</v>
      </c>
      <c r="H814" s="12" t="s">
        <v>1518</v>
      </c>
      <c r="I814" s="12">
        <v>50.436039999999998</v>
      </c>
      <c r="J814" s="34">
        <v>-96.834230000000005</v>
      </c>
      <c r="K814" s="12" t="s">
        <v>41</v>
      </c>
      <c r="L814" s="12" t="s">
        <v>28</v>
      </c>
      <c r="N814" s="12">
        <v>139.46700000000001</v>
      </c>
      <c r="O814" s="12" t="s">
        <v>1516</v>
      </c>
      <c r="P814" s="12">
        <v>139.46700000000001</v>
      </c>
      <c r="Q814" s="12" t="s">
        <v>46</v>
      </c>
    </row>
    <row r="815" spans="1:18" x14ac:dyDescent="0.35">
      <c r="A815" s="12">
        <v>60</v>
      </c>
      <c r="B815" s="12" t="s">
        <v>1509</v>
      </c>
      <c r="C815" s="12">
        <v>2017</v>
      </c>
      <c r="D815" s="12" t="s">
        <v>663</v>
      </c>
      <c r="E815" s="12" t="s">
        <v>1510</v>
      </c>
      <c r="F815" s="12" t="s">
        <v>1519</v>
      </c>
      <c r="G815" s="12" t="s">
        <v>1512</v>
      </c>
      <c r="H815" s="12" t="s">
        <v>1520</v>
      </c>
      <c r="I815" s="12">
        <v>50.436039999999998</v>
      </c>
      <c r="J815" s="34">
        <v>-96.834230000000005</v>
      </c>
      <c r="K815" s="12" t="s">
        <v>41</v>
      </c>
      <c r="L815" s="12" t="s">
        <v>28</v>
      </c>
      <c r="N815" s="12">
        <v>279.161</v>
      </c>
      <c r="O815" s="12" t="s">
        <v>1516</v>
      </c>
      <c r="P815" s="12">
        <v>279.161</v>
      </c>
      <c r="Q815" s="12" t="s">
        <v>46</v>
      </c>
    </row>
    <row r="816" spans="1:18" x14ac:dyDescent="0.35">
      <c r="A816" s="12">
        <v>60</v>
      </c>
      <c r="B816" s="12" t="s">
        <v>1509</v>
      </c>
      <c r="C816" s="12">
        <v>2017</v>
      </c>
      <c r="D816" s="12" t="s">
        <v>663</v>
      </c>
      <c r="E816" s="12" t="s">
        <v>1510</v>
      </c>
      <c r="F816" s="12" t="s">
        <v>1521</v>
      </c>
      <c r="G816" s="12" t="s">
        <v>1512</v>
      </c>
      <c r="H816" s="12" t="s">
        <v>1522</v>
      </c>
      <c r="I816" s="12">
        <v>50.487639999999999</v>
      </c>
      <c r="J816" s="34">
        <v>-96.723429999999993</v>
      </c>
      <c r="K816" s="12" t="s">
        <v>41</v>
      </c>
      <c r="L816" s="12" t="s">
        <v>28</v>
      </c>
      <c r="N816" s="12">
        <v>161.893</v>
      </c>
      <c r="O816" s="12" t="s">
        <v>1516</v>
      </c>
      <c r="P816" s="12">
        <v>161.893</v>
      </c>
      <c r="Q816" s="12" t="s">
        <v>46</v>
      </c>
    </row>
    <row r="817" spans="1:17" x14ac:dyDescent="0.35">
      <c r="A817" s="12">
        <v>60</v>
      </c>
      <c r="B817" s="12" t="s">
        <v>1509</v>
      </c>
      <c r="C817" s="12">
        <v>2017</v>
      </c>
      <c r="D817" s="12" t="s">
        <v>663</v>
      </c>
      <c r="E817" s="12" t="s">
        <v>1510</v>
      </c>
      <c r="F817" s="12" t="s">
        <v>1523</v>
      </c>
      <c r="G817" s="12" t="s">
        <v>1512</v>
      </c>
      <c r="H817" s="12" t="s">
        <v>1524</v>
      </c>
      <c r="I817" s="12">
        <v>50.487639999999999</v>
      </c>
      <c r="J817" s="34">
        <v>-96.723429999999993</v>
      </c>
      <c r="K817" s="12" t="s">
        <v>41</v>
      </c>
      <c r="L817" s="12" t="s">
        <v>28</v>
      </c>
      <c r="N817" s="12">
        <v>215.51400000000001</v>
      </c>
      <c r="O817" s="12" t="s">
        <v>1516</v>
      </c>
      <c r="P817" s="12">
        <v>215.51400000000001</v>
      </c>
      <c r="Q817" s="12" t="s">
        <v>46</v>
      </c>
    </row>
    <row r="818" spans="1:17" x14ac:dyDescent="0.35">
      <c r="A818" s="12">
        <v>60</v>
      </c>
      <c r="B818" s="12" t="s">
        <v>1509</v>
      </c>
      <c r="C818" s="12">
        <v>2017</v>
      </c>
      <c r="D818" s="12" t="s">
        <v>663</v>
      </c>
      <c r="E818" s="12" t="s">
        <v>1510</v>
      </c>
      <c r="F818" s="12" t="s">
        <v>1525</v>
      </c>
      <c r="G818" s="12" t="s">
        <v>1512</v>
      </c>
      <c r="H818" s="12" t="s">
        <v>1526</v>
      </c>
      <c r="I818" s="12">
        <v>50.487639999999999</v>
      </c>
      <c r="J818" s="34">
        <v>-96.723429999999993</v>
      </c>
      <c r="K818" s="12" t="s">
        <v>41</v>
      </c>
      <c r="L818" s="12" t="s">
        <v>28</v>
      </c>
      <c r="N818" s="12">
        <v>148.505</v>
      </c>
      <c r="O818" s="12" t="s">
        <v>1516</v>
      </c>
      <c r="P818" s="12">
        <v>148.505</v>
      </c>
      <c r="Q818" s="12" t="s">
        <v>46</v>
      </c>
    </row>
    <row r="819" spans="1:17" x14ac:dyDescent="0.35">
      <c r="A819" s="12">
        <v>60</v>
      </c>
      <c r="B819" s="12" t="s">
        <v>1509</v>
      </c>
      <c r="C819" s="12">
        <v>2017</v>
      </c>
      <c r="D819" s="12" t="s">
        <v>663</v>
      </c>
      <c r="E819" s="12" t="s">
        <v>1510</v>
      </c>
      <c r="F819" s="12" t="s">
        <v>1527</v>
      </c>
      <c r="G819" s="12" t="s">
        <v>1512</v>
      </c>
      <c r="H819" s="12" t="s">
        <v>1528</v>
      </c>
      <c r="I819" s="12">
        <v>50.680529999999997</v>
      </c>
      <c r="J819" s="34">
        <v>-96.412480000000002</v>
      </c>
      <c r="K819" s="12" t="s">
        <v>41</v>
      </c>
      <c r="L819" s="12" t="s">
        <v>28</v>
      </c>
      <c r="N819" s="12">
        <v>52.508000000000003</v>
      </c>
      <c r="O819" s="12" t="s">
        <v>1516</v>
      </c>
      <c r="P819" s="12">
        <v>52.508000000000003</v>
      </c>
      <c r="Q819" s="12" t="s">
        <v>46</v>
      </c>
    </row>
    <row r="820" spans="1:17" x14ac:dyDescent="0.35">
      <c r="A820" s="12">
        <v>60</v>
      </c>
      <c r="B820" s="12" t="s">
        <v>1509</v>
      </c>
      <c r="C820" s="12">
        <v>2017</v>
      </c>
      <c r="D820" s="12" t="s">
        <v>663</v>
      </c>
      <c r="E820" s="12" t="s">
        <v>1510</v>
      </c>
      <c r="F820" s="12" t="s">
        <v>1529</v>
      </c>
      <c r="G820" s="12" t="s">
        <v>1512</v>
      </c>
      <c r="H820" s="12" t="s">
        <v>1530</v>
      </c>
      <c r="I820" s="12">
        <v>50.680529999999997</v>
      </c>
      <c r="J820" s="34">
        <v>-96.412480000000002</v>
      </c>
      <c r="K820" s="12" t="s">
        <v>41</v>
      </c>
      <c r="L820" s="12" t="s">
        <v>28</v>
      </c>
      <c r="N820" s="12">
        <v>187.80500000000001</v>
      </c>
      <c r="O820" s="12" t="s">
        <v>1516</v>
      </c>
      <c r="P820" s="12">
        <v>187.80500000000001</v>
      </c>
      <c r="Q820" s="12" t="s">
        <v>46</v>
      </c>
    </row>
    <row r="821" spans="1:17" x14ac:dyDescent="0.35">
      <c r="A821" s="12">
        <v>60</v>
      </c>
      <c r="B821" s="12" t="s">
        <v>1509</v>
      </c>
      <c r="C821" s="12">
        <v>2017</v>
      </c>
      <c r="D821" s="12" t="s">
        <v>663</v>
      </c>
      <c r="E821" s="12" t="s">
        <v>1510</v>
      </c>
      <c r="F821" s="12" t="s">
        <v>1531</v>
      </c>
      <c r="G821" s="12" t="s">
        <v>1512</v>
      </c>
      <c r="H821" s="12" t="s">
        <v>1532</v>
      </c>
      <c r="I821" s="12">
        <v>50.680529999999997</v>
      </c>
      <c r="J821" s="34">
        <v>-96.412480000000002</v>
      </c>
      <c r="K821" s="12" t="s">
        <v>41</v>
      </c>
      <c r="L821" s="12" t="s">
        <v>28</v>
      </c>
      <c r="N821" s="12">
        <v>171.74100000000001</v>
      </c>
      <c r="O821" s="12" t="s">
        <v>1516</v>
      </c>
      <c r="P821" s="12">
        <v>171.74100000000001</v>
      </c>
      <c r="Q821" s="12" t="s">
        <v>46</v>
      </c>
    </row>
    <row r="822" spans="1:17" x14ac:dyDescent="0.35">
      <c r="A822" s="12">
        <v>60</v>
      </c>
      <c r="B822" s="12" t="s">
        <v>1509</v>
      </c>
      <c r="C822" s="12">
        <v>2017</v>
      </c>
      <c r="D822" s="12" t="s">
        <v>663</v>
      </c>
      <c r="E822" s="12" t="s">
        <v>1510</v>
      </c>
      <c r="F822" s="12" t="s">
        <v>1533</v>
      </c>
      <c r="G822" s="12" t="s">
        <v>1512</v>
      </c>
      <c r="H822" s="12" t="s">
        <v>1534</v>
      </c>
      <c r="I822" s="34">
        <v>50.698799999999999</v>
      </c>
      <c r="J822" s="34">
        <v>-96.786119999999997</v>
      </c>
      <c r="K822" s="12" t="s">
        <v>41</v>
      </c>
      <c r="L822" s="12" t="s">
        <v>28</v>
      </c>
      <c r="N822" s="12">
        <v>188.18600000000001</v>
      </c>
      <c r="O822" s="12" t="s">
        <v>1516</v>
      </c>
      <c r="P822" s="12">
        <v>188.18600000000001</v>
      </c>
      <c r="Q822" s="12" t="s">
        <v>46</v>
      </c>
    </row>
    <row r="823" spans="1:17" x14ac:dyDescent="0.35">
      <c r="A823" s="12">
        <v>60</v>
      </c>
      <c r="B823" s="12" t="s">
        <v>1509</v>
      </c>
      <c r="C823" s="12">
        <v>2017</v>
      </c>
      <c r="D823" s="12" t="s">
        <v>663</v>
      </c>
      <c r="E823" s="12" t="s">
        <v>1510</v>
      </c>
      <c r="F823" s="12" t="s">
        <v>1535</v>
      </c>
      <c r="G823" s="12" t="s">
        <v>1512</v>
      </c>
      <c r="H823" s="12" t="s">
        <v>1536</v>
      </c>
      <c r="I823" s="34">
        <v>50.698799999999999</v>
      </c>
      <c r="J823" s="34">
        <v>-96.786119999999997</v>
      </c>
      <c r="K823" s="12" t="s">
        <v>41</v>
      </c>
      <c r="L823" s="12" t="s">
        <v>28</v>
      </c>
      <c r="N823" s="12">
        <v>157.78700000000001</v>
      </c>
      <c r="O823" s="12" t="s">
        <v>1516</v>
      </c>
      <c r="P823" s="12">
        <v>157.78700000000001</v>
      </c>
      <c r="Q823" s="12" t="s">
        <v>46</v>
      </c>
    </row>
    <row r="824" spans="1:17" x14ac:dyDescent="0.35">
      <c r="A824" s="12">
        <v>60</v>
      </c>
      <c r="B824" s="12" t="s">
        <v>1509</v>
      </c>
      <c r="C824" s="12">
        <v>2017</v>
      </c>
      <c r="D824" s="12" t="s">
        <v>663</v>
      </c>
      <c r="E824" s="12" t="s">
        <v>1510</v>
      </c>
      <c r="F824" s="12" t="s">
        <v>1537</v>
      </c>
      <c r="G824" s="12" t="s">
        <v>1512</v>
      </c>
      <c r="H824" s="12" t="s">
        <v>1538</v>
      </c>
      <c r="I824" s="34">
        <v>50.698799999999999</v>
      </c>
      <c r="J824" s="34">
        <v>-96.786119999999997</v>
      </c>
      <c r="K824" s="12" t="s">
        <v>41</v>
      </c>
      <c r="L824" s="12" t="s">
        <v>28</v>
      </c>
      <c r="N824" s="12">
        <v>217.92099999999999</v>
      </c>
      <c r="O824" s="12" t="s">
        <v>1516</v>
      </c>
      <c r="P824" s="12">
        <v>217.92099999999999</v>
      </c>
      <c r="Q824" s="12" t="s">
        <v>46</v>
      </c>
    </row>
    <row r="825" spans="1:17" x14ac:dyDescent="0.35">
      <c r="A825" s="12">
        <v>60</v>
      </c>
      <c r="B825" s="12" t="s">
        <v>1509</v>
      </c>
      <c r="C825" s="12">
        <v>2017</v>
      </c>
      <c r="D825" s="12" t="s">
        <v>663</v>
      </c>
      <c r="E825" s="12" t="s">
        <v>1510</v>
      </c>
      <c r="F825" s="12" t="s">
        <v>1539</v>
      </c>
      <c r="G825" s="12" t="s">
        <v>1512</v>
      </c>
      <c r="H825" s="12" t="s">
        <v>1540</v>
      </c>
      <c r="I825" s="12">
        <v>51.022179999999999</v>
      </c>
      <c r="J825" s="34">
        <v>-96.583770000000001</v>
      </c>
      <c r="K825" s="12" t="s">
        <v>41</v>
      </c>
      <c r="L825" s="12" t="s">
        <v>28</v>
      </c>
      <c r="N825" s="12">
        <v>174.43799999999999</v>
      </c>
      <c r="O825" s="12" t="s">
        <v>1516</v>
      </c>
      <c r="P825" s="12">
        <v>174.43799999999999</v>
      </c>
      <c r="Q825" s="12" t="s">
        <v>46</v>
      </c>
    </row>
    <row r="826" spans="1:17" x14ac:dyDescent="0.35">
      <c r="A826" s="12">
        <v>60</v>
      </c>
      <c r="B826" s="12" t="s">
        <v>1509</v>
      </c>
      <c r="C826" s="12">
        <v>2017</v>
      </c>
      <c r="D826" s="12" t="s">
        <v>663</v>
      </c>
      <c r="E826" s="12" t="s">
        <v>1510</v>
      </c>
      <c r="F826" s="12" t="s">
        <v>1541</v>
      </c>
      <c r="G826" s="12" t="s">
        <v>1512</v>
      </c>
      <c r="H826" s="12" t="s">
        <v>1542</v>
      </c>
      <c r="I826" s="12">
        <v>51.022179999999999</v>
      </c>
      <c r="J826" s="34">
        <v>-96.583770000000001</v>
      </c>
      <c r="K826" s="12" t="s">
        <v>41</v>
      </c>
      <c r="L826" s="12" t="s">
        <v>28</v>
      </c>
      <c r="N826" s="12">
        <v>95.628</v>
      </c>
      <c r="O826" s="12" t="s">
        <v>1516</v>
      </c>
      <c r="P826" s="12">
        <v>95.628</v>
      </c>
      <c r="Q826" s="12" t="s">
        <v>46</v>
      </c>
    </row>
    <row r="827" spans="1:17" x14ac:dyDescent="0.35">
      <c r="A827" s="12">
        <v>60</v>
      </c>
      <c r="B827" s="12" t="s">
        <v>1509</v>
      </c>
      <c r="C827" s="12">
        <v>2017</v>
      </c>
      <c r="D827" s="12" t="s">
        <v>663</v>
      </c>
      <c r="E827" s="12" t="s">
        <v>1510</v>
      </c>
      <c r="F827" s="12" t="s">
        <v>1543</v>
      </c>
      <c r="G827" s="12" t="s">
        <v>1512</v>
      </c>
      <c r="H827" s="12" t="s">
        <v>1544</v>
      </c>
      <c r="I827" s="12">
        <v>51.022179999999999</v>
      </c>
      <c r="J827" s="34">
        <v>-96.583770000000001</v>
      </c>
      <c r="K827" s="12" t="s">
        <v>41</v>
      </c>
      <c r="L827" s="12" t="s">
        <v>28</v>
      </c>
      <c r="N827" s="12">
        <v>98.415999999999997</v>
      </c>
      <c r="O827" s="12" t="s">
        <v>1516</v>
      </c>
      <c r="P827" s="12">
        <v>98.415999999999997</v>
      </c>
      <c r="Q827" s="12" t="s">
        <v>46</v>
      </c>
    </row>
    <row r="828" spans="1:17" x14ac:dyDescent="0.35">
      <c r="A828" s="12">
        <v>60</v>
      </c>
      <c r="B828" s="12" t="s">
        <v>1509</v>
      </c>
      <c r="C828" s="12">
        <v>2017</v>
      </c>
      <c r="D828" s="12" t="s">
        <v>663</v>
      </c>
      <c r="E828" s="12" t="s">
        <v>1510</v>
      </c>
      <c r="F828" s="12" t="s">
        <v>1545</v>
      </c>
      <c r="G828" s="12" t="s">
        <v>1512</v>
      </c>
      <c r="H828" s="12" t="s">
        <v>1546</v>
      </c>
      <c r="I828" s="12">
        <v>51.620559999999998</v>
      </c>
      <c r="J828" s="34">
        <v>-97.693349999999995</v>
      </c>
      <c r="K828" s="12" t="s">
        <v>41</v>
      </c>
      <c r="L828" s="12" t="s">
        <v>28</v>
      </c>
      <c r="N828" s="12">
        <v>169.47499999999999</v>
      </c>
      <c r="O828" s="12" t="s">
        <v>1516</v>
      </c>
      <c r="P828" s="12">
        <v>169.47499999999999</v>
      </c>
      <c r="Q828" s="12" t="s">
        <v>46</v>
      </c>
    </row>
    <row r="829" spans="1:17" x14ac:dyDescent="0.35">
      <c r="A829" s="12">
        <v>60</v>
      </c>
      <c r="B829" s="12" t="s">
        <v>1509</v>
      </c>
      <c r="C829" s="12">
        <v>2017</v>
      </c>
      <c r="D829" s="12" t="s">
        <v>663</v>
      </c>
      <c r="E829" s="12" t="s">
        <v>1510</v>
      </c>
      <c r="F829" s="12" t="s">
        <v>1547</v>
      </c>
      <c r="G829" s="12" t="s">
        <v>1512</v>
      </c>
      <c r="H829" s="12" t="s">
        <v>1548</v>
      </c>
      <c r="I829" s="12">
        <v>51.620559999999998</v>
      </c>
      <c r="J829" s="34">
        <v>-97.693349999999995</v>
      </c>
      <c r="K829" s="12" t="s">
        <v>41</v>
      </c>
      <c r="L829" s="12" t="s">
        <v>28</v>
      </c>
      <c r="N829" s="12">
        <v>66.787999999999997</v>
      </c>
      <c r="O829" s="12" t="s">
        <v>1516</v>
      </c>
      <c r="P829" s="12">
        <v>66.787999999999997</v>
      </c>
      <c r="Q829" s="12" t="s">
        <v>46</v>
      </c>
    </row>
    <row r="830" spans="1:17" x14ac:dyDescent="0.35">
      <c r="A830" s="12">
        <v>60</v>
      </c>
      <c r="B830" s="12" t="s">
        <v>1509</v>
      </c>
      <c r="C830" s="12">
        <v>2017</v>
      </c>
      <c r="D830" s="12" t="s">
        <v>663</v>
      </c>
      <c r="E830" s="12" t="s">
        <v>1510</v>
      </c>
      <c r="F830" s="12" t="s">
        <v>1549</v>
      </c>
      <c r="G830" s="12" t="s">
        <v>1512</v>
      </c>
      <c r="H830" s="12" t="s">
        <v>1550</v>
      </c>
      <c r="I830" s="12">
        <v>51.776510000000002</v>
      </c>
      <c r="J830" s="34">
        <v>-96.864080000000001</v>
      </c>
      <c r="K830" s="12" t="s">
        <v>41</v>
      </c>
      <c r="L830" s="12" t="s">
        <v>28</v>
      </c>
      <c r="N830" s="12">
        <v>283.13200000000001</v>
      </c>
      <c r="O830" s="12" t="s">
        <v>1516</v>
      </c>
      <c r="P830" s="12">
        <v>283.13200000000001</v>
      </c>
      <c r="Q830" s="12" t="s">
        <v>46</v>
      </c>
    </row>
    <row r="831" spans="1:17" x14ac:dyDescent="0.35">
      <c r="A831" s="12">
        <v>60</v>
      </c>
      <c r="B831" s="12" t="s">
        <v>1509</v>
      </c>
      <c r="C831" s="12">
        <v>2017</v>
      </c>
      <c r="D831" s="12" t="s">
        <v>663</v>
      </c>
      <c r="E831" s="12" t="s">
        <v>1510</v>
      </c>
      <c r="F831" s="12" t="s">
        <v>1551</v>
      </c>
      <c r="G831" s="12" t="s">
        <v>1512</v>
      </c>
      <c r="H831" s="12" t="s">
        <v>1552</v>
      </c>
      <c r="I831" s="12">
        <v>51.776510000000002</v>
      </c>
      <c r="J831" s="34">
        <v>-96.864080000000001</v>
      </c>
      <c r="K831" s="12" t="s">
        <v>41</v>
      </c>
      <c r="L831" s="12" t="s">
        <v>28</v>
      </c>
      <c r="N831" s="12">
        <v>69.167000000000002</v>
      </c>
      <c r="O831" s="12" t="s">
        <v>1516</v>
      </c>
      <c r="P831" s="12">
        <v>69.167000000000002</v>
      </c>
      <c r="Q831" s="12" t="s">
        <v>46</v>
      </c>
    </row>
    <row r="832" spans="1:17" x14ac:dyDescent="0.35">
      <c r="A832" s="12">
        <v>60</v>
      </c>
      <c r="B832" s="12" t="s">
        <v>1509</v>
      </c>
      <c r="C832" s="12">
        <v>2017</v>
      </c>
      <c r="D832" s="12" t="s">
        <v>663</v>
      </c>
      <c r="E832" s="12" t="s">
        <v>1510</v>
      </c>
      <c r="F832" s="12" t="s">
        <v>1553</v>
      </c>
      <c r="G832" s="12" t="s">
        <v>1512</v>
      </c>
      <c r="H832" s="12" t="s">
        <v>1554</v>
      </c>
      <c r="I832" s="12">
        <v>51.776510000000002</v>
      </c>
      <c r="J832" s="34">
        <v>-96.864080000000001</v>
      </c>
      <c r="K832" s="12" t="s">
        <v>41</v>
      </c>
      <c r="L832" s="12" t="s">
        <v>28</v>
      </c>
      <c r="N832" s="12">
        <v>98.084000000000003</v>
      </c>
      <c r="O832" s="12" t="s">
        <v>1516</v>
      </c>
      <c r="P832" s="12">
        <v>98.084000000000003</v>
      </c>
      <c r="Q832" s="12" t="s">
        <v>46</v>
      </c>
    </row>
    <row r="833" spans="1:18" x14ac:dyDescent="0.35">
      <c r="A833" s="12">
        <v>60</v>
      </c>
      <c r="B833" s="12" t="s">
        <v>1509</v>
      </c>
      <c r="C833" s="12">
        <v>2017</v>
      </c>
      <c r="D833" s="12" t="s">
        <v>663</v>
      </c>
      <c r="E833" s="12" t="s">
        <v>1510</v>
      </c>
      <c r="F833" s="12" t="s">
        <v>1555</v>
      </c>
      <c r="G833" s="12" t="s">
        <v>1512</v>
      </c>
      <c r="H833" s="12" t="s">
        <v>1556</v>
      </c>
      <c r="I833" s="12">
        <v>52.174579999999999</v>
      </c>
      <c r="J833" s="34">
        <v>-97.851560000000006</v>
      </c>
      <c r="K833" s="12" t="s">
        <v>41</v>
      </c>
      <c r="L833" s="12" t="s">
        <v>28</v>
      </c>
      <c r="N833" s="12">
        <v>249.208</v>
      </c>
      <c r="O833" s="12" t="s">
        <v>1516</v>
      </c>
      <c r="P833" s="12">
        <v>249.208</v>
      </c>
      <c r="Q833" s="12" t="s">
        <v>46</v>
      </c>
    </row>
    <row r="834" spans="1:18" x14ac:dyDescent="0.35">
      <c r="A834" s="12">
        <v>60</v>
      </c>
      <c r="B834" s="12" t="s">
        <v>1509</v>
      </c>
      <c r="C834" s="12">
        <v>2017</v>
      </c>
      <c r="D834" s="12" t="s">
        <v>663</v>
      </c>
      <c r="E834" s="12" t="s">
        <v>1510</v>
      </c>
      <c r="F834" s="12" t="s">
        <v>1557</v>
      </c>
      <c r="G834" s="12" t="s">
        <v>1512</v>
      </c>
      <c r="H834" s="12" t="s">
        <v>1558</v>
      </c>
      <c r="I834" s="12">
        <v>52.174579999999999</v>
      </c>
      <c r="J834" s="34">
        <v>-97.851560000000006</v>
      </c>
      <c r="K834" s="12" t="s">
        <v>41</v>
      </c>
      <c r="L834" s="12" t="s">
        <v>28</v>
      </c>
      <c r="N834" s="12">
        <v>262.43599999999998</v>
      </c>
      <c r="O834" s="12" t="s">
        <v>1516</v>
      </c>
      <c r="P834" s="12">
        <v>262.43599999999998</v>
      </c>
      <c r="Q834" s="12" t="s">
        <v>46</v>
      </c>
    </row>
    <row r="835" spans="1:18" x14ac:dyDescent="0.35">
      <c r="A835" s="12">
        <v>60</v>
      </c>
      <c r="B835" s="12" t="s">
        <v>1509</v>
      </c>
      <c r="C835" s="12">
        <v>2017</v>
      </c>
      <c r="D835" s="12" t="s">
        <v>663</v>
      </c>
      <c r="E835" s="12" t="s">
        <v>1510</v>
      </c>
      <c r="F835" s="12" t="s">
        <v>1559</v>
      </c>
      <c r="G835" s="12" t="s">
        <v>1512</v>
      </c>
      <c r="H835" s="12" t="s">
        <v>1560</v>
      </c>
      <c r="I835" s="12">
        <v>52.174579999999999</v>
      </c>
      <c r="J835" s="34">
        <v>-97.851560000000006</v>
      </c>
      <c r="K835" s="12" t="s">
        <v>41</v>
      </c>
      <c r="L835" s="12" t="s">
        <v>28</v>
      </c>
      <c r="N835" s="12">
        <v>221.90199999999999</v>
      </c>
      <c r="O835" s="12" t="s">
        <v>1516</v>
      </c>
      <c r="P835" s="12">
        <v>221.90199999999999</v>
      </c>
      <c r="Q835" s="12" t="s">
        <v>46</v>
      </c>
    </row>
    <row r="836" spans="1:18" x14ac:dyDescent="0.35">
      <c r="A836" s="12">
        <v>60</v>
      </c>
      <c r="B836" s="12" t="s">
        <v>1509</v>
      </c>
      <c r="C836" s="12">
        <v>2017</v>
      </c>
      <c r="D836" s="12" t="s">
        <v>663</v>
      </c>
      <c r="E836" s="12" t="s">
        <v>1510</v>
      </c>
      <c r="F836" s="12" t="s">
        <v>1561</v>
      </c>
      <c r="G836" s="12" t="s">
        <v>1512</v>
      </c>
      <c r="H836" s="12" t="s">
        <v>1562</v>
      </c>
      <c r="I836" s="12">
        <v>52.899070000000002</v>
      </c>
      <c r="J836" s="35">
        <v>-98.242649999999998</v>
      </c>
      <c r="K836" s="12" t="s">
        <v>41</v>
      </c>
      <c r="L836" s="12" t="s">
        <v>28</v>
      </c>
      <c r="N836" s="12">
        <v>225.852</v>
      </c>
      <c r="O836" s="12" t="s">
        <v>1516</v>
      </c>
      <c r="P836" s="12">
        <v>225.852</v>
      </c>
      <c r="Q836" s="12" t="s">
        <v>46</v>
      </c>
    </row>
    <row r="837" spans="1:18" x14ac:dyDescent="0.35">
      <c r="A837" s="12">
        <v>60</v>
      </c>
      <c r="B837" s="12" t="s">
        <v>1509</v>
      </c>
      <c r="C837" s="12">
        <v>2017</v>
      </c>
      <c r="D837" s="12" t="s">
        <v>663</v>
      </c>
      <c r="E837" s="12" t="s">
        <v>1510</v>
      </c>
      <c r="F837" s="12" t="s">
        <v>1563</v>
      </c>
      <c r="G837" s="12" t="s">
        <v>1512</v>
      </c>
      <c r="H837" s="12" t="s">
        <v>1564</v>
      </c>
      <c r="I837" s="12">
        <v>52.899070000000002</v>
      </c>
      <c r="J837" s="35">
        <v>-98.242649999999998</v>
      </c>
      <c r="K837" s="12" t="s">
        <v>41</v>
      </c>
      <c r="L837" s="12" t="s">
        <v>28</v>
      </c>
      <c r="N837" s="12">
        <v>266.00099999999998</v>
      </c>
      <c r="O837" s="12" t="s">
        <v>1516</v>
      </c>
      <c r="P837" s="12">
        <v>266.00099999999998</v>
      </c>
      <c r="Q837" s="12" t="s">
        <v>46</v>
      </c>
    </row>
    <row r="838" spans="1:18" x14ac:dyDescent="0.35">
      <c r="A838" s="12">
        <v>60</v>
      </c>
      <c r="B838" s="12" t="s">
        <v>1509</v>
      </c>
      <c r="C838" s="12">
        <v>2017</v>
      </c>
      <c r="D838" s="12" t="s">
        <v>663</v>
      </c>
      <c r="E838" s="12" t="s">
        <v>1510</v>
      </c>
      <c r="F838" s="12" t="s">
        <v>1565</v>
      </c>
      <c r="G838" s="12" t="s">
        <v>1512</v>
      </c>
      <c r="H838" s="12" t="s">
        <v>1566</v>
      </c>
      <c r="I838" s="12">
        <v>52.899070000000002</v>
      </c>
      <c r="J838" s="35">
        <v>-98.242649999999998</v>
      </c>
      <c r="K838" s="12" t="s">
        <v>41</v>
      </c>
      <c r="L838" s="12" t="s">
        <v>28</v>
      </c>
      <c r="N838" s="12">
        <v>293.44900000000001</v>
      </c>
      <c r="O838" s="12" t="s">
        <v>1516</v>
      </c>
      <c r="P838" s="12">
        <v>293.44900000000001</v>
      </c>
      <c r="Q838" s="12" t="s">
        <v>46</v>
      </c>
    </row>
    <row r="839" spans="1:18" x14ac:dyDescent="0.35">
      <c r="A839" s="12">
        <v>60</v>
      </c>
      <c r="B839" s="12" t="s">
        <v>1509</v>
      </c>
      <c r="C839" s="12">
        <v>2017</v>
      </c>
      <c r="D839" s="12" t="s">
        <v>663</v>
      </c>
      <c r="E839" s="12" t="s">
        <v>1510</v>
      </c>
      <c r="F839" s="12" t="s">
        <v>1567</v>
      </c>
      <c r="G839" s="12" t="s">
        <v>1512</v>
      </c>
      <c r="H839" s="12" t="s">
        <v>1568</v>
      </c>
      <c r="I839" s="12">
        <v>53.21349</v>
      </c>
      <c r="J839" s="34">
        <v>-99.233450000000005</v>
      </c>
      <c r="K839" s="12" t="s">
        <v>41</v>
      </c>
      <c r="L839" s="12" t="s">
        <v>28</v>
      </c>
      <c r="N839" s="12">
        <v>231.239</v>
      </c>
      <c r="O839" s="12" t="s">
        <v>1516</v>
      </c>
      <c r="P839" s="12">
        <v>231.239</v>
      </c>
      <c r="Q839" s="12" t="s">
        <v>46</v>
      </c>
    </row>
    <row r="840" spans="1:18" x14ac:dyDescent="0.35">
      <c r="A840" s="12">
        <v>60</v>
      </c>
      <c r="B840" s="12" t="s">
        <v>1509</v>
      </c>
      <c r="C840" s="12">
        <v>2017</v>
      </c>
      <c r="D840" s="12" t="s">
        <v>663</v>
      </c>
      <c r="E840" s="12" t="s">
        <v>1510</v>
      </c>
      <c r="F840" s="12" t="s">
        <v>1569</v>
      </c>
      <c r="G840" s="12" t="s">
        <v>1512</v>
      </c>
      <c r="H840" s="12" t="s">
        <v>1570</v>
      </c>
      <c r="I840" s="12">
        <v>53.21349</v>
      </c>
      <c r="J840" s="34">
        <v>-99.233450000000005</v>
      </c>
      <c r="K840" s="12" t="s">
        <v>41</v>
      </c>
      <c r="L840" s="12" t="s">
        <v>28</v>
      </c>
      <c r="N840" s="12">
        <v>191.59800000000001</v>
      </c>
      <c r="O840" s="12" t="s">
        <v>1516</v>
      </c>
      <c r="P840" s="12">
        <v>191.59800000000001</v>
      </c>
      <c r="Q840" s="12" t="s">
        <v>46</v>
      </c>
    </row>
    <row r="841" spans="1:18" x14ac:dyDescent="0.35">
      <c r="A841" s="12">
        <v>60</v>
      </c>
      <c r="B841" s="12" t="s">
        <v>1509</v>
      </c>
      <c r="C841" s="12">
        <v>2017</v>
      </c>
      <c r="D841" s="12" t="s">
        <v>663</v>
      </c>
      <c r="E841" s="12" t="s">
        <v>1510</v>
      </c>
      <c r="F841" s="12" t="s">
        <v>1571</v>
      </c>
      <c r="G841" s="12" t="s">
        <v>1512</v>
      </c>
      <c r="H841" s="12" t="s">
        <v>1572</v>
      </c>
      <c r="I841" s="12">
        <v>53.21349</v>
      </c>
      <c r="J841" s="34">
        <v>-99.233450000000005</v>
      </c>
      <c r="K841" s="12" t="s">
        <v>41</v>
      </c>
      <c r="L841" s="12" t="s">
        <v>28</v>
      </c>
      <c r="N841" s="12">
        <v>186.27600000000001</v>
      </c>
      <c r="O841" s="12" t="s">
        <v>1516</v>
      </c>
      <c r="P841" s="12">
        <v>186.27600000000001</v>
      </c>
      <c r="Q841" s="12" t="s">
        <v>46</v>
      </c>
    </row>
    <row r="842" spans="1:18" x14ac:dyDescent="0.35">
      <c r="A842" s="12">
        <v>60</v>
      </c>
      <c r="B842" s="12" t="s">
        <v>1509</v>
      </c>
      <c r="C842" s="12">
        <v>2017</v>
      </c>
      <c r="D842" s="12" t="s">
        <v>663</v>
      </c>
      <c r="E842" s="12" t="s">
        <v>1510</v>
      </c>
      <c r="F842" s="12" t="s">
        <v>1573</v>
      </c>
      <c r="G842" s="12" t="s">
        <v>1512</v>
      </c>
      <c r="H842" s="12" t="s">
        <v>1574</v>
      </c>
      <c r="I842" s="34">
        <v>53.382080000000002</v>
      </c>
      <c r="J842" s="34">
        <v>-98.442350000000005</v>
      </c>
      <c r="K842" s="12" t="s">
        <v>41</v>
      </c>
      <c r="L842" s="12" t="s">
        <v>28</v>
      </c>
      <c r="N842" s="12">
        <v>193.15299999999999</v>
      </c>
      <c r="O842" s="12" t="s">
        <v>1516</v>
      </c>
      <c r="P842" s="12">
        <v>193.15299999999999</v>
      </c>
      <c r="Q842" s="12" t="s">
        <v>46</v>
      </c>
    </row>
    <row r="843" spans="1:18" x14ac:dyDescent="0.35">
      <c r="A843" s="12">
        <v>60</v>
      </c>
      <c r="B843" s="12" t="s">
        <v>1509</v>
      </c>
      <c r="C843" s="12">
        <v>2017</v>
      </c>
      <c r="D843" s="12" t="s">
        <v>663</v>
      </c>
      <c r="E843" s="12" t="s">
        <v>1510</v>
      </c>
      <c r="F843" s="12" t="s">
        <v>1575</v>
      </c>
      <c r="G843" s="12" t="s">
        <v>1512</v>
      </c>
      <c r="H843" s="12" t="s">
        <v>1576</v>
      </c>
      <c r="I843" s="34">
        <v>53.382080000000002</v>
      </c>
      <c r="J843" s="34">
        <v>-98.442350000000005</v>
      </c>
      <c r="K843" s="12" t="s">
        <v>41</v>
      </c>
      <c r="L843" s="12" t="s">
        <v>28</v>
      </c>
      <c r="N843" s="12">
        <v>184.941</v>
      </c>
      <c r="O843" s="12" t="s">
        <v>1516</v>
      </c>
      <c r="P843" s="12">
        <v>184.941</v>
      </c>
      <c r="Q843" s="12" t="s">
        <v>46</v>
      </c>
    </row>
    <row r="844" spans="1:18" x14ac:dyDescent="0.35">
      <c r="A844" s="12">
        <v>60</v>
      </c>
      <c r="B844" s="12" t="s">
        <v>1509</v>
      </c>
      <c r="C844" s="12">
        <v>2017</v>
      </c>
      <c r="D844" s="12" t="s">
        <v>663</v>
      </c>
      <c r="E844" s="12" t="s">
        <v>1510</v>
      </c>
      <c r="F844" s="12" t="s">
        <v>1577</v>
      </c>
      <c r="G844" s="12" t="s">
        <v>1512</v>
      </c>
      <c r="H844" s="12" t="s">
        <v>1578</v>
      </c>
      <c r="I844" s="34">
        <v>53.382080000000002</v>
      </c>
      <c r="J844" s="34">
        <v>-98.442350000000005</v>
      </c>
      <c r="K844" s="12" t="s">
        <v>41</v>
      </c>
      <c r="L844" s="12" t="s">
        <v>28</v>
      </c>
      <c r="N844" s="12">
        <v>169.56200000000001</v>
      </c>
      <c r="O844" s="12" t="s">
        <v>1516</v>
      </c>
      <c r="P844" s="12">
        <v>169.56200000000001</v>
      </c>
      <c r="Q844" s="12" t="s">
        <v>46</v>
      </c>
    </row>
    <row r="845" spans="1:18" x14ac:dyDescent="0.35">
      <c r="A845" s="12">
        <v>60</v>
      </c>
      <c r="B845" s="12" t="s">
        <v>1509</v>
      </c>
      <c r="C845" s="12">
        <v>2017</v>
      </c>
      <c r="D845" s="12" t="s">
        <v>663</v>
      </c>
      <c r="E845" s="12" t="s">
        <v>1510</v>
      </c>
      <c r="F845" s="12" t="s">
        <v>1579</v>
      </c>
      <c r="G845" s="12" t="s">
        <v>1512</v>
      </c>
      <c r="H845" s="12" t="s">
        <v>1580</v>
      </c>
      <c r="I845" s="12">
        <v>53.612859999999998</v>
      </c>
      <c r="J845" s="34">
        <v>-97.964579999999998</v>
      </c>
      <c r="K845" s="12" t="s">
        <v>41</v>
      </c>
      <c r="L845" s="12" t="s">
        <v>28</v>
      </c>
      <c r="N845" s="12">
        <v>748.02700000000004</v>
      </c>
      <c r="O845" s="12" t="s">
        <v>1516</v>
      </c>
      <c r="P845" s="12">
        <v>748.02700000000004</v>
      </c>
      <c r="Q845" s="12" t="s">
        <v>46</v>
      </c>
    </row>
    <row r="846" spans="1:18" x14ac:dyDescent="0.35">
      <c r="A846" s="12">
        <v>60</v>
      </c>
      <c r="B846" s="12" t="s">
        <v>1509</v>
      </c>
      <c r="C846" s="12">
        <v>2017</v>
      </c>
      <c r="D846" s="12" t="s">
        <v>663</v>
      </c>
      <c r="E846" s="12" t="s">
        <v>1510</v>
      </c>
      <c r="F846" s="12" t="s">
        <v>1581</v>
      </c>
      <c r="G846" s="12" t="s">
        <v>1512</v>
      </c>
      <c r="H846" s="12" t="s">
        <v>1582</v>
      </c>
      <c r="I846" s="12">
        <v>53.612859999999998</v>
      </c>
      <c r="J846" s="34">
        <v>-97.964579999999998</v>
      </c>
      <c r="K846" s="12" t="s">
        <v>41</v>
      </c>
      <c r="L846" s="12" t="s">
        <v>28</v>
      </c>
      <c r="N846" s="12">
        <v>140.81399999999999</v>
      </c>
      <c r="O846" s="12" t="s">
        <v>1516</v>
      </c>
      <c r="P846" s="12">
        <v>140.81399999999999</v>
      </c>
      <c r="Q846" s="12" t="s">
        <v>46</v>
      </c>
    </row>
    <row r="847" spans="1:18" x14ac:dyDescent="0.35">
      <c r="A847" s="12">
        <v>60</v>
      </c>
      <c r="B847" s="12" t="s">
        <v>1509</v>
      </c>
      <c r="C847" s="12">
        <v>2017</v>
      </c>
      <c r="D847" s="12" t="s">
        <v>663</v>
      </c>
      <c r="E847" s="12" t="s">
        <v>1510</v>
      </c>
      <c r="F847" s="12" t="s">
        <v>1583</v>
      </c>
      <c r="G847" s="12" t="s">
        <v>1512</v>
      </c>
      <c r="H847" s="12" t="s">
        <v>1584</v>
      </c>
      <c r="I847" s="12">
        <v>53.612859999999998</v>
      </c>
      <c r="J847" s="34">
        <v>-97.964579999999998</v>
      </c>
      <c r="K847" s="12" t="s">
        <v>41</v>
      </c>
      <c r="L847" s="12" t="s">
        <v>28</v>
      </c>
      <c r="N847" s="12">
        <v>121.59699999999999</v>
      </c>
      <c r="O847" s="12" t="s">
        <v>1516</v>
      </c>
      <c r="P847" s="12">
        <v>121.59699999999999</v>
      </c>
      <c r="Q847" s="12" t="s">
        <v>46</v>
      </c>
    </row>
    <row r="848" spans="1:18" x14ac:dyDescent="0.35">
      <c r="A848" s="12">
        <v>61</v>
      </c>
      <c r="B848" s="19" t="s">
        <v>1585</v>
      </c>
      <c r="C848" s="19">
        <v>2024</v>
      </c>
      <c r="D848" s="19" t="s">
        <v>1586</v>
      </c>
      <c r="E848" s="13" t="s">
        <v>1587</v>
      </c>
      <c r="F848" s="12" t="s">
        <v>1588</v>
      </c>
      <c r="G848" s="12" t="s">
        <v>161</v>
      </c>
      <c r="H848" s="12" t="s">
        <v>1589</v>
      </c>
      <c r="I848" s="24">
        <v>56.549523999999998</v>
      </c>
      <c r="J848" s="12">
        <v>-76.555901000000006</v>
      </c>
      <c r="K848" s="12" t="s">
        <v>103</v>
      </c>
      <c r="L848" s="12" t="s">
        <v>163</v>
      </c>
      <c r="M848" s="12" t="s">
        <v>2204</v>
      </c>
      <c r="N848" s="12">
        <v>0.95999999999999908</v>
      </c>
      <c r="O848" s="12" t="s">
        <v>1592</v>
      </c>
      <c r="P848" s="12">
        <v>0.95999999999999908</v>
      </c>
      <c r="Q848" s="12" t="s">
        <v>1593</v>
      </c>
      <c r="R848" s="12" t="s">
        <v>1594</v>
      </c>
    </row>
    <row r="849" spans="1:28" x14ac:dyDescent="0.35">
      <c r="A849" s="12">
        <v>61</v>
      </c>
      <c r="B849" s="19" t="s">
        <v>1585</v>
      </c>
      <c r="C849" s="19">
        <v>2024</v>
      </c>
      <c r="D849" s="19" t="s">
        <v>1586</v>
      </c>
      <c r="E849" s="13" t="s">
        <v>1587</v>
      </c>
      <c r="F849" s="12" t="s">
        <v>1588</v>
      </c>
      <c r="G849" s="12" t="s">
        <v>161</v>
      </c>
      <c r="H849" s="12" t="s">
        <v>1589</v>
      </c>
      <c r="I849" s="24">
        <v>56.536265</v>
      </c>
      <c r="J849" s="12">
        <v>-76.630706000000004</v>
      </c>
      <c r="K849" s="12" t="s">
        <v>103</v>
      </c>
      <c r="L849" s="12" t="s">
        <v>163</v>
      </c>
      <c r="M849" s="12" t="s">
        <v>2204</v>
      </c>
      <c r="N849" s="12">
        <v>1.8784732824427441</v>
      </c>
      <c r="O849" s="12" t="s">
        <v>1592</v>
      </c>
      <c r="P849" s="12">
        <v>1.8784732824427441</v>
      </c>
      <c r="Q849" s="12" t="s">
        <v>1593</v>
      </c>
      <c r="R849" s="12" t="s">
        <v>1594</v>
      </c>
    </row>
    <row r="850" spans="1:28" x14ac:dyDescent="0.35">
      <c r="A850" s="12">
        <v>62</v>
      </c>
      <c r="B850" s="12" t="s">
        <v>1595</v>
      </c>
      <c r="C850" s="12">
        <v>2025</v>
      </c>
      <c r="D850" s="12" t="s">
        <v>1596</v>
      </c>
      <c r="E850" s="12" t="s">
        <v>1597</v>
      </c>
      <c r="F850" s="12" t="s">
        <v>1598</v>
      </c>
      <c r="G850" s="12" t="s">
        <v>86</v>
      </c>
      <c r="H850" s="12" t="s">
        <v>1599</v>
      </c>
      <c r="I850" s="12">
        <v>43.289898000000001</v>
      </c>
      <c r="J850" s="16">
        <v>-79.833894000000001</v>
      </c>
      <c r="K850" s="12" t="s">
        <v>41</v>
      </c>
      <c r="L850" s="12" t="s">
        <v>28</v>
      </c>
      <c r="M850" s="12" t="s">
        <v>1601</v>
      </c>
      <c r="N850" s="12">
        <f>AVERAGE(168,67,161)</f>
        <v>132</v>
      </c>
      <c r="O850" s="12" t="s">
        <v>1602</v>
      </c>
      <c r="P850" s="12">
        <v>168</v>
      </c>
      <c r="Q850" s="12" t="s">
        <v>59</v>
      </c>
    </row>
    <row r="851" spans="1:28" x14ac:dyDescent="0.35">
      <c r="A851" s="12">
        <v>63</v>
      </c>
      <c r="B851" s="12" t="s">
        <v>1603</v>
      </c>
      <c r="C851" s="12">
        <v>2025</v>
      </c>
      <c r="D851" s="12" t="s">
        <v>1604</v>
      </c>
      <c r="E851" s="12" t="s">
        <v>1605</v>
      </c>
      <c r="F851" s="12" t="s">
        <v>1606</v>
      </c>
      <c r="G851" s="12" t="s">
        <v>86</v>
      </c>
      <c r="H851" s="12" t="s">
        <v>1607</v>
      </c>
      <c r="I851" s="12">
        <v>43.647444</v>
      </c>
      <c r="J851" s="28">
        <v>-79.521417</v>
      </c>
      <c r="K851" s="12" t="s">
        <v>27</v>
      </c>
      <c r="L851" s="12" t="s">
        <v>28</v>
      </c>
      <c r="M851" s="12" t="s">
        <v>1609</v>
      </c>
      <c r="N851" s="12">
        <v>30.8</v>
      </c>
      <c r="O851" s="12" t="s">
        <v>59</v>
      </c>
      <c r="P851" s="12">
        <v>30.8</v>
      </c>
      <c r="Q851" s="12" t="s">
        <v>59</v>
      </c>
    </row>
    <row r="852" spans="1:28" x14ac:dyDescent="0.35">
      <c r="A852" s="12">
        <v>63</v>
      </c>
      <c r="B852" s="12" t="s">
        <v>1603</v>
      </c>
      <c r="C852" s="12">
        <v>2025</v>
      </c>
      <c r="D852" s="12" t="s">
        <v>1604</v>
      </c>
      <c r="E852" s="12" t="s">
        <v>1605</v>
      </c>
      <c r="F852" s="12" t="s">
        <v>1606</v>
      </c>
      <c r="G852" s="12" t="s">
        <v>1610</v>
      </c>
      <c r="H852" s="12" t="s">
        <v>1611</v>
      </c>
      <c r="I852" s="12">
        <v>61.342500000000001</v>
      </c>
      <c r="J852" s="16">
        <v>-135.6524</v>
      </c>
      <c r="K852" s="12" t="s">
        <v>27</v>
      </c>
      <c r="L852" s="12" t="s">
        <v>28</v>
      </c>
      <c r="M852" s="12" t="s">
        <v>1609</v>
      </c>
      <c r="N852" s="12">
        <v>5.6</v>
      </c>
      <c r="O852" s="12" t="s">
        <v>59</v>
      </c>
      <c r="P852" s="12">
        <v>5.6</v>
      </c>
      <c r="Q852" s="12" t="s">
        <v>59</v>
      </c>
    </row>
    <row r="853" spans="1:28" x14ac:dyDescent="0.35">
      <c r="A853" s="12">
        <v>63</v>
      </c>
      <c r="B853" s="12" t="s">
        <v>1603</v>
      </c>
      <c r="C853" s="12">
        <v>2025</v>
      </c>
      <c r="D853" s="12" t="s">
        <v>1604</v>
      </c>
      <c r="E853" s="12" t="s">
        <v>1605</v>
      </c>
      <c r="F853" s="12" t="s">
        <v>1606</v>
      </c>
      <c r="G853" s="12" t="s">
        <v>1610</v>
      </c>
      <c r="H853" s="12" t="s">
        <v>1612</v>
      </c>
      <c r="I853" s="12">
        <v>60.15878</v>
      </c>
      <c r="J853" s="16">
        <v>-134.68580499999999</v>
      </c>
      <c r="K853" s="12" t="s">
        <v>27</v>
      </c>
      <c r="L853" s="12" t="s">
        <v>28</v>
      </c>
      <c r="M853" s="12" t="s">
        <v>1609</v>
      </c>
      <c r="N853" s="12">
        <v>22.6</v>
      </c>
      <c r="O853" s="12" t="s">
        <v>59</v>
      </c>
      <c r="P853" s="12">
        <v>22.6</v>
      </c>
      <c r="Q853" s="12" t="s">
        <v>59</v>
      </c>
    </row>
    <row r="854" spans="1:28" x14ac:dyDescent="0.35">
      <c r="A854" s="12">
        <v>63</v>
      </c>
      <c r="B854" s="12" t="s">
        <v>1603</v>
      </c>
      <c r="C854" s="12">
        <v>2025</v>
      </c>
      <c r="D854" s="12" t="s">
        <v>1604</v>
      </c>
      <c r="E854" s="12" t="s">
        <v>1605</v>
      </c>
      <c r="F854" s="12" t="s">
        <v>1606</v>
      </c>
      <c r="G854" s="12" t="s">
        <v>471</v>
      </c>
      <c r="H854" s="12" t="s">
        <v>1613</v>
      </c>
      <c r="I854" s="12">
        <v>62.695790000000002</v>
      </c>
      <c r="J854" s="16">
        <v>-116.15860000000001</v>
      </c>
      <c r="K854" s="12" t="s">
        <v>27</v>
      </c>
      <c r="L854" s="12" t="s">
        <v>28</v>
      </c>
      <c r="M854" s="12" t="s">
        <v>1609</v>
      </c>
      <c r="N854" s="12">
        <v>12.4</v>
      </c>
      <c r="O854" s="12" t="s">
        <v>59</v>
      </c>
      <c r="P854" s="12">
        <v>12.4</v>
      </c>
      <c r="Q854" s="12" t="s">
        <v>59</v>
      </c>
    </row>
    <row r="855" spans="1:28" x14ac:dyDescent="0.35">
      <c r="A855" s="12">
        <v>63</v>
      </c>
      <c r="B855" s="12" t="s">
        <v>1603</v>
      </c>
      <c r="C855" s="12">
        <v>2025</v>
      </c>
      <c r="D855" s="12" t="s">
        <v>1604</v>
      </c>
      <c r="E855" s="12" t="s">
        <v>1605</v>
      </c>
      <c r="F855" s="12" t="s">
        <v>1606</v>
      </c>
      <c r="G855" s="12" t="s">
        <v>25</v>
      </c>
      <c r="H855" s="12" t="s">
        <v>1614</v>
      </c>
      <c r="I855" s="12">
        <v>82.508453000000003</v>
      </c>
      <c r="J855" s="16">
        <v>-62.410525999999997</v>
      </c>
      <c r="K855" s="12" t="s">
        <v>27</v>
      </c>
      <c r="L855" s="12" t="s">
        <v>28</v>
      </c>
      <c r="M855" s="12" t="s">
        <v>1609</v>
      </c>
      <c r="N855" s="12">
        <v>17.5</v>
      </c>
      <c r="O855" s="12" t="s">
        <v>59</v>
      </c>
      <c r="P855" s="12">
        <v>17.5</v>
      </c>
      <c r="Q855" s="12" t="s">
        <v>59</v>
      </c>
    </row>
    <row r="856" spans="1:28" x14ac:dyDescent="0.35">
      <c r="A856" s="14">
        <v>64</v>
      </c>
      <c r="B856" s="14" t="s">
        <v>1615</v>
      </c>
      <c r="C856" s="14">
        <v>2024</v>
      </c>
      <c r="D856" s="14" t="s">
        <v>1596</v>
      </c>
      <c r="E856" s="14" t="s">
        <v>1616</v>
      </c>
      <c r="F856" s="14" t="s">
        <v>1617</v>
      </c>
      <c r="G856" s="14" t="s">
        <v>86</v>
      </c>
      <c r="H856" s="14" t="s">
        <v>1618</v>
      </c>
      <c r="I856" s="14">
        <v>43.285155000000003</v>
      </c>
      <c r="J856" s="14">
        <v>-79.797692999999995</v>
      </c>
      <c r="K856" s="14" t="s">
        <v>41</v>
      </c>
      <c r="L856" s="14" t="s">
        <v>28</v>
      </c>
      <c r="M856" s="14" t="s">
        <v>1620</v>
      </c>
      <c r="N856" s="14">
        <f>166000+16600</f>
        <v>182600</v>
      </c>
      <c r="O856" s="14" t="s">
        <v>46</v>
      </c>
      <c r="P856" s="14">
        <f>N856</f>
        <v>182600</v>
      </c>
      <c r="Q856" s="14" t="s">
        <v>46</v>
      </c>
      <c r="R856" s="14"/>
      <c r="S856" s="14"/>
      <c r="T856" s="14"/>
      <c r="U856" s="14"/>
      <c r="V856" s="14"/>
      <c r="W856" s="14"/>
      <c r="X856" s="14"/>
      <c r="Y856" s="14"/>
      <c r="Z856" s="14"/>
      <c r="AA856" s="14"/>
      <c r="AB856" s="14"/>
    </row>
    <row r="857" spans="1:28" x14ac:dyDescent="0.35">
      <c r="A857" s="14">
        <v>64</v>
      </c>
      <c r="B857" s="14" t="s">
        <v>1615</v>
      </c>
      <c r="C857" s="14">
        <v>2024</v>
      </c>
      <c r="D857" s="14" t="s">
        <v>1596</v>
      </c>
      <c r="E857" s="14" t="s">
        <v>1616</v>
      </c>
      <c r="F857" s="14" t="s">
        <v>1617</v>
      </c>
      <c r="G857" s="14" t="s">
        <v>86</v>
      </c>
      <c r="H857" s="14" t="s">
        <v>1622</v>
      </c>
      <c r="I857" s="14">
        <v>43.280206</v>
      </c>
      <c r="J857" s="14">
        <v>-79.873435999999998</v>
      </c>
      <c r="K857" s="14" t="s">
        <v>41</v>
      </c>
      <c r="L857" s="14" t="s">
        <v>28</v>
      </c>
      <c r="M857" s="14" t="s">
        <v>1620</v>
      </c>
      <c r="N857" s="14">
        <f>166000+16600</f>
        <v>182600</v>
      </c>
      <c r="O857" s="14" t="s">
        <v>46</v>
      </c>
      <c r="P857" s="14">
        <f>N857</f>
        <v>182600</v>
      </c>
      <c r="Q857" s="14" t="s">
        <v>46</v>
      </c>
      <c r="R857" s="14"/>
      <c r="S857" s="14"/>
      <c r="T857" s="14"/>
      <c r="U857" s="14"/>
      <c r="V857" s="14"/>
      <c r="W857" s="14"/>
      <c r="X857" s="14"/>
      <c r="Y857" s="14"/>
      <c r="Z857" s="14"/>
      <c r="AA857" s="14"/>
      <c r="AB857" s="14"/>
    </row>
    <row r="858" spans="1:28" x14ac:dyDescent="0.35">
      <c r="A858" s="14">
        <v>64</v>
      </c>
      <c r="B858" s="14" t="s">
        <v>1615</v>
      </c>
      <c r="C858" s="14">
        <v>2024</v>
      </c>
      <c r="D858" s="14" t="s">
        <v>1596</v>
      </c>
      <c r="E858" s="14" t="s">
        <v>1616</v>
      </c>
      <c r="F858" s="14" t="s">
        <v>1617</v>
      </c>
      <c r="G858" s="14" t="s">
        <v>86</v>
      </c>
      <c r="H858" s="14" t="s">
        <v>1622</v>
      </c>
      <c r="I858" s="14">
        <v>43.288334999999996</v>
      </c>
      <c r="J858" s="14">
        <v>-79.836535999999995</v>
      </c>
      <c r="K858" s="14" t="s">
        <v>41</v>
      </c>
      <c r="L858" s="14" t="s">
        <v>28</v>
      </c>
      <c r="M858" s="14" t="s">
        <v>1620</v>
      </c>
      <c r="N858" s="14">
        <f>166000+16600</f>
        <v>182600</v>
      </c>
      <c r="O858" s="14" t="s">
        <v>46</v>
      </c>
      <c r="P858" s="14">
        <f>N858</f>
        <v>182600</v>
      </c>
      <c r="Q858" s="14" t="s">
        <v>46</v>
      </c>
      <c r="R858" s="14"/>
      <c r="S858" s="14"/>
      <c r="T858" s="14"/>
      <c r="U858" s="14"/>
      <c r="V858" s="14"/>
      <c r="W858" s="14"/>
      <c r="X858" s="14"/>
      <c r="Y858" s="14"/>
      <c r="Z858" s="14"/>
      <c r="AA858" s="14"/>
      <c r="AB858" s="14"/>
    </row>
    <row r="859" spans="1:28" x14ac:dyDescent="0.35">
      <c r="A859" s="14">
        <v>64</v>
      </c>
      <c r="B859" s="14" t="s">
        <v>1615</v>
      </c>
      <c r="C859" s="14">
        <v>2024</v>
      </c>
      <c r="D859" s="14" t="s">
        <v>1596</v>
      </c>
      <c r="E859" s="14" t="s">
        <v>1616</v>
      </c>
      <c r="F859" s="14" t="s">
        <v>1617</v>
      </c>
      <c r="G859" s="14" t="s">
        <v>86</v>
      </c>
      <c r="H859" s="14" t="s">
        <v>1623</v>
      </c>
      <c r="I859" s="14">
        <v>43.310436000000003</v>
      </c>
      <c r="J859" s="14">
        <v>-78.996322000000006</v>
      </c>
      <c r="K859" s="14" t="s">
        <v>41</v>
      </c>
      <c r="L859" s="14" t="s">
        <v>28</v>
      </c>
      <c r="M859" s="14" t="s">
        <v>1620</v>
      </c>
      <c r="N859" s="14">
        <f>16000+10200</f>
        <v>26200</v>
      </c>
      <c r="O859" s="14" t="s">
        <v>46</v>
      </c>
      <c r="P859" s="14">
        <f>N859</f>
        <v>26200</v>
      </c>
      <c r="Q859" s="14" t="s">
        <v>46</v>
      </c>
      <c r="R859" s="14"/>
      <c r="S859" s="14"/>
      <c r="T859" s="14"/>
      <c r="U859" s="14"/>
      <c r="V859" s="14"/>
      <c r="W859" s="14"/>
      <c r="X859" s="14"/>
      <c r="Y859" s="14"/>
      <c r="Z859" s="14"/>
      <c r="AA859" s="14"/>
      <c r="AB859" s="14"/>
    </row>
    <row r="860" spans="1:28" x14ac:dyDescent="0.35">
      <c r="A860" s="14">
        <v>64</v>
      </c>
      <c r="B860" s="14" t="s">
        <v>1615</v>
      </c>
      <c r="C860" s="14">
        <v>2024</v>
      </c>
      <c r="D860" s="14" t="s">
        <v>1596</v>
      </c>
      <c r="E860" s="14" t="s">
        <v>1616</v>
      </c>
      <c r="F860" s="14" t="s">
        <v>1617</v>
      </c>
      <c r="G860" s="14" t="s">
        <v>86</v>
      </c>
      <c r="H860" s="14" t="s">
        <v>1625</v>
      </c>
      <c r="I860" s="14">
        <v>43.945836999999997</v>
      </c>
      <c r="J860" s="14">
        <v>-78.153439000000006</v>
      </c>
      <c r="K860" s="14" t="s">
        <v>41</v>
      </c>
      <c r="L860" s="14" t="s">
        <v>28</v>
      </c>
      <c r="M860" s="14" t="s">
        <v>1620</v>
      </c>
      <c r="N860" s="14">
        <v>24000</v>
      </c>
      <c r="O860" s="14" t="s">
        <v>46</v>
      </c>
      <c r="P860" s="14">
        <f>N860</f>
        <v>24000</v>
      </c>
      <c r="Q860" s="14" t="s">
        <v>46</v>
      </c>
      <c r="R860" s="14"/>
      <c r="S860" s="14"/>
      <c r="T860" s="14"/>
      <c r="U860" s="14"/>
      <c r="V860" s="14"/>
      <c r="W860" s="14"/>
      <c r="X860" s="14"/>
      <c r="Y860" s="14"/>
      <c r="Z860" s="14"/>
      <c r="AA860" s="14"/>
      <c r="AB860" s="14"/>
    </row>
    <row r="861" spans="1:28" x14ac:dyDescent="0.35">
      <c r="A861" s="12">
        <v>65</v>
      </c>
      <c r="B861" s="12" t="s">
        <v>1626</v>
      </c>
      <c r="C861" s="12">
        <v>2024</v>
      </c>
      <c r="D861" s="12" t="s">
        <v>1627</v>
      </c>
      <c r="E861" s="12" t="s">
        <v>1628</v>
      </c>
      <c r="F861" s="12" t="s">
        <v>432</v>
      </c>
      <c r="G861" s="12" t="s">
        <v>494</v>
      </c>
      <c r="H861" s="12" t="s">
        <v>1629</v>
      </c>
      <c r="I861" s="12">
        <v>44.384669000000002</v>
      </c>
      <c r="J861" s="12" t="s">
        <v>1630</v>
      </c>
      <c r="K861" s="12" t="s">
        <v>138</v>
      </c>
      <c r="L861" s="12" t="s">
        <v>163</v>
      </c>
      <c r="N861" s="12">
        <v>5.08</v>
      </c>
      <c r="O861" s="12" t="s">
        <v>1633</v>
      </c>
      <c r="P861" s="12">
        <f>N861*10</f>
        <v>50.8</v>
      </c>
      <c r="Q861" s="12" t="s">
        <v>107</v>
      </c>
    </row>
    <row r="862" spans="1:28" x14ac:dyDescent="0.35">
      <c r="A862" s="12">
        <v>65</v>
      </c>
      <c r="B862" s="12" t="s">
        <v>1626</v>
      </c>
      <c r="C862" s="12">
        <v>2024</v>
      </c>
      <c r="D862" s="12" t="s">
        <v>1627</v>
      </c>
      <c r="E862" s="12" t="s">
        <v>1628</v>
      </c>
      <c r="F862" s="12" t="s">
        <v>432</v>
      </c>
      <c r="G862" s="12" t="s">
        <v>494</v>
      </c>
      <c r="H862" s="12" t="s">
        <v>1634</v>
      </c>
      <c r="I862" s="12" t="s">
        <v>1635</v>
      </c>
      <c r="J862" s="12" t="s">
        <v>1636</v>
      </c>
      <c r="K862" s="12" t="s">
        <v>138</v>
      </c>
      <c r="L862" s="12" t="s">
        <v>163</v>
      </c>
      <c r="N862" s="12">
        <v>5.58</v>
      </c>
      <c r="O862" s="12" t="s">
        <v>1633</v>
      </c>
      <c r="P862" s="12">
        <f>N862*10</f>
        <v>55.8</v>
      </c>
      <c r="Q862" s="12" t="s">
        <v>107</v>
      </c>
    </row>
    <row r="863" spans="1:28" x14ac:dyDescent="0.35">
      <c r="A863" s="12">
        <v>67</v>
      </c>
      <c r="B863" s="12" t="s">
        <v>1637</v>
      </c>
      <c r="C863" s="12">
        <v>2024</v>
      </c>
      <c r="D863" s="12" t="s">
        <v>1638</v>
      </c>
      <c r="E863" s="12" t="s">
        <v>1639</v>
      </c>
      <c r="F863" s="12" t="s">
        <v>1640</v>
      </c>
      <c r="G863" s="12" t="s">
        <v>86</v>
      </c>
      <c r="H863" s="12" t="s">
        <v>1641</v>
      </c>
      <c r="I863" s="12">
        <v>43.754778999999999</v>
      </c>
      <c r="J863" s="16">
        <v>-78.966153000000006</v>
      </c>
      <c r="K863" s="12" t="s">
        <v>103</v>
      </c>
      <c r="L863" s="12" t="s">
        <v>28</v>
      </c>
      <c r="N863" s="12">
        <v>118.8</v>
      </c>
      <c r="O863" s="12" t="s">
        <v>1415</v>
      </c>
      <c r="P863" s="12">
        <f>N863*1000</f>
        <v>118800</v>
      </c>
      <c r="Q863" s="12" t="s">
        <v>107</v>
      </c>
    </row>
    <row r="864" spans="1:28" x14ac:dyDescent="0.35">
      <c r="A864" s="12">
        <v>67</v>
      </c>
      <c r="B864" s="12" t="s">
        <v>1637</v>
      </c>
      <c r="C864" s="12">
        <v>2024</v>
      </c>
      <c r="D864" s="12" t="s">
        <v>1638</v>
      </c>
      <c r="E864" s="12" t="s">
        <v>1639</v>
      </c>
      <c r="F864" s="12" t="s">
        <v>1640</v>
      </c>
      <c r="G864" s="12" t="s">
        <v>86</v>
      </c>
      <c r="H864" s="12" t="s">
        <v>1643</v>
      </c>
      <c r="I864" s="12">
        <v>44.722881000000001</v>
      </c>
      <c r="J864" s="16">
        <v>-81.778653000000006</v>
      </c>
      <c r="K864" s="12" t="s">
        <v>103</v>
      </c>
      <c r="L864" s="12" t="s">
        <v>28</v>
      </c>
      <c r="N864" s="12">
        <v>109.3</v>
      </c>
      <c r="O864" s="12" t="s">
        <v>1415</v>
      </c>
      <c r="P864" s="12">
        <f>N864*1000</f>
        <v>109300</v>
      </c>
      <c r="Q864" s="12" t="s">
        <v>107</v>
      </c>
    </row>
    <row r="865" spans="1:18" x14ac:dyDescent="0.35">
      <c r="A865" s="12">
        <v>68</v>
      </c>
      <c r="B865" s="19" t="s">
        <v>1644</v>
      </c>
      <c r="C865" s="19">
        <v>2022</v>
      </c>
      <c r="D865" s="19" t="s">
        <v>1645</v>
      </c>
      <c r="E865" s="13" t="s">
        <v>1646</v>
      </c>
      <c r="F865" s="12" t="s">
        <v>1647</v>
      </c>
      <c r="G865" s="14" t="s">
        <v>86</v>
      </c>
      <c r="H865" s="14" t="s">
        <v>1649</v>
      </c>
      <c r="I865" s="12">
        <v>45.350557000000002</v>
      </c>
      <c r="J865" s="12">
        <v>-75.816085000000001</v>
      </c>
      <c r="K865" s="12" t="s">
        <v>41</v>
      </c>
      <c r="L865" s="12" t="s">
        <v>223</v>
      </c>
      <c r="N865" s="12">
        <v>4.0000000000000002E-4</v>
      </c>
      <c r="O865" s="12" t="s">
        <v>59</v>
      </c>
      <c r="P865" s="12">
        <v>4.0000000000000002E-4</v>
      </c>
      <c r="Q865" s="12" t="s">
        <v>59</v>
      </c>
    </row>
    <row r="866" spans="1:18" x14ac:dyDescent="0.35">
      <c r="A866" s="12">
        <v>68</v>
      </c>
      <c r="B866" s="19" t="s">
        <v>1644</v>
      </c>
      <c r="C866" s="19">
        <v>2022</v>
      </c>
      <c r="D866" s="19" t="s">
        <v>1645</v>
      </c>
      <c r="E866" s="13" t="s">
        <v>1646</v>
      </c>
      <c r="F866" s="12" t="s">
        <v>1647</v>
      </c>
      <c r="G866" s="14" t="s">
        <v>86</v>
      </c>
      <c r="H866" s="14" t="s">
        <v>1650</v>
      </c>
      <c r="I866" s="12">
        <v>45.350557000000002</v>
      </c>
      <c r="J866" s="12">
        <v>-75.816085000000001</v>
      </c>
      <c r="K866" s="12" t="s">
        <v>41</v>
      </c>
      <c r="L866" s="12" t="s">
        <v>223</v>
      </c>
      <c r="N866" s="12">
        <v>4.0000000000000002E-4</v>
      </c>
      <c r="O866" s="12" t="s">
        <v>59</v>
      </c>
      <c r="P866" s="12">
        <v>4.0000000000000002E-4</v>
      </c>
      <c r="Q866" s="12" t="s">
        <v>59</v>
      </c>
    </row>
    <row r="867" spans="1:18" x14ac:dyDescent="0.35">
      <c r="A867" s="12">
        <v>68</v>
      </c>
      <c r="B867" s="19" t="s">
        <v>1644</v>
      </c>
      <c r="C867" s="19">
        <v>2022</v>
      </c>
      <c r="D867" s="19" t="s">
        <v>1645</v>
      </c>
      <c r="E867" s="13" t="s">
        <v>1646</v>
      </c>
      <c r="F867" s="12" t="s">
        <v>1647</v>
      </c>
      <c r="G867" s="14" t="s">
        <v>86</v>
      </c>
      <c r="H867" s="14" t="s">
        <v>1651</v>
      </c>
      <c r="I867" s="12">
        <v>45.350557000000002</v>
      </c>
      <c r="J867" s="12">
        <v>-75.816085000000001</v>
      </c>
      <c r="K867" s="12" t="s">
        <v>41</v>
      </c>
      <c r="L867" s="12" t="s">
        <v>223</v>
      </c>
      <c r="N867" s="12">
        <v>0.02</v>
      </c>
      <c r="O867" s="12" t="s">
        <v>59</v>
      </c>
      <c r="P867" s="12">
        <v>0.02</v>
      </c>
      <c r="Q867" s="12" t="s">
        <v>59</v>
      </c>
    </row>
    <row r="868" spans="1:18" x14ac:dyDescent="0.35">
      <c r="A868" s="12">
        <v>68</v>
      </c>
      <c r="B868" s="19" t="s">
        <v>1644</v>
      </c>
      <c r="C868" s="19">
        <v>2022</v>
      </c>
      <c r="D868" s="19" t="s">
        <v>1645</v>
      </c>
      <c r="E868" s="13" t="s">
        <v>1646</v>
      </c>
      <c r="F868" s="12" t="s">
        <v>1647</v>
      </c>
      <c r="G868" s="14" t="s">
        <v>86</v>
      </c>
      <c r="H868" s="14" t="s">
        <v>1652</v>
      </c>
      <c r="I868" s="12">
        <v>45.350557000000002</v>
      </c>
      <c r="J868" s="12">
        <v>-75.816085000000001</v>
      </c>
      <c r="K868" s="12" t="s">
        <v>41</v>
      </c>
      <c r="L868" s="12" t="s">
        <v>223</v>
      </c>
      <c r="N868" s="12">
        <v>2.6499999999999999E-2</v>
      </c>
      <c r="O868" s="12" t="s">
        <v>59</v>
      </c>
      <c r="P868" s="12">
        <v>2.6499999999999999E-2</v>
      </c>
      <c r="Q868" s="12" t="s">
        <v>59</v>
      </c>
    </row>
    <row r="869" spans="1:18" x14ac:dyDescent="0.35">
      <c r="A869" s="12">
        <v>68</v>
      </c>
      <c r="B869" s="19" t="s">
        <v>1644</v>
      </c>
      <c r="C869" s="19">
        <v>2022</v>
      </c>
      <c r="D869" s="19" t="s">
        <v>1645</v>
      </c>
      <c r="E869" s="13" t="s">
        <v>1646</v>
      </c>
      <c r="F869" s="12" t="s">
        <v>1647</v>
      </c>
      <c r="G869" s="14" t="s">
        <v>86</v>
      </c>
      <c r="H869" s="14" t="s">
        <v>1653</v>
      </c>
      <c r="I869" s="12">
        <v>45.350557000000002</v>
      </c>
      <c r="J869" s="12">
        <v>-75.816085000000001</v>
      </c>
      <c r="K869" s="12" t="s">
        <v>41</v>
      </c>
      <c r="L869" s="12" t="s">
        <v>223</v>
      </c>
      <c r="N869" s="12">
        <v>5.2600000000000001E-2</v>
      </c>
      <c r="O869" s="12" t="s">
        <v>59</v>
      </c>
      <c r="P869" s="12">
        <v>5.2600000000000001E-2</v>
      </c>
      <c r="Q869" s="12" t="s">
        <v>59</v>
      </c>
    </row>
    <row r="870" spans="1:18" x14ac:dyDescent="0.35">
      <c r="A870" s="12">
        <v>68</v>
      </c>
      <c r="B870" s="19" t="s">
        <v>1644</v>
      </c>
      <c r="C870" s="19">
        <v>2022</v>
      </c>
      <c r="D870" s="19" t="s">
        <v>1645</v>
      </c>
      <c r="E870" s="13" t="s">
        <v>1646</v>
      </c>
      <c r="F870" s="12" t="s">
        <v>1647</v>
      </c>
      <c r="G870" s="14" t="s">
        <v>86</v>
      </c>
      <c r="H870" s="14" t="s">
        <v>1654</v>
      </c>
      <c r="I870" s="12">
        <v>45.350557000000002</v>
      </c>
      <c r="J870" s="12">
        <v>-75.816085000000001</v>
      </c>
      <c r="K870" s="12" t="s">
        <v>41</v>
      </c>
      <c r="L870" s="12" t="s">
        <v>223</v>
      </c>
      <c r="N870" s="12">
        <v>5.4000000000000003E-3</v>
      </c>
      <c r="O870" s="12" t="s">
        <v>59</v>
      </c>
      <c r="P870" s="12">
        <v>5.4000000000000003E-3</v>
      </c>
      <c r="Q870" s="12" t="s">
        <v>59</v>
      </c>
    </row>
    <row r="871" spans="1:18" x14ac:dyDescent="0.35">
      <c r="A871" s="12">
        <v>68</v>
      </c>
      <c r="B871" s="19" t="s">
        <v>1644</v>
      </c>
      <c r="C871" s="19">
        <v>2022</v>
      </c>
      <c r="D871" s="19" t="s">
        <v>1645</v>
      </c>
      <c r="E871" s="13" t="s">
        <v>1646</v>
      </c>
      <c r="F871" s="12" t="s">
        <v>1647</v>
      </c>
      <c r="G871" s="14" t="s">
        <v>86</v>
      </c>
      <c r="H871" s="14" t="s">
        <v>1655</v>
      </c>
      <c r="I871" s="12">
        <v>45.350557000000002</v>
      </c>
      <c r="J871" s="12">
        <v>-75.816085000000001</v>
      </c>
      <c r="K871" s="12" t="s">
        <v>41</v>
      </c>
      <c r="L871" s="12" t="s">
        <v>223</v>
      </c>
      <c r="N871" s="12">
        <v>7.0000000000000001E-3</v>
      </c>
      <c r="O871" s="12" t="s">
        <v>59</v>
      </c>
      <c r="P871" s="12">
        <v>7.0000000000000001E-3</v>
      </c>
      <c r="Q871" s="12" t="s">
        <v>59</v>
      </c>
    </row>
    <row r="872" spans="1:18" x14ac:dyDescent="0.35">
      <c r="A872" s="12">
        <v>68</v>
      </c>
      <c r="B872" s="19" t="s">
        <v>1644</v>
      </c>
      <c r="C872" s="19">
        <v>2022</v>
      </c>
      <c r="D872" s="19" t="s">
        <v>1645</v>
      </c>
      <c r="E872" s="13" t="s">
        <v>1646</v>
      </c>
      <c r="F872" s="12" t="s">
        <v>1647</v>
      </c>
      <c r="G872" s="14" t="s">
        <v>86</v>
      </c>
      <c r="H872" s="14" t="s">
        <v>1656</v>
      </c>
      <c r="I872" s="12">
        <v>45.350557000000002</v>
      </c>
      <c r="J872" s="12">
        <v>-75.816085000000001</v>
      </c>
      <c r="K872" s="12" t="s">
        <v>41</v>
      </c>
      <c r="L872" s="12" t="s">
        <v>223</v>
      </c>
      <c r="N872" s="12">
        <v>1.5800000000000002E-2</v>
      </c>
      <c r="O872" s="12" t="s">
        <v>59</v>
      </c>
      <c r="P872" s="12">
        <v>1.5800000000000002E-2</v>
      </c>
      <c r="Q872" s="12" t="s">
        <v>59</v>
      </c>
    </row>
    <row r="873" spans="1:18" x14ac:dyDescent="0.35">
      <c r="A873" s="12">
        <v>68</v>
      </c>
      <c r="B873" s="19" t="s">
        <v>1644</v>
      </c>
      <c r="C873" s="19">
        <v>2022</v>
      </c>
      <c r="D873" s="19" t="s">
        <v>1645</v>
      </c>
      <c r="E873" s="13" t="s">
        <v>1646</v>
      </c>
      <c r="F873" s="12" t="s">
        <v>1647</v>
      </c>
      <c r="G873" s="14" t="s">
        <v>86</v>
      </c>
      <c r="H873" s="14" t="s">
        <v>1657</v>
      </c>
      <c r="I873" s="12">
        <v>45.350557000000002</v>
      </c>
      <c r="J873" s="12">
        <v>-75.816085000000001</v>
      </c>
      <c r="K873" s="12" t="s">
        <v>41</v>
      </c>
      <c r="L873" s="12" t="s">
        <v>223</v>
      </c>
      <c r="N873" s="12">
        <v>5.9999999999999995E-4</v>
      </c>
      <c r="O873" s="12" t="s">
        <v>59</v>
      </c>
      <c r="P873" s="12">
        <v>5.9999999999999995E-4</v>
      </c>
      <c r="Q873" s="12" t="s">
        <v>59</v>
      </c>
    </row>
    <row r="874" spans="1:18" x14ac:dyDescent="0.35">
      <c r="A874" s="12">
        <v>68</v>
      </c>
      <c r="B874" s="19" t="s">
        <v>1644</v>
      </c>
      <c r="C874" s="19">
        <v>2022</v>
      </c>
      <c r="D874" s="19" t="s">
        <v>1645</v>
      </c>
      <c r="E874" s="13" t="s">
        <v>1646</v>
      </c>
      <c r="F874" s="12" t="s">
        <v>1647</v>
      </c>
      <c r="G874" s="14" t="s">
        <v>86</v>
      </c>
      <c r="H874" s="14" t="s">
        <v>1658</v>
      </c>
      <c r="I874" s="12">
        <v>45.350557000000002</v>
      </c>
      <c r="J874" s="12">
        <v>-75.816085000000001</v>
      </c>
      <c r="K874" s="12" t="s">
        <v>41</v>
      </c>
      <c r="L874" s="12" t="s">
        <v>223</v>
      </c>
      <c r="N874" s="12">
        <v>8.0000000000000004E-4</v>
      </c>
      <c r="O874" s="12" t="s">
        <v>59</v>
      </c>
      <c r="P874" s="12">
        <v>8.0000000000000004E-4</v>
      </c>
      <c r="Q874" s="12" t="s">
        <v>59</v>
      </c>
    </row>
    <row r="875" spans="1:18" x14ac:dyDescent="0.35">
      <c r="A875" s="12">
        <v>69</v>
      </c>
      <c r="B875" s="12" t="s">
        <v>1659</v>
      </c>
      <c r="C875" s="12">
        <v>2021</v>
      </c>
      <c r="D875" s="12" t="s">
        <v>1660</v>
      </c>
      <c r="E875" s="12" t="s">
        <v>1661</v>
      </c>
      <c r="F875" s="12" t="s">
        <v>1662</v>
      </c>
      <c r="G875" s="12" t="s">
        <v>39</v>
      </c>
      <c r="H875" s="12" t="s">
        <v>1663</v>
      </c>
      <c r="I875" s="12">
        <v>78.527820000000006</v>
      </c>
      <c r="J875" s="12">
        <v>-130.94309999999999</v>
      </c>
      <c r="K875" s="12" t="s">
        <v>41</v>
      </c>
      <c r="L875" s="12" t="s">
        <v>42</v>
      </c>
      <c r="N875" s="12">
        <v>8.3579524549999995</v>
      </c>
      <c r="O875" s="12" t="s">
        <v>1666</v>
      </c>
      <c r="P875" s="12">
        <f t="shared" ref="P875:P890" si="22">N875/1000</f>
        <v>8.3579524549999996E-3</v>
      </c>
      <c r="Q875" s="12" t="s">
        <v>59</v>
      </c>
      <c r="R875" s="12" t="s">
        <v>1667</v>
      </c>
    </row>
    <row r="876" spans="1:18" x14ac:dyDescent="0.35">
      <c r="A876" s="12">
        <v>69</v>
      </c>
      <c r="B876" s="12" t="s">
        <v>1659</v>
      </c>
      <c r="C876" s="12">
        <v>2021</v>
      </c>
      <c r="D876" s="12" t="s">
        <v>1660</v>
      </c>
      <c r="E876" s="12" t="s">
        <v>1661</v>
      </c>
      <c r="F876" s="12" t="s">
        <v>1662</v>
      </c>
      <c r="G876" s="12" t="s">
        <v>39</v>
      </c>
      <c r="H876" s="12" t="s">
        <v>1663</v>
      </c>
      <c r="I876" s="12">
        <v>70.564300000000003</v>
      </c>
      <c r="J876" s="12">
        <v>-124.98681999999999</v>
      </c>
      <c r="K876" s="12" t="s">
        <v>41</v>
      </c>
      <c r="L876" s="12" t="s">
        <v>42</v>
      </c>
      <c r="N876" s="12">
        <v>6.6386722660000004</v>
      </c>
      <c r="O876" s="12" t="s">
        <v>1666</v>
      </c>
      <c r="P876" s="12">
        <f t="shared" si="22"/>
        <v>6.6386722660000006E-3</v>
      </c>
      <c r="Q876" s="12" t="s">
        <v>59</v>
      </c>
      <c r="R876" s="12" t="s">
        <v>1667</v>
      </c>
    </row>
    <row r="877" spans="1:18" x14ac:dyDescent="0.35">
      <c r="A877" s="12">
        <v>69</v>
      </c>
      <c r="B877" s="12" t="s">
        <v>1659</v>
      </c>
      <c r="C877" s="12">
        <v>2021</v>
      </c>
      <c r="D877" s="12" t="s">
        <v>1660</v>
      </c>
      <c r="E877" s="12" t="s">
        <v>1661</v>
      </c>
      <c r="F877" s="12" t="s">
        <v>1662</v>
      </c>
      <c r="G877" s="12" t="s">
        <v>39</v>
      </c>
      <c r="H877" s="12" t="s">
        <v>1663</v>
      </c>
      <c r="I877" s="12">
        <v>72.990480000000005</v>
      </c>
      <c r="J877" s="12">
        <v>-136.32975999999999</v>
      </c>
      <c r="K877" s="12" t="s">
        <v>41</v>
      </c>
      <c r="L877" s="12" t="s">
        <v>42</v>
      </c>
      <c r="N877" s="12">
        <v>2.651555348</v>
      </c>
      <c r="O877" s="12" t="s">
        <v>1666</v>
      </c>
      <c r="P877" s="12">
        <f t="shared" si="22"/>
        <v>2.6515553480000002E-3</v>
      </c>
      <c r="Q877" s="12" t="s">
        <v>59</v>
      </c>
      <c r="R877" s="12" t="s">
        <v>1667</v>
      </c>
    </row>
    <row r="878" spans="1:18" x14ac:dyDescent="0.35">
      <c r="A878" s="12">
        <v>69</v>
      </c>
      <c r="B878" s="12" t="s">
        <v>1659</v>
      </c>
      <c r="C878" s="12">
        <v>2021</v>
      </c>
      <c r="D878" s="12" t="s">
        <v>1660</v>
      </c>
      <c r="E878" s="12" t="s">
        <v>1661</v>
      </c>
      <c r="F878" s="12" t="s">
        <v>1662</v>
      </c>
      <c r="G878" s="12" t="s">
        <v>39</v>
      </c>
      <c r="H878" s="12" t="s">
        <v>2205</v>
      </c>
      <c r="I878" s="12">
        <v>74.488</v>
      </c>
      <c r="J878" s="12">
        <v>-83.03</v>
      </c>
      <c r="K878" s="12" t="s">
        <v>41</v>
      </c>
      <c r="L878" s="12" t="s">
        <v>42</v>
      </c>
      <c r="N878" s="12">
        <v>84.527114519999998</v>
      </c>
      <c r="O878" s="12" t="s">
        <v>1666</v>
      </c>
      <c r="P878" s="12">
        <f t="shared" si="22"/>
        <v>8.4527114520000002E-2</v>
      </c>
      <c r="Q878" s="12" t="s">
        <v>59</v>
      </c>
      <c r="R878" s="12" t="s">
        <v>1667</v>
      </c>
    </row>
    <row r="879" spans="1:18" x14ac:dyDescent="0.35">
      <c r="A879" s="12">
        <v>69</v>
      </c>
      <c r="B879" s="12" t="s">
        <v>1659</v>
      </c>
      <c r="C879" s="12">
        <v>2021</v>
      </c>
      <c r="D879" s="12" t="s">
        <v>1660</v>
      </c>
      <c r="E879" s="12" t="s">
        <v>1661</v>
      </c>
      <c r="F879" s="12" t="s">
        <v>1662</v>
      </c>
      <c r="G879" s="12" t="s">
        <v>39</v>
      </c>
      <c r="H879" s="12" t="s">
        <v>2205</v>
      </c>
      <c r="I879" s="12">
        <v>74.528000000000006</v>
      </c>
      <c r="J879" s="12">
        <v>-85.447000000000003</v>
      </c>
      <c r="K879" s="12" t="s">
        <v>41</v>
      </c>
      <c r="L879" s="12" t="s">
        <v>42</v>
      </c>
      <c r="N879" s="12">
        <v>64.141667130000002</v>
      </c>
      <c r="O879" s="12" t="s">
        <v>1666</v>
      </c>
      <c r="P879" s="12">
        <f t="shared" si="22"/>
        <v>6.4141667129999996E-2</v>
      </c>
      <c r="Q879" s="12" t="s">
        <v>59</v>
      </c>
      <c r="R879" s="12" t="s">
        <v>1667</v>
      </c>
    </row>
    <row r="880" spans="1:18" x14ac:dyDescent="0.35">
      <c r="A880" s="12">
        <v>69</v>
      </c>
      <c r="B880" s="12" t="s">
        <v>1659</v>
      </c>
      <c r="C880" s="12">
        <v>2021</v>
      </c>
      <c r="D880" s="12" t="s">
        <v>1660</v>
      </c>
      <c r="E880" s="12" t="s">
        <v>1661</v>
      </c>
      <c r="F880" s="12" t="s">
        <v>1662</v>
      </c>
      <c r="G880" s="12" t="s">
        <v>39</v>
      </c>
      <c r="H880" s="12" t="s">
        <v>2205</v>
      </c>
      <c r="I880" s="12">
        <v>74.531000000000006</v>
      </c>
      <c r="J880" s="12">
        <v>-89.036299999999997</v>
      </c>
      <c r="K880" s="12" t="s">
        <v>41</v>
      </c>
      <c r="L880" s="12" t="s">
        <v>42</v>
      </c>
      <c r="N880" s="12">
        <v>78.03743901</v>
      </c>
      <c r="O880" s="12" t="s">
        <v>1666</v>
      </c>
      <c r="P880" s="12">
        <f t="shared" si="22"/>
        <v>7.8037439010000001E-2</v>
      </c>
      <c r="Q880" s="12" t="s">
        <v>59</v>
      </c>
      <c r="R880" s="12" t="s">
        <v>1667</v>
      </c>
    </row>
    <row r="881" spans="1:18" x14ac:dyDescent="0.35">
      <c r="A881" s="12">
        <v>69</v>
      </c>
      <c r="B881" s="12" t="s">
        <v>1659</v>
      </c>
      <c r="C881" s="12">
        <v>2021</v>
      </c>
      <c r="D881" s="12" t="s">
        <v>1660</v>
      </c>
      <c r="E881" s="12" t="s">
        <v>1661</v>
      </c>
      <c r="F881" s="12" t="s">
        <v>1662</v>
      </c>
      <c r="G881" s="12" t="s">
        <v>39</v>
      </c>
      <c r="H881" s="12" t="s">
        <v>2205</v>
      </c>
      <c r="I881" s="12">
        <v>74.703000000000003</v>
      </c>
      <c r="J881" s="12">
        <v>-91.971000000000004</v>
      </c>
      <c r="K881" s="12" t="s">
        <v>41</v>
      </c>
      <c r="L881" s="12" t="s">
        <v>42</v>
      </c>
      <c r="N881" s="12">
        <v>62.322554310000001</v>
      </c>
      <c r="O881" s="12" t="s">
        <v>1666</v>
      </c>
      <c r="P881" s="12">
        <f t="shared" si="22"/>
        <v>6.232255431E-2</v>
      </c>
      <c r="Q881" s="12" t="s">
        <v>59</v>
      </c>
      <c r="R881" s="12" t="s">
        <v>1667</v>
      </c>
    </row>
    <row r="882" spans="1:18" x14ac:dyDescent="0.35">
      <c r="A882" s="12">
        <v>69</v>
      </c>
      <c r="B882" s="12" t="s">
        <v>1659</v>
      </c>
      <c r="C882" s="12">
        <v>2021</v>
      </c>
      <c r="D882" s="12" t="s">
        <v>1660</v>
      </c>
      <c r="E882" s="12" t="s">
        <v>1661</v>
      </c>
      <c r="F882" s="12" t="s">
        <v>1662</v>
      </c>
      <c r="G882" s="12" t="s">
        <v>39</v>
      </c>
      <c r="H882" s="12" t="s">
        <v>2205</v>
      </c>
      <c r="I882" s="12">
        <v>74.733999999999995</v>
      </c>
      <c r="J882" s="12">
        <v>-92.039000000000001</v>
      </c>
      <c r="K882" s="12" t="s">
        <v>41</v>
      </c>
      <c r="L882" s="12" t="s">
        <v>42</v>
      </c>
      <c r="N882" s="12">
        <v>67.697222690000004</v>
      </c>
      <c r="O882" s="12" t="s">
        <v>1666</v>
      </c>
      <c r="P882" s="12">
        <f t="shared" si="22"/>
        <v>6.7697222690000003E-2</v>
      </c>
      <c r="Q882" s="12" t="s">
        <v>59</v>
      </c>
      <c r="R882" s="12" t="s">
        <v>1667</v>
      </c>
    </row>
    <row r="883" spans="1:18" x14ac:dyDescent="0.35">
      <c r="A883" s="12">
        <v>69</v>
      </c>
      <c r="B883" s="12" t="s">
        <v>1659</v>
      </c>
      <c r="C883" s="12">
        <v>2021</v>
      </c>
      <c r="D883" s="12" t="s">
        <v>1660</v>
      </c>
      <c r="E883" s="12" t="s">
        <v>1661</v>
      </c>
      <c r="F883" s="12" t="s">
        <v>1662</v>
      </c>
      <c r="G883" s="12" t="s">
        <v>39</v>
      </c>
      <c r="H883" s="12" t="s">
        <v>2205</v>
      </c>
      <c r="I883" s="12">
        <v>74.016999999999996</v>
      </c>
      <c r="J883" s="12">
        <v>-89.867999999999995</v>
      </c>
      <c r="K883" s="12" t="s">
        <v>41</v>
      </c>
      <c r="L883" s="12" t="s">
        <v>42</v>
      </c>
      <c r="N883" s="12">
        <v>15.714884700000001</v>
      </c>
      <c r="O883" s="12" t="s">
        <v>1666</v>
      </c>
      <c r="P883" s="12">
        <f t="shared" si="22"/>
        <v>1.5714884700000001E-2</v>
      </c>
      <c r="Q883" s="12" t="s">
        <v>59</v>
      </c>
      <c r="R883" s="12" t="s">
        <v>1667</v>
      </c>
    </row>
    <row r="884" spans="1:18" x14ac:dyDescent="0.35">
      <c r="A884" s="12">
        <v>69</v>
      </c>
      <c r="B884" s="12" t="s">
        <v>1659</v>
      </c>
      <c r="C884" s="12">
        <v>2021</v>
      </c>
      <c r="D884" s="12" t="s">
        <v>1660</v>
      </c>
      <c r="E884" s="12" t="s">
        <v>1661</v>
      </c>
      <c r="F884" s="12" t="s">
        <v>1662</v>
      </c>
      <c r="G884" s="12" t="s">
        <v>39</v>
      </c>
      <c r="H884" s="12" t="s">
        <v>2205</v>
      </c>
      <c r="I884" s="12">
        <v>73.504000000000005</v>
      </c>
      <c r="J884" s="12">
        <v>-90.569000000000003</v>
      </c>
      <c r="K884" s="12" t="s">
        <v>41</v>
      </c>
      <c r="L884" s="12" t="s">
        <v>42</v>
      </c>
      <c r="N884" s="12">
        <v>15.714884700000001</v>
      </c>
      <c r="O884" s="12" t="s">
        <v>1666</v>
      </c>
      <c r="P884" s="12">
        <f t="shared" si="22"/>
        <v>1.5714884700000001E-2</v>
      </c>
      <c r="Q884" s="12" t="s">
        <v>59</v>
      </c>
      <c r="R884" s="12" t="s">
        <v>1667</v>
      </c>
    </row>
    <row r="885" spans="1:18" x14ac:dyDescent="0.35">
      <c r="A885" s="12">
        <v>69</v>
      </c>
      <c r="B885" s="12" t="s">
        <v>1659</v>
      </c>
      <c r="C885" s="12">
        <v>2021</v>
      </c>
      <c r="D885" s="12" t="s">
        <v>1660</v>
      </c>
      <c r="E885" s="12" t="s">
        <v>1661</v>
      </c>
      <c r="F885" s="12" t="s">
        <v>1662</v>
      </c>
      <c r="G885" s="12" t="s">
        <v>39</v>
      </c>
      <c r="H885" s="12" t="s">
        <v>2205</v>
      </c>
      <c r="I885" s="12">
        <v>72.006</v>
      </c>
      <c r="J885" s="12">
        <v>-94.215999999999994</v>
      </c>
      <c r="K885" s="12" t="s">
        <v>41</v>
      </c>
      <c r="L885" s="12" t="s">
        <v>42</v>
      </c>
      <c r="N885" s="12">
        <v>204.58611160000001</v>
      </c>
      <c r="O885" s="12" t="s">
        <v>1666</v>
      </c>
      <c r="P885" s="12">
        <f t="shared" si="22"/>
        <v>0.20458611160000001</v>
      </c>
      <c r="Q885" s="12" t="s">
        <v>59</v>
      </c>
      <c r="R885" s="12" t="s">
        <v>1667</v>
      </c>
    </row>
    <row r="886" spans="1:18" x14ac:dyDescent="0.35">
      <c r="A886" s="12">
        <v>69</v>
      </c>
      <c r="B886" s="12" t="s">
        <v>1659</v>
      </c>
      <c r="C886" s="12">
        <v>2021</v>
      </c>
      <c r="D886" s="12" t="s">
        <v>1660</v>
      </c>
      <c r="E886" s="12" t="s">
        <v>1661</v>
      </c>
      <c r="F886" s="12" t="s">
        <v>1662</v>
      </c>
      <c r="G886" s="12" t="s">
        <v>39</v>
      </c>
      <c r="H886" s="12" t="s">
        <v>2205</v>
      </c>
      <c r="I886" s="12">
        <v>71.926000000000002</v>
      </c>
      <c r="J886" s="12">
        <v>-95.626000000000005</v>
      </c>
      <c r="K886" s="12" t="s">
        <v>41</v>
      </c>
      <c r="L886" s="12" t="s">
        <v>42</v>
      </c>
      <c r="N886" s="12">
        <v>28.989220979999999</v>
      </c>
      <c r="O886" s="12" t="s">
        <v>1666</v>
      </c>
      <c r="P886" s="12">
        <f t="shared" si="22"/>
        <v>2.8989220979999997E-2</v>
      </c>
      <c r="Q886" s="12" t="s">
        <v>59</v>
      </c>
      <c r="R886" s="12" t="s">
        <v>1667</v>
      </c>
    </row>
    <row r="887" spans="1:18" x14ac:dyDescent="0.35">
      <c r="A887" s="12">
        <v>69</v>
      </c>
      <c r="B887" s="12" t="s">
        <v>1659</v>
      </c>
      <c r="C887" s="12">
        <v>2021</v>
      </c>
      <c r="D887" s="12" t="s">
        <v>1660</v>
      </c>
      <c r="E887" s="12" t="s">
        <v>1661</v>
      </c>
      <c r="F887" s="12" t="s">
        <v>1662</v>
      </c>
      <c r="G887" s="12" t="s">
        <v>39</v>
      </c>
      <c r="H887" s="12" t="s">
        <v>2205</v>
      </c>
      <c r="I887" s="12">
        <v>71.789000000000001</v>
      </c>
      <c r="J887" s="12">
        <v>-96.82</v>
      </c>
      <c r="K887" s="12" t="s">
        <v>41</v>
      </c>
      <c r="L887" s="12" t="s">
        <v>42</v>
      </c>
      <c r="N887" s="12">
        <v>22.90955641</v>
      </c>
      <c r="O887" s="12" t="s">
        <v>1666</v>
      </c>
      <c r="P887" s="12">
        <f t="shared" si="22"/>
        <v>2.290955641E-2</v>
      </c>
      <c r="Q887" s="12" t="s">
        <v>59</v>
      </c>
      <c r="R887" s="12" t="s">
        <v>1667</v>
      </c>
    </row>
    <row r="888" spans="1:18" x14ac:dyDescent="0.35">
      <c r="A888" s="12">
        <v>69</v>
      </c>
      <c r="B888" s="12" t="s">
        <v>1659</v>
      </c>
      <c r="C888" s="12">
        <v>2021</v>
      </c>
      <c r="D888" s="12" t="s">
        <v>1660</v>
      </c>
      <c r="E888" s="12" t="s">
        <v>1661</v>
      </c>
      <c r="F888" s="12" t="s">
        <v>1662</v>
      </c>
      <c r="G888" s="12" t="s">
        <v>39</v>
      </c>
      <c r="H888" s="12" t="s">
        <v>2205</v>
      </c>
      <c r="I888" s="12">
        <v>71.456000000000003</v>
      </c>
      <c r="J888" s="12">
        <v>-97.031000000000006</v>
      </c>
      <c r="K888" s="12" t="s">
        <v>41</v>
      </c>
      <c r="L888" s="12" t="s">
        <v>42</v>
      </c>
      <c r="N888" s="12">
        <v>149.91165280000001</v>
      </c>
      <c r="O888" s="12" t="s">
        <v>1666</v>
      </c>
      <c r="P888" s="12">
        <f t="shared" si="22"/>
        <v>0.14991165280000002</v>
      </c>
      <c r="Q888" s="12" t="s">
        <v>59</v>
      </c>
      <c r="R888" s="12" t="s">
        <v>1667</v>
      </c>
    </row>
    <row r="889" spans="1:18" x14ac:dyDescent="0.35">
      <c r="A889" s="12">
        <v>69</v>
      </c>
      <c r="B889" s="12" t="s">
        <v>1659</v>
      </c>
      <c r="C889" s="12">
        <v>2021</v>
      </c>
      <c r="D889" s="12" t="s">
        <v>1660</v>
      </c>
      <c r="E889" s="12" t="s">
        <v>1661</v>
      </c>
      <c r="F889" s="12" t="s">
        <v>1662</v>
      </c>
      <c r="G889" s="12" t="s">
        <v>39</v>
      </c>
      <c r="H889" s="12" t="s">
        <v>2205</v>
      </c>
      <c r="I889" s="12">
        <v>69.665000000000006</v>
      </c>
      <c r="J889" s="12">
        <v>-98.405000000000001</v>
      </c>
      <c r="K889" s="12" t="s">
        <v>41</v>
      </c>
      <c r="L889" s="12" t="s">
        <v>42</v>
      </c>
      <c r="N889" s="12">
        <v>55.53789355</v>
      </c>
      <c r="O889" s="12" t="s">
        <v>1666</v>
      </c>
      <c r="P889" s="12">
        <f t="shared" si="22"/>
        <v>5.5537893550000002E-2</v>
      </c>
      <c r="Q889" s="12" t="s">
        <v>59</v>
      </c>
      <c r="R889" s="12" t="s">
        <v>1667</v>
      </c>
    </row>
    <row r="890" spans="1:18" ht="15.75" customHeight="1" x14ac:dyDescent="0.35">
      <c r="A890" s="12">
        <v>69</v>
      </c>
      <c r="B890" s="12" t="s">
        <v>1659</v>
      </c>
      <c r="C890" s="12">
        <v>2021</v>
      </c>
      <c r="D890" s="12" t="s">
        <v>1660</v>
      </c>
      <c r="E890" s="12" t="s">
        <v>1661</v>
      </c>
      <c r="F890" s="12" t="s">
        <v>1662</v>
      </c>
      <c r="G890" s="12" t="s">
        <v>39</v>
      </c>
      <c r="H890" s="12" t="s">
        <v>1669</v>
      </c>
      <c r="I890" s="12">
        <v>72.387</v>
      </c>
      <c r="J890" s="12">
        <v>-66.453599999999994</v>
      </c>
      <c r="K890" s="12" t="s">
        <v>41</v>
      </c>
      <c r="L890" s="12" t="s">
        <v>42</v>
      </c>
      <c r="N890" s="12">
        <v>56.569340089999997</v>
      </c>
      <c r="O890" s="12" t="s">
        <v>1666</v>
      </c>
      <c r="P890" s="12">
        <f t="shared" si="22"/>
        <v>5.6569340089999996E-2</v>
      </c>
      <c r="Q890" s="12" t="s">
        <v>59</v>
      </c>
      <c r="R890" s="12" t="s">
        <v>1667</v>
      </c>
    </row>
    <row r="891" spans="1:18" ht="15.75" customHeight="1" x14ac:dyDescent="0.35">
      <c r="A891" s="12">
        <v>70</v>
      </c>
      <c r="B891" s="19" t="s">
        <v>1670</v>
      </c>
      <c r="C891" s="19">
        <v>2023</v>
      </c>
      <c r="D891" s="19" t="s">
        <v>1638</v>
      </c>
      <c r="E891" s="13" t="s">
        <v>1671</v>
      </c>
      <c r="F891" s="12" t="s">
        <v>1647</v>
      </c>
      <c r="G891" s="14" t="s">
        <v>86</v>
      </c>
      <c r="H891" s="12" t="s">
        <v>1672</v>
      </c>
      <c r="I891" s="12">
        <v>45.61598</v>
      </c>
      <c r="J891" s="12">
        <v>-74.599279999999993</v>
      </c>
      <c r="K891" s="12" t="s">
        <v>103</v>
      </c>
      <c r="L891" s="12" t="s">
        <v>223</v>
      </c>
      <c r="N891" s="12" t="s">
        <v>1673</v>
      </c>
      <c r="O891" s="12" t="s">
        <v>107</v>
      </c>
      <c r="P891" s="12" t="s">
        <v>1673</v>
      </c>
      <c r="Q891" s="12" t="s">
        <v>107</v>
      </c>
    </row>
    <row r="892" spans="1:18" ht="15.75" customHeight="1" x14ac:dyDescent="0.35">
      <c r="A892" s="12">
        <v>70</v>
      </c>
      <c r="B892" s="19" t="s">
        <v>1670</v>
      </c>
      <c r="C892" s="19">
        <v>2023</v>
      </c>
      <c r="D892" s="19" t="s">
        <v>1638</v>
      </c>
      <c r="E892" s="13" t="s">
        <v>1671</v>
      </c>
      <c r="F892" s="12" t="s">
        <v>1647</v>
      </c>
      <c r="G892" s="14" t="s">
        <v>86</v>
      </c>
      <c r="H892" s="12" t="s">
        <v>1674</v>
      </c>
      <c r="I892" s="12">
        <v>45.611809999999998</v>
      </c>
      <c r="J892" s="12">
        <v>-74.603560000000002</v>
      </c>
      <c r="K892" s="12" t="s">
        <v>103</v>
      </c>
      <c r="L892" s="12" t="s">
        <v>223</v>
      </c>
      <c r="N892" s="12" t="s">
        <v>1675</v>
      </c>
      <c r="O892" s="12" t="s">
        <v>107</v>
      </c>
      <c r="P892" s="12" t="s">
        <v>1675</v>
      </c>
      <c r="Q892" s="12" t="s">
        <v>107</v>
      </c>
    </row>
    <row r="893" spans="1:18" ht="15.75" customHeight="1" x14ac:dyDescent="0.35">
      <c r="A893" s="12">
        <v>70</v>
      </c>
      <c r="B893" s="19" t="s">
        <v>1670</v>
      </c>
      <c r="C893" s="19">
        <v>2023</v>
      </c>
      <c r="D893" s="19" t="s">
        <v>1638</v>
      </c>
      <c r="E893" s="13" t="s">
        <v>1671</v>
      </c>
      <c r="F893" s="12" t="s">
        <v>1647</v>
      </c>
      <c r="G893" s="14" t="s">
        <v>86</v>
      </c>
      <c r="H893" s="12" t="s">
        <v>1676</v>
      </c>
      <c r="I893" s="12">
        <v>45.4985</v>
      </c>
      <c r="J893" s="12">
        <v>-75.505219999999994</v>
      </c>
      <c r="K893" s="12" t="s">
        <v>103</v>
      </c>
      <c r="L893" s="12" t="s">
        <v>223</v>
      </c>
      <c r="N893" s="12" t="s">
        <v>1677</v>
      </c>
      <c r="O893" s="12" t="s">
        <v>107</v>
      </c>
      <c r="P893" s="12" t="s">
        <v>1677</v>
      </c>
      <c r="Q893" s="12" t="s">
        <v>107</v>
      </c>
    </row>
    <row r="894" spans="1:18" ht="15.75" customHeight="1" x14ac:dyDescent="0.35">
      <c r="A894" s="12">
        <v>70</v>
      </c>
      <c r="B894" s="19" t="s">
        <v>1670</v>
      </c>
      <c r="C894" s="19">
        <v>2023</v>
      </c>
      <c r="D894" s="19" t="s">
        <v>1638</v>
      </c>
      <c r="E894" s="13" t="s">
        <v>1671</v>
      </c>
      <c r="F894" s="12" t="s">
        <v>1647</v>
      </c>
      <c r="G894" s="14" t="s">
        <v>86</v>
      </c>
      <c r="H894" s="12" t="s">
        <v>1678</v>
      </c>
      <c r="I894" s="12">
        <v>45.463329999999999</v>
      </c>
      <c r="J894" s="12">
        <v>-75.617940000000004</v>
      </c>
      <c r="K894" s="12" t="s">
        <v>103</v>
      </c>
      <c r="L894" s="12" t="s">
        <v>223</v>
      </c>
      <c r="N894" s="12" t="s">
        <v>1679</v>
      </c>
      <c r="O894" s="12" t="s">
        <v>107</v>
      </c>
      <c r="P894" s="12" t="s">
        <v>1679</v>
      </c>
      <c r="Q894" s="12" t="s">
        <v>107</v>
      </c>
    </row>
    <row r="895" spans="1:18" ht="15.75" customHeight="1" x14ac:dyDescent="0.35">
      <c r="A895" s="12">
        <v>70</v>
      </c>
      <c r="B895" s="19" t="s">
        <v>1670</v>
      </c>
      <c r="C895" s="19">
        <v>2023</v>
      </c>
      <c r="D895" s="19" t="s">
        <v>1638</v>
      </c>
      <c r="E895" s="13" t="s">
        <v>1671</v>
      </c>
      <c r="F895" s="12" t="s">
        <v>1647</v>
      </c>
      <c r="G895" s="14" t="s">
        <v>86</v>
      </c>
      <c r="H895" s="12" t="s">
        <v>1680</v>
      </c>
      <c r="I895" s="12">
        <v>45.463259999999998</v>
      </c>
      <c r="J895" s="12">
        <v>-75.626649999999998</v>
      </c>
      <c r="K895" s="12" t="s">
        <v>103</v>
      </c>
      <c r="L895" s="12" t="s">
        <v>223</v>
      </c>
      <c r="N895" s="12" t="s">
        <v>1681</v>
      </c>
      <c r="O895" s="12" t="s">
        <v>107</v>
      </c>
      <c r="P895" s="12" t="s">
        <v>1681</v>
      </c>
      <c r="Q895" s="12" t="s">
        <v>107</v>
      </c>
    </row>
    <row r="896" spans="1:18" ht="15.75" customHeight="1" x14ac:dyDescent="0.35">
      <c r="A896" s="12">
        <v>70</v>
      </c>
      <c r="B896" s="19" t="s">
        <v>1670</v>
      </c>
      <c r="C896" s="19">
        <v>2023</v>
      </c>
      <c r="D896" s="19" t="s">
        <v>1638</v>
      </c>
      <c r="E896" s="13" t="s">
        <v>1671</v>
      </c>
      <c r="F896" s="12" t="s">
        <v>1647</v>
      </c>
      <c r="G896" s="14" t="s">
        <v>86</v>
      </c>
      <c r="H896" s="12" t="s">
        <v>1682</v>
      </c>
      <c r="I896" s="12">
        <v>45.467709999999997</v>
      </c>
      <c r="J896" s="12">
        <v>-75.64425</v>
      </c>
      <c r="K896" s="12" t="s">
        <v>103</v>
      </c>
      <c r="L896" s="12" t="s">
        <v>223</v>
      </c>
      <c r="N896" s="12" t="s">
        <v>1683</v>
      </c>
      <c r="O896" s="12" t="s">
        <v>107</v>
      </c>
      <c r="P896" s="12" t="s">
        <v>1683</v>
      </c>
      <c r="Q896" s="12" t="s">
        <v>107</v>
      </c>
    </row>
    <row r="897" spans="1:17" ht="15.75" customHeight="1" x14ac:dyDescent="0.35">
      <c r="A897" s="12">
        <v>70</v>
      </c>
      <c r="B897" s="19" t="s">
        <v>1670</v>
      </c>
      <c r="C897" s="19">
        <v>2023</v>
      </c>
      <c r="D897" s="19" t="s">
        <v>1638</v>
      </c>
      <c r="E897" s="13" t="s">
        <v>1671</v>
      </c>
      <c r="F897" s="12" t="s">
        <v>1647</v>
      </c>
      <c r="G897" s="14" t="s">
        <v>86</v>
      </c>
      <c r="H897" s="12" t="s">
        <v>1684</v>
      </c>
      <c r="I897" s="12">
        <v>45.457299999999996</v>
      </c>
      <c r="J897" s="12">
        <v>-75.674819999999997</v>
      </c>
      <c r="K897" s="12" t="s">
        <v>103</v>
      </c>
      <c r="L897" s="12" t="s">
        <v>223</v>
      </c>
      <c r="N897" s="12" t="s">
        <v>1685</v>
      </c>
      <c r="O897" s="12" t="s">
        <v>107</v>
      </c>
      <c r="P897" s="12" t="s">
        <v>1685</v>
      </c>
      <c r="Q897" s="12" t="s">
        <v>107</v>
      </c>
    </row>
    <row r="898" spans="1:17" ht="15.75" customHeight="1" x14ac:dyDescent="0.35">
      <c r="A898" s="12">
        <v>70</v>
      </c>
      <c r="B898" s="19" t="s">
        <v>1670</v>
      </c>
      <c r="C898" s="19">
        <v>2023</v>
      </c>
      <c r="D898" s="19" t="s">
        <v>1638</v>
      </c>
      <c r="E898" s="13" t="s">
        <v>1671</v>
      </c>
      <c r="F898" s="12" t="s">
        <v>1647</v>
      </c>
      <c r="G898" s="14" t="s">
        <v>86</v>
      </c>
      <c r="H898" s="12" t="s">
        <v>1686</v>
      </c>
      <c r="I898" s="12">
        <v>45.418660000000003</v>
      </c>
      <c r="J898" s="12">
        <v>-75.748490000000004</v>
      </c>
      <c r="K898" s="12" t="s">
        <v>103</v>
      </c>
      <c r="L898" s="12" t="s">
        <v>223</v>
      </c>
      <c r="N898" s="12" t="s">
        <v>1687</v>
      </c>
      <c r="O898" s="12" t="s">
        <v>107</v>
      </c>
      <c r="P898" s="12" t="s">
        <v>1687</v>
      </c>
      <c r="Q898" s="12" t="s">
        <v>107</v>
      </c>
    </row>
    <row r="899" spans="1:17" ht="15.75" customHeight="1" x14ac:dyDescent="0.35">
      <c r="A899" s="12">
        <v>70</v>
      </c>
      <c r="B899" s="19" t="s">
        <v>1670</v>
      </c>
      <c r="C899" s="19">
        <v>2023</v>
      </c>
      <c r="D899" s="19" t="s">
        <v>1638</v>
      </c>
      <c r="E899" s="13" t="s">
        <v>1671</v>
      </c>
      <c r="F899" s="12" t="s">
        <v>1647</v>
      </c>
      <c r="G899" s="14" t="s">
        <v>86</v>
      </c>
      <c r="H899" s="12" t="s">
        <v>1688</v>
      </c>
      <c r="I899" s="12">
        <v>45.407559999999997</v>
      </c>
      <c r="J899" s="12">
        <v>-75.747060000000005</v>
      </c>
      <c r="K899" s="12" t="s">
        <v>103</v>
      </c>
      <c r="L899" s="12" t="s">
        <v>223</v>
      </c>
      <c r="N899" s="12" t="s">
        <v>1689</v>
      </c>
      <c r="O899" s="12" t="s">
        <v>107</v>
      </c>
      <c r="P899" s="12" t="s">
        <v>1689</v>
      </c>
      <c r="Q899" s="12" t="s">
        <v>107</v>
      </c>
    </row>
    <row r="900" spans="1:17" ht="15.75" customHeight="1" x14ac:dyDescent="0.35">
      <c r="A900" s="12">
        <v>70</v>
      </c>
      <c r="B900" s="19" t="s">
        <v>1670</v>
      </c>
      <c r="C900" s="19">
        <v>2023</v>
      </c>
      <c r="D900" s="19" t="s">
        <v>1638</v>
      </c>
      <c r="E900" s="13" t="s">
        <v>1671</v>
      </c>
      <c r="F900" s="12" t="s">
        <v>1647</v>
      </c>
      <c r="G900" s="14" t="s">
        <v>86</v>
      </c>
      <c r="H900" s="12" t="s">
        <v>1690</v>
      </c>
      <c r="I900" s="12">
        <v>45.409610000000001</v>
      </c>
      <c r="J900" s="12">
        <v>-75.755650000000003</v>
      </c>
      <c r="K900" s="12" t="s">
        <v>103</v>
      </c>
      <c r="L900" s="12" t="s">
        <v>223</v>
      </c>
      <c r="N900" s="12" t="s">
        <v>1691</v>
      </c>
      <c r="O900" s="12" t="s">
        <v>107</v>
      </c>
      <c r="P900" s="12" t="s">
        <v>1691</v>
      </c>
      <c r="Q900" s="12" t="s">
        <v>107</v>
      </c>
    </row>
    <row r="901" spans="1:17" ht="15.75" customHeight="1" x14ac:dyDescent="0.35">
      <c r="A901" s="12">
        <v>70</v>
      </c>
      <c r="B901" s="19" t="s">
        <v>1670</v>
      </c>
      <c r="C901" s="19">
        <v>2023</v>
      </c>
      <c r="D901" s="19" t="s">
        <v>1638</v>
      </c>
      <c r="E901" s="13" t="s">
        <v>1671</v>
      </c>
      <c r="F901" s="12" t="s">
        <v>1647</v>
      </c>
      <c r="G901" s="14" t="s">
        <v>86</v>
      </c>
      <c r="H901" s="12" t="s">
        <v>1692</v>
      </c>
      <c r="I901" s="12">
        <v>45.396059999999999</v>
      </c>
      <c r="J901" s="12">
        <v>-75.762119999999996</v>
      </c>
      <c r="K901" s="12" t="s">
        <v>103</v>
      </c>
      <c r="L901" s="12" t="s">
        <v>223</v>
      </c>
      <c r="N901" s="12" t="s">
        <v>1693</v>
      </c>
      <c r="O901" s="12" t="s">
        <v>107</v>
      </c>
      <c r="P901" s="12" t="s">
        <v>1693</v>
      </c>
      <c r="Q901" s="12" t="s">
        <v>107</v>
      </c>
    </row>
    <row r="902" spans="1:17" ht="15.75" customHeight="1" x14ac:dyDescent="0.35">
      <c r="A902" s="12">
        <v>70</v>
      </c>
      <c r="B902" s="19" t="s">
        <v>1670</v>
      </c>
      <c r="C902" s="19">
        <v>2023</v>
      </c>
      <c r="D902" s="19" t="s">
        <v>1638</v>
      </c>
      <c r="E902" s="13" t="s">
        <v>1671</v>
      </c>
      <c r="F902" s="12" t="s">
        <v>1647</v>
      </c>
      <c r="G902" s="14" t="s">
        <v>86</v>
      </c>
      <c r="H902" s="12" t="s">
        <v>1694</v>
      </c>
      <c r="I902" s="12">
        <v>45.39443</v>
      </c>
      <c r="J902" s="12">
        <v>-75.761430000000004</v>
      </c>
      <c r="K902" s="12" t="s">
        <v>103</v>
      </c>
      <c r="L902" s="12" t="s">
        <v>223</v>
      </c>
      <c r="N902" s="12" t="s">
        <v>1695</v>
      </c>
      <c r="O902" s="12" t="s">
        <v>107</v>
      </c>
      <c r="P902" s="12" t="s">
        <v>1695</v>
      </c>
      <c r="Q902" s="12" t="s">
        <v>107</v>
      </c>
    </row>
    <row r="903" spans="1:17" ht="15.75" customHeight="1" x14ac:dyDescent="0.35">
      <c r="A903" s="12">
        <v>70</v>
      </c>
      <c r="B903" s="19" t="s">
        <v>1670</v>
      </c>
      <c r="C903" s="19">
        <v>2023</v>
      </c>
      <c r="D903" s="19" t="s">
        <v>1638</v>
      </c>
      <c r="E903" s="13" t="s">
        <v>1671</v>
      </c>
      <c r="F903" s="12" t="s">
        <v>1647</v>
      </c>
      <c r="G903" s="14" t="s">
        <v>86</v>
      </c>
      <c r="H903" s="12" t="s">
        <v>1696</v>
      </c>
      <c r="I903" s="12">
        <v>45.384270000000001</v>
      </c>
      <c r="J903" s="12">
        <v>-75.799059999999997</v>
      </c>
      <c r="K903" s="12" t="s">
        <v>103</v>
      </c>
      <c r="L903" s="12" t="s">
        <v>223</v>
      </c>
      <c r="N903" s="12" t="s">
        <v>1697</v>
      </c>
      <c r="O903" s="12" t="s">
        <v>107</v>
      </c>
      <c r="P903" s="12" t="s">
        <v>1697</v>
      </c>
      <c r="Q903" s="12" t="s">
        <v>107</v>
      </c>
    </row>
    <row r="904" spans="1:17" ht="15.75" customHeight="1" x14ac:dyDescent="0.35">
      <c r="A904" s="12">
        <v>70</v>
      </c>
      <c r="B904" s="19" t="s">
        <v>1670</v>
      </c>
      <c r="C904" s="19">
        <v>2023</v>
      </c>
      <c r="D904" s="19" t="s">
        <v>1638</v>
      </c>
      <c r="E904" s="13" t="s">
        <v>1671</v>
      </c>
      <c r="F904" s="12" t="s">
        <v>1647</v>
      </c>
      <c r="G904" s="14" t="s">
        <v>86</v>
      </c>
      <c r="H904" s="12" t="s">
        <v>1698</v>
      </c>
      <c r="I904" s="12">
        <v>45.379669999999997</v>
      </c>
      <c r="J904" s="12">
        <v>-75.80977</v>
      </c>
      <c r="K904" s="12" t="s">
        <v>103</v>
      </c>
      <c r="L904" s="12" t="s">
        <v>223</v>
      </c>
      <c r="N904" s="12" t="s">
        <v>1699</v>
      </c>
      <c r="O904" s="12" t="s">
        <v>107</v>
      </c>
      <c r="P904" s="12" t="s">
        <v>1699</v>
      </c>
      <c r="Q904" s="12" t="s">
        <v>107</v>
      </c>
    </row>
    <row r="905" spans="1:17" ht="15.75" customHeight="1" x14ac:dyDescent="0.35">
      <c r="A905" s="12">
        <v>70</v>
      </c>
      <c r="B905" s="19" t="s">
        <v>1670</v>
      </c>
      <c r="C905" s="19">
        <v>2023</v>
      </c>
      <c r="D905" s="19" t="s">
        <v>1638</v>
      </c>
      <c r="E905" s="13" t="s">
        <v>1671</v>
      </c>
      <c r="F905" s="12" t="s">
        <v>1647</v>
      </c>
      <c r="G905" s="14" t="s">
        <v>86</v>
      </c>
      <c r="H905" s="12" t="s">
        <v>1700</v>
      </c>
      <c r="I905" s="12">
        <v>45.4071</v>
      </c>
      <c r="J905" s="12">
        <v>-75.879069999999999</v>
      </c>
      <c r="K905" s="12" t="s">
        <v>103</v>
      </c>
      <c r="L905" s="12" t="s">
        <v>223</v>
      </c>
      <c r="N905" s="12" t="s">
        <v>1701</v>
      </c>
      <c r="O905" s="12" t="s">
        <v>107</v>
      </c>
      <c r="P905" s="12" t="s">
        <v>1701</v>
      </c>
      <c r="Q905" s="12" t="s">
        <v>107</v>
      </c>
    </row>
    <row r="906" spans="1:17" ht="15.75" customHeight="1" x14ac:dyDescent="0.35">
      <c r="A906" s="12">
        <v>70</v>
      </c>
      <c r="B906" s="19" t="s">
        <v>1670</v>
      </c>
      <c r="C906" s="19">
        <v>2023</v>
      </c>
      <c r="D906" s="19" t="s">
        <v>1638</v>
      </c>
      <c r="E906" s="13" t="s">
        <v>1671</v>
      </c>
      <c r="F906" s="12" t="s">
        <v>1647</v>
      </c>
      <c r="G906" s="14" t="s">
        <v>86</v>
      </c>
      <c r="H906" s="12" t="s">
        <v>1702</v>
      </c>
      <c r="I906" s="12">
        <v>45.489130000000003</v>
      </c>
      <c r="J906" s="12">
        <v>-76.003270000000001</v>
      </c>
      <c r="K906" s="12" t="s">
        <v>103</v>
      </c>
      <c r="L906" s="12" t="s">
        <v>223</v>
      </c>
      <c r="N906" s="12" t="s">
        <v>1703</v>
      </c>
      <c r="O906" s="12" t="s">
        <v>107</v>
      </c>
      <c r="P906" s="12" t="s">
        <v>1703</v>
      </c>
      <c r="Q906" s="12" t="s">
        <v>107</v>
      </c>
    </row>
    <row r="907" spans="1:17" ht="15.75" customHeight="1" x14ac:dyDescent="0.35">
      <c r="A907" s="12">
        <v>70</v>
      </c>
      <c r="B907" s="19" t="s">
        <v>1670</v>
      </c>
      <c r="C907" s="19">
        <v>2023</v>
      </c>
      <c r="D907" s="19" t="s">
        <v>1638</v>
      </c>
      <c r="E907" s="13" t="s">
        <v>1671</v>
      </c>
      <c r="F907" s="12" t="s">
        <v>1647</v>
      </c>
      <c r="G907" s="14" t="s">
        <v>86</v>
      </c>
      <c r="H907" s="12" t="s">
        <v>1704</v>
      </c>
      <c r="I907" s="12">
        <v>45.4788</v>
      </c>
      <c r="J907" s="12">
        <v>-76.009910000000005</v>
      </c>
      <c r="K907" s="12" t="s">
        <v>103</v>
      </c>
      <c r="L907" s="12" t="s">
        <v>223</v>
      </c>
      <c r="N907" s="12" t="s">
        <v>1705</v>
      </c>
      <c r="O907" s="12" t="s">
        <v>107</v>
      </c>
      <c r="P907" s="12" t="s">
        <v>1705</v>
      </c>
      <c r="Q907" s="12" t="s">
        <v>107</v>
      </c>
    </row>
    <row r="908" spans="1:17" ht="15.75" customHeight="1" x14ac:dyDescent="0.35">
      <c r="A908" s="12">
        <v>70</v>
      </c>
      <c r="B908" s="19" t="s">
        <v>1670</v>
      </c>
      <c r="C908" s="19">
        <v>2023</v>
      </c>
      <c r="D908" s="19" t="s">
        <v>1638</v>
      </c>
      <c r="E908" s="13" t="s">
        <v>1671</v>
      </c>
      <c r="F908" s="12" t="s">
        <v>1647</v>
      </c>
      <c r="G908" s="14" t="s">
        <v>86</v>
      </c>
      <c r="H908" s="12" t="s">
        <v>1706</v>
      </c>
      <c r="I908" s="12">
        <v>45.488610000000001</v>
      </c>
      <c r="J908" s="12">
        <v>-76.018609999999995</v>
      </c>
      <c r="K908" s="12" t="s">
        <v>103</v>
      </c>
      <c r="L908" s="12" t="s">
        <v>223</v>
      </c>
      <c r="N908" s="12" t="s">
        <v>1707</v>
      </c>
      <c r="O908" s="12" t="s">
        <v>107</v>
      </c>
      <c r="P908" s="12" t="s">
        <v>1707</v>
      </c>
      <c r="Q908" s="12" t="s">
        <v>107</v>
      </c>
    </row>
    <row r="909" spans="1:17" ht="15.75" customHeight="1" x14ac:dyDescent="0.35">
      <c r="A909" s="12">
        <v>70</v>
      </c>
      <c r="B909" s="19" t="s">
        <v>1670</v>
      </c>
      <c r="C909" s="19">
        <v>2023</v>
      </c>
      <c r="D909" s="19" t="s">
        <v>1638</v>
      </c>
      <c r="E909" s="13" t="s">
        <v>1671</v>
      </c>
      <c r="F909" s="12" t="s">
        <v>1647</v>
      </c>
      <c r="G909" s="14" t="s">
        <v>86</v>
      </c>
      <c r="H909" s="12" t="s">
        <v>1708</v>
      </c>
      <c r="I909" s="12">
        <v>45.463360000000002</v>
      </c>
      <c r="J909" s="12">
        <v>-76.282899999999998</v>
      </c>
      <c r="K909" s="12" t="s">
        <v>103</v>
      </c>
      <c r="L909" s="12" t="s">
        <v>223</v>
      </c>
      <c r="N909" s="12" t="s">
        <v>1709</v>
      </c>
      <c r="O909" s="12" t="s">
        <v>107</v>
      </c>
      <c r="P909" s="12" t="s">
        <v>1709</v>
      </c>
      <c r="Q909" s="12" t="s">
        <v>107</v>
      </c>
    </row>
    <row r="910" spans="1:17" ht="15.75" customHeight="1" x14ac:dyDescent="0.35">
      <c r="A910" s="12">
        <v>70</v>
      </c>
      <c r="B910" s="19" t="s">
        <v>1670</v>
      </c>
      <c r="C910" s="19">
        <v>2023</v>
      </c>
      <c r="D910" s="19" t="s">
        <v>1638</v>
      </c>
      <c r="E910" s="13" t="s">
        <v>1671</v>
      </c>
      <c r="F910" s="12" t="s">
        <v>1647</v>
      </c>
      <c r="G910" s="14" t="s">
        <v>86</v>
      </c>
      <c r="H910" s="12" t="s">
        <v>1710</v>
      </c>
      <c r="I910" s="12">
        <v>45.469990000000003</v>
      </c>
      <c r="J910" s="12">
        <v>-76.321269999999998</v>
      </c>
      <c r="K910" s="12" t="s">
        <v>103</v>
      </c>
      <c r="L910" s="12" t="s">
        <v>223</v>
      </c>
      <c r="N910" s="12" t="s">
        <v>1711</v>
      </c>
      <c r="O910" s="12" t="s">
        <v>107</v>
      </c>
      <c r="P910" s="12" t="s">
        <v>1711</v>
      </c>
      <c r="Q910" s="12" t="s">
        <v>107</v>
      </c>
    </row>
    <row r="911" spans="1:17" ht="15.75" customHeight="1" x14ac:dyDescent="0.35">
      <c r="A911" s="12">
        <v>70</v>
      </c>
      <c r="B911" s="19" t="s">
        <v>1670</v>
      </c>
      <c r="C911" s="19">
        <v>2023</v>
      </c>
      <c r="D911" s="19" t="s">
        <v>1638</v>
      </c>
      <c r="E911" s="13" t="s">
        <v>1671</v>
      </c>
      <c r="F911" s="12" t="s">
        <v>1647</v>
      </c>
      <c r="G911" s="14" t="s">
        <v>86</v>
      </c>
      <c r="H911" s="12" t="s">
        <v>1712</v>
      </c>
      <c r="I911" s="12">
        <v>45.440460000000002</v>
      </c>
      <c r="J911" s="12">
        <v>-76.337119999999999</v>
      </c>
      <c r="K911" s="12" t="s">
        <v>103</v>
      </c>
      <c r="L911" s="12" t="s">
        <v>223</v>
      </c>
      <c r="N911" s="12" t="s">
        <v>1713</v>
      </c>
      <c r="O911" s="12" t="s">
        <v>107</v>
      </c>
      <c r="P911" s="12" t="s">
        <v>1713</v>
      </c>
      <c r="Q911" s="12" t="s">
        <v>107</v>
      </c>
    </row>
    <row r="912" spans="1:17" ht="15.75" customHeight="1" x14ac:dyDescent="0.35">
      <c r="A912" s="12">
        <v>70</v>
      </c>
      <c r="B912" s="19" t="s">
        <v>1670</v>
      </c>
      <c r="C912" s="19">
        <v>2023</v>
      </c>
      <c r="D912" s="19" t="s">
        <v>1638</v>
      </c>
      <c r="E912" s="13" t="s">
        <v>1671</v>
      </c>
      <c r="F912" s="12" t="s">
        <v>1647</v>
      </c>
      <c r="G912" s="14" t="s">
        <v>86</v>
      </c>
      <c r="H912" s="12" t="s">
        <v>1714</v>
      </c>
      <c r="I912" s="12">
        <v>45.443570000000001</v>
      </c>
      <c r="J912" s="12">
        <v>-76.349850000000004</v>
      </c>
      <c r="K912" s="12" t="s">
        <v>103</v>
      </c>
      <c r="L912" s="12" t="s">
        <v>223</v>
      </c>
      <c r="N912" s="12" t="s">
        <v>1715</v>
      </c>
      <c r="O912" s="12" t="s">
        <v>107</v>
      </c>
      <c r="P912" s="12" t="s">
        <v>1715</v>
      </c>
      <c r="Q912" s="12" t="s">
        <v>107</v>
      </c>
    </row>
    <row r="913" spans="1:17" ht="15.75" customHeight="1" x14ac:dyDescent="0.35">
      <c r="A913" s="12">
        <v>70</v>
      </c>
      <c r="B913" s="19" t="s">
        <v>1670</v>
      </c>
      <c r="C913" s="19">
        <v>2023</v>
      </c>
      <c r="D913" s="19" t="s">
        <v>1638</v>
      </c>
      <c r="E913" s="13" t="s">
        <v>1671</v>
      </c>
      <c r="F913" s="12" t="s">
        <v>1647</v>
      </c>
      <c r="G913" s="14" t="s">
        <v>86</v>
      </c>
      <c r="H913" s="12" t="s">
        <v>1716</v>
      </c>
      <c r="I913" s="12">
        <v>45.509830000000001</v>
      </c>
      <c r="J913" s="12">
        <v>-76.404340000000005</v>
      </c>
      <c r="K913" s="12" t="s">
        <v>103</v>
      </c>
      <c r="L913" s="12" t="s">
        <v>223</v>
      </c>
      <c r="N913" s="12" t="s">
        <v>1717</v>
      </c>
      <c r="O913" s="12" t="s">
        <v>107</v>
      </c>
      <c r="P913" s="12" t="s">
        <v>1717</v>
      </c>
      <c r="Q913" s="12" t="s">
        <v>107</v>
      </c>
    </row>
    <row r="914" spans="1:17" ht="15.75" customHeight="1" x14ac:dyDescent="0.35">
      <c r="A914" s="12">
        <v>70</v>
      </c>
      <c r="B914" s="19" t="s">
        <v>1670</v>
      </c>
      <c r="C914" s="19">
        <v>2023</v>
      </c>
      <c r="D914" s="19" t="s">
        <v>1638</v>
      </c>
      <c r="E914" s="13" t="s">
        <v>1671</v>
      </c>
      <c r="F914" s="12" t="s">
        <v>1647</v>
      </c>
      <c r="G914" s="14" t="s">
        <v>86</v>
      </c>
      <c r="H914" s="12" t="s">
        <v>1718</v>
      </c>
      <c r="I914" s="12">
        <v>45.517940000000003</v>
      </c>
      <c r="J914" s="12">
        <v>-76.428479999999993</v>
      </c>
      <c r="K914" s="12" t="s">
        <v>103</v>
      </c>
      <c r="L914" s="12" t="s">
        <v>223</v>
      </c>
      <c r="N914" s="12" t="s">
        <v>1719</v>
      </c>
      <c r="O914" s="12" t="s">
        <v>107</v>
      </c>
      <c r="P914" s="12" t="s">
        <v>1719</v>
      </c>
      <c r="Q914" s="12" t="s">
        <v>107</v>
      </c>
    </row>
    <row r="915" spans="1:17" ht="15.75" customHeight="1" x14ac:dyDescent="0.35">
      <c r="A915" s="12">
        <v>70</v>
      </c>
      <c r="B915" s="19" t="s">
        <v>1670</v>
      </c>
      <c r="C915" s="19">
        <v>2023</v>
      </c>
      <c r="D915" s="19" t="s">
        <v>1638</v>
      </c>
      <c r="E915" s="13" t="s">
        <v>1671</v>
      </c>
      <c r="F915" s="12" t="s">
        <v>1647</v>
      </c>
      <c r="G915" s="14" t="s">
        <v>86</v>
      </c>
      <c r="H915" s="12" t="s">
        <v>1720</v>
      </c>
      <c r="I915" s="12">
        <v>45.495359999999998</v>
      </c>
      <c r="J915" s="12">
        <v>-76.464100000000002</v>
      </c>
      <c r="K915" s="12" t="s">
        <v>103</v>
      </c>
      <c r="L915" s="12" t="s">
        <v>223</v>
      </c>
      <c r="N915" s="12" t="s">
        <v>1721</v>
      </c>
      <c r="O915" s="12" t="s">
        <v>107</v>
      </c>
      <c r="P915" s="12" t="s">
        <v>1721</v>
      </c>
      <c r="Q915" s="12" t="s">
        <v>107</v>
      </c>
    </row>
    <row r="916" spans="1:17" ht="15.75" customHeight="1" x14ac:dyDescent="0.35">
      <c r="A916" s="12">
        <v>70</v>
      </c>
      <c r="B916" s="19" t="s">
        <v>1670</v>
      </c>
      <c r="C916" s="19">
        <v>2023</v>
      </c>
      <c r="D916" s="19" t="s">
        <v>1638</v>
      </c>
      <c r="E916" s="13" t="s">
        <v>1671</v>
      </c>
      <c r="F916" s="12" t="s">
        <v>1647</v>
      </c>
      <c r="G916" s="14" t="s">
        <v>86</v>
      </c>
      <c r="H916" s="12" t="s">
        <v>1722</v>
      </c>
      <c r="I916" s="12">
        <v>45.520600000000002</v>
      </c>
      <c r="J916" s="12">
        <v>-76.457170000000005</v>
      </c>
      <c r="K916" s="12" t="s">
        <v>103</v>
      </c>
      <c r="L916" s="12" t="s">
        <v>223</v>
      </c>
      <c r="N916" s="12" t="s">
        <v>1723</v>
      </c>
      <c r="O916" s="12" t="s">
        <v>107</v>
      </c>
      <c r="P916" s="12" t="s">
        <v>1723</v>
      </c>
      <c r="Q916" s="12" t="s">
        <v>107</v>
      </c>
    </row>
    <row r="917" spans="1:17" ht="15.75" customHeight="1" x14ac:dyDescent="0.35">
      <c r="A917" s="12">
        <v>70</v>
      </c>
      <c r="B917" s="19" t="s">
        <v>1670</v>
      </c>
      <c r="C917" s="19">
        <v>2023</v>
      </c>
      <c r="D917" s="19" t="s">
        <v>1638</v>
      </c>
      <c r="E917" s="13" t="s">
        <v>1671</v>
      </c>
      <c r="F917" s="12" t="s">
        <v>1647</v>
      </c>
      <c r="G917" s="14" t="s">
        <v>86</v>
      </c>
      <c r="H917" s="12" t="s">
        <v>1724</v>
      </c>
      <c r="I917" s="12">
        <v>45.524360000000001</v>
      </c>
      <c r="J917" s="12">
        <v>-76.46902</v>
      </c>
      <c r="K917" s="12" t="s">
        <v>103</v>
      </c>
      <c r="L917" s="12" t="s">
        <v>223</v>
      </c>
      <c r="N917" s="12" t="s">
        <v>1725</v>
      </c>
      <c r="O917" s="12" t="s">
        <v>107</v>
      </c>
      <c r="P917" s="12" t="s">
        <v>1725</v>
      </c>
      <c r="Q917" s="12" t="s">
        <v>107</v>
      </c>
    </row>
    <row r="918" spans="1:17" ht="15.75" customHeight="1" x14ac:dyDescent="0.35">
      <c r="A918" s="12">
        <v>70</v>
      </c>
      <c r="B918" s="19" t="s">
        <v>1670</v>
      </c>
      <c r="C918" s="19">
        <v>2023</v>
      </c>
      <c r="D918" s="19" t="s">
        <v>1638</v>
      </c>
      <c r="E918" s="13" t="s">
        <v>1671</v>
      </c>
      <c r="F918" s="12" t="s">
        <v>1647</v>
      </c>
      <c r="G918" s="14" t="s">
        <v>86</v>
      </c>
      <c r="H918" s="12" t="s">
        <v>1726</v>
      </c>
      <c r="I918" s="12">
        <v>45.511119999999998</v>
      </c>
      <c r="J918" s="12">
        <v>-76.500550000000004</v>
      </c>
      <c r="K918" s="12" t="s">
        <v>103</v>
      </c>
      <c r="L918" s="12" t="s">
        <v>223</v>
      </c>
      <c r="N918" s="12" t="s">
        <v>1727</v>
      </c>
      <c r="O918" s="12" t="s">
        <v>107</v>
      </c>
      <c r="P918" s="12" t="s">
        <v>1727</v>
      </c>
      <c r="Q918" s="12" t="s">
        <v>107</v>
      </c>
    </row>
    <row r="919" spans="1:17" ht="15.75" customHeight="1" x14ac:dyDescent="0.35">
      <c r="A919" s="12">
        <v>70</v>
      </c>
      <c r="B919" s="19" t="s">
        <v>1670</v>
      </c>
      <c r="C919" s="19">
        <v>2023</v>
      </c>
      <c r="D919" s="19" t="s">
        <v>1638</v>
      </c>
      <c r="E919" s="13" t="s">
        <v>1671</v>
      </c>
      <c r="F919" s="12" t="s">
        <v>1647</v>
      </c>
      <c r="G919" s="14" t="s">
        <v>86</v>
      </c>
      <c r="H919" s="12" t="s">
        <v>1728</v>
      </c>
      <c r="I919" s="12">
        <v>45.558480000000003</v>
      </c>
      <c r="J919" s="12">
        <v>-76.651830000000004</v>
      </c>
      <c r="K919" s="12" t="s">
        <v>103</v>
      </c>
      <c r="L919" s="12" t="s">
        <v>223</v>
      </c>
      <c r="N919" s="12" t="s">
        <v>1729</v>
      </c>
      <c r="O919" s="12" t="s">
        <v>107</v>
      </c>
      <c r="P919" s="12" t="s">
        <v>1729</v>
      </c>
      <c r="Q919" s="12" t="s">
        <v>107</v>
      </c>
    </row>
    <row r="920" spans="1:17" ht="15.75" customHeight="1" x14ac:dyDescent="0.35">
      <c r="A920" s="12">
        <v>70</v>
      </c>
      <c r="B920" s="19" t="s">
        <v>1670</v>
      </c>
      <c r="C920" s="19">
        <v>2023</v>
      </c>
      <c r="D920" s="19" t="s">
        <v>1638</v>
      </c>
      <c r="E920" s="13" t="s">
        <v>1671</v>
      </c>
      <c r="F920" s="12" t="s">
        <v>1647</v>
      </c>
      <c r="G920" s="14" t="s">
        <v>86</v>
      </c>
      <c r="H920" s="12" t="s">
        <v>1730</v>
      </c>
      <c r="I920" s="12">
        <v>45.560609999999997</v>
      </c>
      <c r="J920" s="12">
        <v>-76.657030000000006</v>
      </c>
      <c r="K920" s="12" t="s">
        <v>103</v>
      </c>
      <c r="L920" s="12" t="s">
        <v>223</v>
      </c>
      <c r="N920" s="12" t="s">
        <v>1731</v>
      </c>
      <c r="O920" s="12" t="s">
        <v>107</v>
      </c>
      <c r="P920" s="12" t="s">
        <v>1731</v>
      </c>
      <c r="Q920" s="12" t="s">
        <v>107</v>
      </c>
    </row>
    <row r="921" spans="1:17" ht="15.75" customHeight="1" x14ac:dyDescent="0.35">
      <c r="A921" s="12">
        <v>70</v>
      </c>
      <c r="B921" s="19" t="s">
        <v>1670</v>
      </c>
      <c r="C921" s="19">
        <v>2023</v>
      </c>
      <c r="D921" s="19" t="s">
        <v>1638</v>
      </c>
      <c r="E921" s="13" t="s">
        <v>1671</v>
      </c>
      <c r="F921" s="12" t="s">
        <v>1647</v>
      </c>
      <c r="G921" s="14" t="s">
        <v>86</v>
      </c>
      <c r="H921" s="12" t="s">
        <v>1732</v>
      </c>
      <c r="I921" s="12">
        <v>45.572209999999998</v>
      </c>
      <c r="J921" s="12">
        <v>-76.663780000000003</v>
      </c>
      <c r="K921" s="12" t="s">
        <v>103</v>
      </c>
      <c r="L921" s="12" t="s">
        <v>223</v>
      </c>
      <c r="N921" s="12" t="s">
        <v>1733</v>
      </c>
      <c r="O921" s="12" t="s">
        <v>107</v>
      </c>
      <c r="P921" s="12" t="s">
        <v>1733</v>
      </c>
      <c r="Q921" s="12" t="s">
        <v>107</v>
      </c>
    </row>
    <row r="922" spans="1:17" ht="15.75" customHeight="1" x14ac:dyDescent="0.35">
      <c r="A922" s="12">
        <v>70</v>
      </c>
      <c r="B922" s="19" t="s">
        <v>1670</v>
      </c>
      <c r="C922" s="19">
        <v>2023</v>
      </c>
      <c r="D922" s="19" t="s">
        <v>1638</v>
      </c>
      <c r="E922" s="13" t="s">
        <v>1671</v>
      </c>
      <c r="F922" s="12" t="s">
        <v>1647</v>
      </c>
      <c r="G922" s="14" t="s">
        <v>86</v>
      </c>
      <c r="H922" s="12" t="s">
        <v>1734</v>
      </c>
      <c r="I922" s="12">
        <v>45.601799999999997</v>
      </c>
      <c r="J922" s="12">
        <v>-76.668549999999996</v>
      </c>
      <c r="K922" s="12" t="s">
        <v>103</v>
      </c>
      <c r="L922" s="12" t="s">
        <v>223</v>
      </c>
      <c r="N922" s="12" t="s">
        <v>1735</v>
      </c>
      <c r="O922" s="12" t="s">
        <v>107</v>
      </c>
      <c r="P922" s="12" t="s">
        <v>1735</v>
      </c>
      <c r="Q922" s="12" t="s">
        <v>107</v>
      </c>
    </row>
    <row r="923" spans="1:17" ht="15.75" customHeight="1" x14ac:dyDescent="0.35">
      <c r="A923" s="12">
        <v>70</v>
      </c>
      <c r="B923" s="19" t="s">
        <v>1670</v>
      </c>
      <c r="C923" s="19">
        <v>2023</v>
      </c>
      <c r="D923" s="19" t="s">
        <v>1638</v>
      </c>
      <c r="E923" s="13" t="s">
        <v>1671</v>
      </c>
      <c r="F923" s="12" t="s">
        <v>1647</v>
      </c>
      <c r="G923" s="14" t="s">
        <v>86</v>
      </c>
      <c r="H923" s="12" t="s">
        <v>1736</v>
      </c>
      <c r="I923" s="12">
        <v>45.613729999999997</v>
      </c>
      <c r="J923" s="12">
        <v>-76.683700000000002</v>
      </c>
      <c r="K923" s="12" t="s">
        <v>103</v>
      </c>
      <c r="L923" s="12" t="s">
        <v>223</v>
      </c>
      <c r="N923" s="12" t="s">
        <v>1737</v>
      </c>
      <c r="O923" s="12" t="s">
        <v>107</v>
      </c>
      <c r="P923" s="12" t="s">
        <v>1737</v>
      </c>
      <c r="Q923" s="12" t="s">
        <v>107</v>
      </c>
    </row>
    <row r="924" spans="1:17" ht="15.75" customHeight="1" x14ac:dyDescent="0.35">
      <c r="A924" s="12">
        <v>70</v>
      </c>
      <c r="B924" s="19" t="s">
        <v>1670</v>
      </c>
      <c r="C924" s="19">
        <v>2023</v>
      </c>
      <c r="D924" s="19" t="s">
        <v>1638</v>
      </c>
      <c r="E924" s="13" t="s">
        <v>1671</v>
      </c>
      <c r="F924" s="12" t="s">
        <v>1647</v>
      </c>
      <c r="G924" s="14" t="s">
        <v>86</v>
      </c>
      <c r="H924" s="12" t="s">
        <v>1738</v>
      </c>
      <c r="I924" s="12">
        <v>45.628410000000002</v>
      </c>
      <c r="J924" s="12">
        <v>-76.666970000000006</v>
      </c>
      <c r="K924" s="12" t="s">
        <v>103</v>
      </c>
      <c r="L924" s="12" t="s">
        <v>223</v>
      </c>
      <c r="N924" s="12" t="s">
        <v>1739</v>
      </c>
      <c r="O924" s="12" t="s">
        <v>107</v>
      </c>
      <c r="P924" s="12" t="s">
        <v>1739</v>
      </c>
      <c r="Q924" s="12" t="s">
        <v>107</v>
      </c>
    </row>
    <row r="925" spans="1:17" ht="15.75" customHeight="1" x14ac:dyDescent="0.35">
      <c r="A925" s="12">
        <v>70</v>
      </c>
      <c r="B925" s="19" t="s">
        <v>1670</v>
      </c>
      <c r="C925" s="19">
        <v>2023</v>
      </c>
      <c r="D925" s="19" t="s">
        <v>1638</v>
      </c>
      <c r="E925" s="13" t="s">
        <v>1671</v>
      </c>
      <c r="F925" s="12" t="s">
        <v>1647</v>
      </c>
      <c r="G925" s="14" t="s">
        <v>86</v>
      </c>
      <c r="H925" s="12" t="s">
        <v>1740</v>
      </c>
      <c r="I925" s="12">
        <v>45.660530000000001</v>
      </c>
      <c r="J925" s="12">
        <v>-76.722459999999998</v>
      </c>
      <c r="K925" s="12" t="s">
        <v>103</v>
      </c>
      <c r="L925" s="12" t="s">
        <v>223</v>
      </c>
      <c r="N925" s="12" t="s">
        <v>1741</v>
      </c>
      <c r="O925" s="12" t="s">
        <v>107</v>
      </c>
      <c r="P925" s="12" t="s">
        <v>1741</v>
      </c>
      <c r="Q925" s="12" t="s">
        <v>107</v>
      </c>
    </row>
    <row r="926" spans="1:17" ht="15.75" customHeight="1" x14ac:dyDescent="0.35">
      <c r="A926" s="12">
        <v>70</v>
      </c>
      <c r="B926" s="19" t="s">
        <v>1670</v>
      </c>
      <c r="C926" s="19">
        <v>2023</v>
      </c>
      <c r="D926" s="19" t="s">
        <v>1638</v>
      </c>
      <c r="E926" s="13" t="s">
        <v>1671</v>
      </c>
      <c r="F926" s="12" t="s">
        <v>1647</v>
      </c>
      <c r="G926" s="14" t="s">
        <v>86</v>
      </c>
      <c r="H926" s="12" t="s">
        <v>1742</v>
      </c>
      <c r="I926" s="12">
        <v>45.878880000000002</v>
      </c>
      <c r="J926" s="12">
        <v>-76.859740000000002</v>
      </c>
      <c r="K926" s="12" t="s">
        <v>103</v>
      </c>
      <c r="L926" s="12" t="s">
        <v>223</v>
      </c>
      <c r="N926" s="12" t="s">
        <v>1743</v>
      </c>
      <c r="O926" s="12" t="s">
        <v>107</v>
      </c>
      <c r="P926" s="12" t="s">
        <v>1743</v>
      </c>
      <c r="Q926" s="12" t="s">
        <v>107</v>
      </c>
    </row>
    <row r="927" spans="1:17" ht="15.75" customHeight="1" x14ac:dyDescent="0.35">
      <c r="A927" s="12">
        <v>70</v>
      </c>
      <c r="B927" s="19" t="s">
        <v>1670</v>
      </c>
      <c r="C927" s="19">
        <v>2023</v>
      </c>
      <c r="D927" s="19" t="s">
        <v>1638</v>
      </c>
      <c r="E927" s="13" t="s">
        <v>1671</v>
      </c>
      <c r="F927" s="12" t="s">
        <v>1647</v>
      </c>
      <c r="G927" s="14" t="s">
        <v>86</v>
      </c>
      <c r="H927" s="12" t="s">
        <v>1744</v>
      </c>
      <c r="I927" s="12">
        <v>45.811599999999999</v>
      </c>
      <c r="J927" s="12">
        <v>-77.029989999999998</v>
      </c>
      <c r="K927" s="12" t="s">
        <v>103</v>
      </c>
      <c r="L927" s="12" t="s">
        <v>223</v>
      </c>
      <c r="N927" s="12" t="s">
        <v>1745</v>
      </c>
      <c r="O927" s="12" t="s">
        <v>107</v>
      </c>
      <c r="P927" s="12" t="s">
        <v>1745</v>
      </c>
      <c r="Q927" s="12" t="s">
        <v>107</v>
      </c>
    </row>
    <row r="928" spans="1:17" ht="15.75" customHeight="1" x14ac:dyDescent="0.35">
      <c r="A928" s="12">
        <v>70</v>
      </c>
      <c r="B928" s="19" t="s">
        <v>1670</v>
      </c>
      <c r="C928" s="19">
        <v>2023</v>
      </c>
      <c r="D928" s="19" t="s">
        <v>1638</v>
      </c>
      <c r="E928" s="13" t="s">
        <v>1671</v>
      </c>
      <c r="F928" s="12" t="s">
        <v>1647</v>
      </c>
      <c r="G928" s="14" t="s">
        <v>86</v>
      </c>
      <c r="H928" s="12" t="s">
        <v>1746</v>
      </c>
      <c r="I928" s="12">
        <v>45.816389999999998</v>
      </c>
      <c r="J928" s="12">
        <v>-77.046980000000005</v>
      </c>
      <c r="K928" s="12" t="s">
        <v>103</v>
      </c>
      <c r="L928" s="12" t="s">
        <v>223</v>
      </c>
      <c r="N928" s="12" t="s">
        <v>1747</v>
      </c>
      <c r="O928" s="12" t="s">
        <v>107</v>
      </c>
      <c r="P928" s="12" t="s">
        <v>1747</v>
      </c>
      <c r="Q928" s="12" t="s">
        <v>107</v>
      </c>
    </row>
    <row r="929" spans="1:17" ht="15.75" customHeight="1" x14ac:dyDescent="0.35">
      <c r="A929" s="12">
        <v>70</v>
      </c>
      <c r="B929" s="19" t="s">
        <v>1670</v>
      </c>
      <c r="C929" s="19">
        <v>2023</v>
      </c>
      <c r="D929" s="19" t="s">
        <v>1638</v>
      </c>
      <c r="E929" s="13" t="s">
        <v>1671</v>
      </c>
      <c r="F929" s="12" t="s">
        <v>1647</v>
      </c>
      <c r="G929" s="14" t="s">
        <v>86</v>
      </c>
      <c r="H929" s="12" t="s">
        <v>1748</v>
      </c>
      <c r="I929" s="12">
        <v>45.82987</v>
      </c>
      <c r="J929" s="12">
        <v>-77.096680000000006</v>
      </c>
      <c r="K929" s="12" t="s">
        <v>103</v>
      </c>
      <c r="L929" s="12" t="s">
        <v>223</v>
      </c>
      <c r="N929" s="12" t="s">
        <v>1749</v>
      </c>
      <c r="O929" s="12" t="s">
        <v>107</v>
      </c>
      <c r="P929" s="12" t="s">
        <v>1749</v>
      </c>
      <c r="Q929" s="12" t="s">
        <v>107</v>
      </c>
    </row>
    <row r="930" spans="1:17" ht="15.75" customHeight="1" x14ac:dyDescent="0.35">
      <c r="A930" s="12">
        <v>70</v>
      </c>
      <c r="B930" s="19" t="s">
        <v>1670</v>
      </c>
      <c r="C930" s="19">
        <v>2023</v>
      </c>
      <c r="D930" s="19" t="s">
        <v>1638</v>
      </c>
      <c r="E930" s="13" t="s">
        <v>1671</v>
      </c>
      <c r="F930" s="12" t="s">
        <v>1647</v>
      </c>
      <c r="G930" s="14" t="s">
        <v>86</v>
      </c>
      <c r="H930" s="12" t="s">
        <v>1750</v>
      </c>
      <c r="I930" s="12">
        <v>45.829749999999997</v>
      </c>
      <c r="J930" s="12">
        <v>-77.130570000000006</v>
      </c>
      <c r="K930" s="12" t="s">
        <v>103</v>
      </c>
      <c r="L930" s="12" t="s">
        <v>223</v>
      </c>
      <c r="N930" s="12" t="s">
        <v>1751</v>
      </c>
      <c r="O930" s="12" t="s">
        <v>107</v>
      </c>
      <c r="P930" s="12" t="s">
        <v>1751</v>
      </c>
      <c r="Q930" s="12" t="s">
        <v>107</v>
      </c>
    </row>
    <row r="931" spans="1:17" ht="15.75" customHeight="1" x14ac:dyDescent="0.35">
      <c r="A931" s="12">
        <v>70</v>
      </c>
      <c r="B931" s="19" t="s">
        <v>1670</v>
      </c>
      <c r="C931" s="19">
        <v>2023</v>
      </c>
      <c r="D931" s="19" t="s">
        <v>1638</v>
      </c>
      <c r="E931" s="13" t="s">
        <v>1671</v>
      </c>
      <c r="F931" s="12" t="s">
        <v>1647</v>
      </c>
      <c r="G931" s="14" t="s">
        <v>86</v>
      </c>
      <c r="H931" s="12" t="s">
        <v>1752</v>
      </c>
      <c r="I931" s="12">
        <v>45.86</v>
      </c>
      <c r="J931" s="12">
        <v>-77.138999999999996</v>
      </c>
      <c r="K931" s="12" t="s">
        <v>103</v>
      </c>
      <c r="L931" s="12" t="s">
        <v>223</v>
      </c>
      <c r="N931" s="12" t="s">
        <v>1753</v>
      </c>
      <c r="O931" s="12" t="s">
        <v>107</v>
      </c>
      <c r="P931" s="12" t="s">
        <v>1753</v>
      </c>
      <c r="Q931" s="12" t="s">
        <v>107</v>
      </c>
    </row>
    <row r="932" spans="1:17" ht="15.75" customHeight="1" x14ac:dyDescent="0.35">
      <c r="A932" s="12">
        <v>70</v>
      </c>
      <c r="B932" s="19" t="s">
        <v>1670</v>
      </c>
      <c r="C932" s="19">
        <v>2023</v>
      </c>
      <c r="D932" s="19" t="s">
        <v>1638</v>
      </c>
      <c r="E932" s="13" t="s">
        <v>1671</v>
      </c>
      <c r="F932" s="12" t="s">
        <v>1647</v>
      </c>
      <c r="G932" s="14" t="s">
        <v>86</v>
      </c>
      <c r="H932" s="12" t="s">
        <v>1754</v>
      </c>
      <c r="I932" s="12">
        <v>46.697189999999999</v>
      </c>
      <c r="J932" s="12">
        <v>-79.098380000000006</v>
      </c>
      <c r="K932" s="12" t="s">
        <v>103</v>
      </c>
      <c r="L932" s="12" t="s">
        <v>223</v>
      </c>
      <c r="N932" s="12" t="s">
        <v>1755</v>
      </c>
      <c r="O932" s="12" t="s">
        <v>107</v>
      </c>
      <c r="P932" s="12" t="s">
        <v>1755</v>
      </c>
      <c r="Q932" s="12" t="s">
        <v>107</v>
      </c>
    </row>
    <row r="933" spans="1:17" ht="15.75" customHeight="1" x14ac:dyDescent="0.35">
      <c r="A933" s="12">
        <v>70</v>
      </c>
      <c r="B933" s="19" t="s">
        <v>1670</v>
      </c>
      <c r="C933" s="19">
        <v>2023</v>
      </c>
      <c r="D933" s="19" t="s">
        <v>1638</v>
      </c>
      <c r="E933" s="13" t="s">
        <v>1671</v>
      </c>
      <c r="F933" s="12" t="s">
        <v>1647</v>
      </c>
      <c r="G933" s="14" t="s">
        <v>86</v>
      </c>
      <c r="H933" s="12" t="s">
        <v>1756</v>
      </c>
      <c r="I933" s="12">
        <v>47.296999999999997</v>
      </c>
      <c r="J933" s="12">
        <v>-79.459900000000005</v>
      </c>
      <c r="K933" s="12" t="s">
        <v>103</v>
      </c>
      <c r="L933" s="12" t="s">
        <v>223</v>
      </c>
      <c r="N933" s="12" t="s">
        <v>1757</v>
      </c>
      <c r="O933" s="12" t="s">
        <v>107</v>
      </c>
      <c r="P933" s="12" t="s">
        <v>1757</v>
      </c>
      <c r="Q933" s="12" t="s">
        <v>107</v>
      </c>
    </row>
    <row r="934" spans="1:17" ht="15.75" customHeight="1" x14ac:dyDescent="0.35">
      <c r="A934" s="12">
        <v>70</v>
      </c>
      <c r="B934" s="19" t="s">
        <v>1670</v>
      </c>
      <c r="C934" s="19">
        <v>2023</v>
      </c>
      <c r="D934" s="19" t="s">
        <v>1638</v>
      </c>
      <c r="E934" s="13" t="s">
        <v>1671</v>
      </c>
      <c r="F934" s="12" t="s">
        <v>1647</v>
      </c>
      <c r="G934" s="14" t="s">
        <v>86</v>
      </c>
      <c r="H934" s="12" t="s">
        <v>1758</v>
      </c>
      <c r="I934" s="12">
        <v>47.393909999999998</v>
      </c>
      <c r="J934" s="12">
        <v>-79.541759999999996</v>
      </c>
      <c r="K934" s="12" t="s">
        <v>103</v>
      </c>
      <c r="L934" s="12" t="s">
        <v>223</v>
      </c>
      <c r="N934" s="12" t="s">
        <v>1759</v>
      </c>
      <c r="O934" s="12" t="s">
        <v>107</v>
      </c>
      <c r="P934" s="12" t="s">
        <v>1759</v>
      </c>
      <c r="Q934" s="12" t="s">
        <v>107</v>
      </c>
    </row>
    <row r="935" spans="1:17" ht="15.75" customHeight="1" x14ac:dyDescent="0.35">
      <c r="A935" s="12">
        <v>70</v>
      </c>
      <c r="B935" s="19" t="s">
        <v>1670</v>
      </c>
      <c r="C935" s="19">
        <v>2023</v>
      </c>
      <c r="D935" s="19" t="s">
        <v>1638</v>
      </c>
      <c r="E935" s="13" t="s">
        <v>1671</v>
      </c>
      <c r="F935" s="12" t="s">
        <v>1647</v>
      </c>
      <c r="G935" s="14" t="s">
        <v>86</v>
      </c>
      <c r="H935" s="12" t="s">
        <v>1760</v>
      </c>
      <c r="I935" s="12">
        <v>47.442770000000003</v>
      </c>
      <c r="J935" s="12">
        <v>-79.627030000000005</v>
      </c>
      <c r="K935" s="12" t="s">
        <v>103</v>
      </c>
      <c r="L935" s="12" t="s">
        <v>223</v>
      </c>
      <c r="N935" s="12" t="s">
        <v>1761</v>
      </c>
      <c r="O935" s="12" t="s">
        <v>107</v>
      </c>
      <c r="P935" s="12" t="s">
        <v>1761</v>
      </c>
      <c r="Q935" s="12" t="s">
        <v>107</v>
      </c>
    </row>
    <row r="936" spans="1:17" ht="15.75" customHeight="1" x14ac:dyDescent="0.35">
      <c r="A936" s="12">
        <v>70</v>
      </c>
      <c r="B936" s="19" t="s">
        <v>1670</v>
      </c>
      <c r="C936" s="19">
        <v>2023</v>
      </c>
      <c r="D936" s="19" t="s">
        <v>1638</v>
      </c>
      <c r="E936" s="13" t="s">
        <v>1671</v>
      </c>
      <c r="F936" s="12" t="s">
        <v>1647</v>
      </c>
      <c r="G936" s="14" t="s">
        <v>86</v>
      </c>
      <c r="H936" s="12" t="s">
        <v>1762</v>
      </c>
      <c r="I936" s="12">
        <v>47.478029999999997</v>
      </c>
      <c r="J936" s="12">
        <v>-79.60933</v>
      </c>
      <c r="K936" s="12" t="s">
        <v>103</v>
      </c>
      <c r="L936" s="12" t="s">
        <v>223</v>
      </c>
      <c r="N936" s="12" t="s">
        <v>1763</v>
      </c>
      <c r="O936" s="12" t="s">
        <v>107</v>
      </c>
      <c r="P936" s="12" t="s">
        <v>1763</v>
      </c>
      <c r="Q936" s="12" t="s">
        <v>107</v>
      </c>
    </row>
    <row r="937" spans="1:17" ht="15.75" customHeight="1" x14ac:dyDescent="0.35">
      <c r="A937" s="12">
        <v>70</v>
      </c>
      <c r="B937" s="19" t="s">
        <v>1670</v>
      </c>
      <c r="C937" s="19">
        <v>2023</v>
      </c>
      <c r="D937" s="19" t="s">
        <v>1638</v>
      </c>
      <c r="E937" s="13" t="s">
        <v>1671</v>
      </c>
      <c r="F937" s="12" t="s">
        <v>1647</v>
      </c>
      <c r="G937" s="14" t="s">
        <v>86</v>
      </c>
      <c r="H937" s="12" t="s">
        <v>1764</v>
      </c>
      <c r="I937" s="12">
        <v>47.475299999999997</v>
      </c>
      <c r="J937" s="12">
        <v>-79.662999999999997</v>
      </c>
      <c r="K937" s="12" t="s">
        <v>103</v>
      </c>
      <c r="L937" s="12" t="s">
        <v>223</v>
      </c>
      <c r="N937" s="12" t="s">
        <v>1765</v>
      </c>
      <c r="O937" s="12" t="s">
        <v>107</v>
      </c>
      <c r="P937" s="12" t="s">
        <v>1765</v>
      </c>
      <c r="Q937" s="12" t="s">
        <v>107</v>
      </c>
    </row>
    <row r="938" spans="1:17" ht="15.75" customHeight="1" x14ac:dyDescent="0.35">
      <c r="A938" s="12">
        <v>70</v>
      </c>
      <c r="B938" s="19" t="s">
        <v>1670</v>
      </c>
      <c r="C938" s="19">
        <v>2023</v>
      </c>
      <c r="D938" s="19" t="s">
        <v>1638</v>
      </c>
      <c r="E938" s="13" t="s">
        <v>1671</v>
      </c>
      <c r="F938" s="12" t="s">
        <v>1647</v>
      </c>
      <c r="G938" s="14" t="s">
        <v>86</v>
      </c>
      <c r="H938" s="12" t="s">
        <v>1766</v>
      </c>
      <c r="I938" s="12">
        <v>47.488239999999998</v>
      </c>
      <c r="J938" s="12">
        <v>-79.671040000000005</v>
      </c>
      <c r="K938" s="12" t="s">
        <v>103</v>
      </c>
      <c r="L938" s="12" t="s">
        <v>223</v>
      </c>
      <c r="N938" s="12" t="s">
        <v>1767</v>
      </c>
      <c r="O938" s="12" t="s">
        <v>107</v>
      </c>
      <c r="P938" s="12" t="s">
        <v>1767</v>
      </c>
      <c r="Q938" s="12" t="s">
        <v>107</v>
      </c>
    </row>
    <row r="939" spans="1:17" ht="15.75" customHeight="1" x14ac:dyDescent="0.35">
      <c r="A939" s="12">
        <v>70</v>
      </c>
      <c r="B939" s="19" t="s">
        <v>1670</v>
      </c>
      <c r="C939" s="19">
        <v>2023</v>
      </c>
      <c r="D939" s="19" t="s">
        <v>1638</v>
      </c>
      <c r="E939" s="13" t="s">
        <v>1671</v>
      </c>
      <c r="F939" s="12" t="s">
        <v>1647</v>
      </c>
      <c r="G939" s="14" t="s">
        <v>86</v>
      </c>
      <c r="H939" s="12" t="s">
        <v>1768</v>
      </c>
      <c r="I939" s="12">
        <v>47.499319999999997</v>
      </c>
      <c r="J939" s="12">
        <v>-79.677599999999998</v>
      </c>
      <c r="K939" s="12" t="s">
        <v>103</v>
      </c>
      <c r="L939" s="12" t="s">
        <v>223</v>
      </c>
      <c r="N939" s="12" t="s">
        <v>1769</v>
      </c>
      <c r="O939" s="12" t="s">
        <v>107</v>
      </c>
      <c r="P939" s="12" t="s">
        <v>1769</v>
      </c>
      <c r="Q939" s="12" t="s">
        <v>107</v>
      </c>
    </row>
    <row r="940" spans="1:17" ht="15.75" customHeight="1" x14ac:dyDescent="0.35">
      <c r="A940" s="12">
        <v>70</v>
      </c>
      <c r="B940" s="19" t="s">
        <v>1670</v>
      </c>
      <c r="C940" s="19">
        <v>2023</v>
      </c>
      <c r="D940" s="19" t="s">
        <v>1638</v>
      </c>
      <c r="E940" s="13" t="s">
        <v>1671</v>
      </c>
      <c r="F940" s="12" t="s">
        <v>1647</v>
      </c>
      <c r="G940" s="14" t="s">
        <v>86</v>
      </c>
      <c r="H940" s="12" t="s">
        <v>1770</v>
      </c>
      <c r="I940" s="12">
        <v>47.503689999999999</v>
      </c>
      <c r="J940" s="12">
        <v>-79.674440000000004</v>
      </c>
      <c r="K940" s="12" t="s">
        <v>103</v>
      </c>
      <c r="L940" s="12" t="s">
        <v>223</v>
      </c>
      <c r="N940" s="12" t="s">
        <v>1771</v>
      </c>
      <c r="O940" s="12" t="s">
        <v>107</v>
      </c>
      <c r="P940" s="12" t="s">
        <v>1771</v>
      </c>
      <c r="Q940" s="12" t="s">
        <v>107</v>
      </c>
    </row>
    <row r="941" spans="1:17" ht="15.75" customHeight="1" x14ac:dyDescent="0.35">
      <c r="A941" s="12">
        <v>70</v>
      </c>
      <c r="B941" s="19" t="s">
        <v>1670</v>
      </c>
      <c r="C941" s="19">
        <v>2023</v>
      </c>
      <c r="D941" s="19" t="s">
        <v>1638</v>
      </c>
      <c r="E941" s="13" t="s">
        <v>1671</v>
      </c>
      <c r="F941" s="12" t="s">
        <v>1647</v>
      </c>
      <c r="G941" s="14" t="s">
        <v>86</v>
      </c>
      <c r="H941" s="12" t="s">
        <v>1772</v>
      </c>
      <c r="I941" s="12">
        <v>47.506180000000001</v>
      </c>
      <c r="J941" s="12">
        <v>-79.670029999999997</v>
      </c>
      <c r="K941" s="12" t="s">
        <v>103</v>
      </c>
      <c r="L941" s="12" t="s">
        <v>223</v>
      </c>
      <c r="N941" s="12" t="s">
        <v>1773</v>
      </c>
      <c r="O941" s="12" t="s">
        <v>107</v>
      </c>
      <c r="P941" s="12" t="s">
        <v>1773</v>
      </c>
      <c r="Q941" s="12" t="s">
        <v>107</v>
      </c>
    </row>
    <row r="942" spans="1:17" ht="15.75" customHeight="1" x14ac:dyDescent="0.35">
      <c r="A942" s="12">
        <v>70</v>
      </c>
      <c r="B942" s="19" t="s">
        <v>1670</v>
      </c>
      <c r="C942" s="19">
        <v>2023</v>
      </c>
      <c r="D942" s="19" t="s">
        <v>1638</v>
      </c>
      <c r="E942" s="13" t="s">
        <v>1671</v>
      </c>
      <c r="F942" s="12" t="s">
        <v>1647</v>
      </c>
      <c r="G942" s="14" t="s">
        <v>86</v>
      </c>
      <c r="H942" s="12" t="s">
        <v>1774</v>
      </c>
      <c r="I942" s="12">
        <v>47.51341</v>
      </c>
      <c r="J942" s="12">
        <v>-79.659649999999999</v>
      </c>
      <c r="K942" s="12" t="s">
        <v>103</v>
      </c>
      <c r="L942" s="12" t="s">
        <v>223</v>
      </c>
      <c r="N942" s="12" t="s">
        <v>1775</v>
      </c>
      <c r="O942" s="12" t="s">
        <v>107</v>
      </c>
      <c r="P942" s="12" t="s">
        <v>1775</v>
      </c>
      <c r="Q942" s="12" t="s">
        <v>107</v>
      </c>
    </row>
    <row r="943" spans="1:17" ht="15.75" customHeight="1" x14ac:dyDescent="0.35">
      <c r="A943" s="12">
        <v>70</v>
      </c>
      <c r="B943" s="19" t="s">
        <v>1670</v>
      </c>
      <c r="C943" s="19">
        <v>2023</v>
      </c>
      <c r="D943" s="19" t="s">
        <v>1638</v>
      </c>
      <c r="E943" s="13" t="s">
        <v>1671</v>
      </c>
      <c r="F943" s="12" t="s">
        <v>1647</v>
      </c>
      <c r="G943" s="14" t="s">
        <v>86</v>
      </c>
      <c r="H943" s="12" t="s">
        <v>1776</v>
      </c>
      <c r="I943" s="12">
        <v>47.540500000000002</v>
      </c>
      <c r="J943" s="12">
        <v>-79.584599999999995</v>
      </c>
      <c r="K943" s="12" t="s">
        <v>103</v>
      </c>
      <c r="L943" s="12" t="s">
        <v>223</v>
      </c>
      <c r="N943" s="12" t="s">
        <v>1777</v>
      </c>
      <c r="O943" s="12" t="s">
        <v>107</v>
      </c>
      <c r="P943" s="12" t="s">
        <v>1777</v>
      </c>
      <c r="Q943" s="12" t="s">
        <v>107</v>
      </c>
    </row>
    <row r="944" spans="1:17" ht="15.75" customHeight="1" x14ac:dyDescent="0.35">
      <c r="A944" s="12">
        <v>70</v>
      </c>
      <c r="B944" s="19" t="s">
        <v>1670</v>
      </c>
      <c r="C944" s="19">
        <v>2023</v>
      </c>
      <c r="D944" s="19" t="s">
        <v>1638</v>
      </c>
      <c r="E944" s="13" t="s">
        <v>1671</v>
      </c>
      <c r="F944" s="12" t="s">
        <v>1647</v>
      </c>
      <c r="G944" s="14" t="s">
        <v>86</v>
      </c>
      <c r="H944" s="12" t="s">
        <v>1778</v>
      </c>
      <c r="I944" s="12">
        <v>47.571710000000003</v>
      </c>
      <c r="J944" s="12">
        <v>-79.494529999999997</v>
      </c>
      <c r="K944" s="12" t="s">
        <v>103</v>
      </c>
      <c r="L944" s="12" t="s">
        <v>223</v>
      </c>
      <c r="N944" s="12" t="s">
        <v>1779</v>
      </c>
      <c r="O944" s="12" t="s">
        <v>107</v>
      </c>
      <c r="P944" s="12" t="s">
        <v>1779</v>
      </c>
      <c r="Q944" s="12" t="s">
        <v>107</v>
      </c>
    </row>
    <row r="945" spans="1:17" ht="15.75" customHeight="1" x14ac:dyDescent="0.35">
      <c r="A945" s="12">
        <v>70</v>
      </c>
      <c r="B945" s="19" t="s">
        <v>1670</v>
      </c>
      <c r="C945" s="19">
        <v>2023</v>
      </c>
      <c r="D945" s="19" t="s">
        <v>1638</v>
      </c>
      <c r="E945" s="13" t="s">
        <v>1671</v>
      </c>
      <c r="F945" s="12" t="s">
        <v>1647</v>
      </c>
      <c r="G945" s="14" t="s">
        <v>86</v>
      </c>
      <c r="H945" s="12" t="s">
        <v>1780</v>
      </c>
      <c r="I945" s="12">
        <v>47.576129999999999</v>
      </c>
      <c r="J945" s="12">
        <v>-79.490989999999996</v>
      </c>
      <c r="K945" s="12" t="s">
        <v>103</v>
      </c>
      <c r="L945" s="12" t="s">
        <v>223</v>
      </c>
      <c r="N945" s="12" t="s">
        <v>1781</v>
      </c>
      <c r="O945" s="12" t="s">
        <v>107</v>
      </c>
      <c r="P945" s="12" t="s">
        <v>1781</v>
      </c>
      <c r="Q945" s="12" t="s">
        <v>107</v>
      </c>
    </row>
    <row r="946" spans="1:17" ht="15.75" customHeight="1" x14ac:dyDescent="0.35">
      <c r="A946" s="12">
        <v>70</v>
      </c>
      <c r="B946" s="19" t="s">
        <v>1670</v>
      </c>
      <c r="C946" s="19">
        <v>2023</v>
      </c>
      <c r="D946" s="19" t="s">
        <v>1638</v>
      </c>
      <c r="E946" s="13" t="s">
        <v>1671</v>
      </c>
      <c r="F946" s="12" t="s">
        <v>1647</v>
      </c>
      <c r="G946" s="14" t="s">
        <v>86</v>
      </c>
      <c r="H946" s="12" t="s">
        <v>1782</v>
      </c>
      <c r="I946" s="12">
        <v>45.571680000000001</v>
      </c>
      <c r="J946" s="12">
        <v>-75.851249999999993</v>
      </c>
      <c r="K946" s="12" t="s">
        <v>103</v>
      </c>
      <c r="L946" s="12" t="s">
        <v>223</v>
      </c>
      <c r="N946" s="12" t="s">
        <v>1783</v>
      </c>
      <c r="O946" s="12" t="s">
        <v>107</v>
      </c>
      <c r="P946" s="12" t="s">
        <v>1783</v>
      </c>
      <c r="Q946" s="12" t="s">
        <v>107</v>
      </c>
    </row>
    <row r="947" spans="1:17" ht="15.75" customHeight="1" x14ac:dyDescent="0.35">
      <c r="A947" s="12">
        <v>70</v>
      </c>
      <c r="B947" s="19" t="s">
        <v>1670</v>
      </c>
      <c r="C947" s="19">
        <v>2023</v>
      </c>
      <c r="D947" s="19" t="s">
        <v>1638</v>
      </c>
      <c r="E947" s="13" t="s">
        <v>1671</v>
      </c>
      <c r="F947" s="12" t="s">
        <v>1647</v>
      </c>
      <c r="G947" s="14" t="s">
        <v>86</v>
      </c>
      <c r="H947" s="12" t="s">
        <v>1784</v>
      </c>
      <c r="I947" s="12">
        <v>45.570959999999999</v>
      </c>
      <c r="J947" s="12">
        <v>-75.887010000000004</v>
      </c>
      <c r="K947" s="12" t="s">
        <v>103</v>
      </c>
      <c r="L947" s="12" t="s">
        <v>223</v>
      </c>
      <c r="N947" s="12" t="s">
        <v>1785</v>
      </c>
      <c r="O947" s="12" t="s">
        <v>107</v>
      </c>
      <c r="P947" s="12" t="s">
        <v>1785</v>
      </c>
      <c r="Q947" s="12" t="s">
        <v>107</v>
      </c>
    </row>
    <row r="948" spans="1:17" ht="15.75" customHeight="1" x14ac:dyDescent="0.35">
      <c r="A948" s="12">
        <v>70</v>
      </c>
      <c r="B948" s="19" t="s">
        <v>1670</v>
      </c>
      <c r="C948" s="19">
        <v>2023</v>
      </c>
      <c r="D948" s="19" t="s">
        <v>1638</v>
      </c>
      <c r="E948" s="13" t="s">
        <v>1671</v>
      </c>
      <c r="F948" s="12" t="s">
        <v>1647</v>
      </c>
      <c r="G948" s="14" t="s">
        <v>86</v>
      </c>
      <c r="H948" s="12" t="s">
        <v>1786</v>
      </c>
      <c r="I948" s="12">
        <v>45.636890000000001</v>
      </c>
      <c r="J948" s="12">
        <v>-75.932209999999998</v>
      </c>
      <c r="K948" s="12" t="s">
        <v>103</v>
      </c>
      <c r="L948" s="12" t="s">
        <v>223</v>
      </c>
      <c r="N948" s="12" t="s">
        <v>1759</v>
      </c>
      <c r="O948" s="12" t="s">
        <v>107</v>
      </c>
      <c r="P948" s="12" t="s">
        <v>1759</v>
      </c>
      <c r="Q948" s="12" t="s">
        <v>107</v>
      </c>
    </row>
    <row r="949" spans="1:17" ht="15.75" customHeight="1" x14ac:dyDescent="0.35">
      <c r="A949" s="12">
        <v>70</v>
      </c>
      <c r="B949" s="19" t="s">
        <v>1670</v>
      </c>
      <c r="C949" s="19">
        <v>2023</v>
      </c>
      <c r="D949" s="19" t="s">
        <v>1638</v>
      </c>
      <c r="E949" s="13" t="s">
        <v>1671</v>
      </c>
      <c r="F949" s="12" t="s">
        <v>1647</v>
      </c>
      <c r="G949" s="14" t="s">
        <v>86</v>
      </c>
      <c r="H949" s="12" t="s">
        <v>1787</v>
      </c>
      <c r="I949" s="12">
        <v>45.640210000000003</v>
      </c>
      <c r="J949" s="12">
        <v>-75.927269999999993</v>
      </c>
      <c r="K949" s="12" t="s">
        <v>103</v>
      </c>
      <c r="L949" s="12" t="s">
        <v>223</v>
      </c>
      <c r="N949" s="12" t="s">
        <v>1788</v>
      </c>
      <c r="O949" s="12" t="s">
        <v>107</v>
      </c>
      <c r="P949" s="12" t="s">
        <v>1788</v>
      </c>
      <c r="Q949" s="12" t="s">
        <v>107</v>
      </c>
    </row>
    <row r="950" spans="1:17" ht="15.75" customHeight="1" x14ac:dyDescent="0.35">
      <c r="A950" s="12">
        <v>70</v>
      </c>
      <c r="B950" s="19" t="s">
        <v>1670</v>
      </c>
      <c r="C950" s="19">
        <v>2023</v>
      </c>
      <c r="D950" s="19" t="s">
        <v>1638</v>
      </c>
      <c r="E950" s="13" t="s">
        <v>1671</v>
      </c>
      <c r="F950" s="12" t="s">
        <v>1647</v>
      </c>
      <c r="G950" s="14" t="s">
        <v>86</v>
      </c>
      <c r="H950" s="12" t="s">
        <v>1789</v>
      </c>
      <c r="I950" s="12">
        <v>45.643560000000001</v>
      </c>
      <c r="J950" s="12">
        <v>-75.918999999999997</v>
      </c>
      <c r="K950" s="12" t="s">
        <v>103</v>
      </c>
      <c r="L950" s="12" t="s">
        <v>223</v>
      </c>
      <c r="N950" s="12" t="s">
        <v>1790</v>
      </c>
      <c r="O950" s="12" t="s">
        <v>107</v>
      </c>
      <c r="P950" s="12" t="s">
        <v>1790</v>
      </c>
      <c r="Q950" s="12" t="s">
        <v>107</v>
      </c>
    </row>
    <row r="951" spans="1:17" ht="15.75" customHeight="1" x14ac:dyDescent="0.35">
      <c r="A951" s="12">
        <v>70</v>
      </c>
      <c r="B951" s="19" t="s">
        <v>1670</v>
      </c>
      <c r="C951" s="19">
        <v>2023</v>
      </c>
      <c r="D951" s="19" t="s">
        <v>1638</v>
      </c>
      <c r="E951" s="13" t="s">
        <v>1671</v>
      </c>
      <c r="F951" s="12" t="s">
        <v>1647</v>
      </c>
      <c r="G951" s="14" t="s">
        <v>86</v>
      </c>
      <c r="H951" s="12" t="s">
        <v>1791</v>
      </c>
      <c r="I951" s="12">
        <v>44.981789999999997</v>
      </c>
      <c r="J951" s="12">
        <v>-75.798929999999999</v>
      </c>
      <c r="K951" s="12" t="s">
        <v>103</v>
      </c>
      <c r="L951" s="12" t="s">
        <v>223</v>
      </c>
      <c r="N951" s="12" t="s">
        <v>1792</v>
      </c>
      <c r="O951" s="12" t="s">
        <v>107</v>
      </c>
      <c r="P951" s="12" t="s">
        <v>1792</v>
      </c>
      <c r="Q951" s="12" t="s">
        <v>107</v>
      </c>
    </row>
    <row r="952" spans="1:17" ht="15.75" customHeight="1" x14ac:dyDescent="0.35">
      <c r="A952" s="12">
        <v>70</v>
      </c>
      <c r="B952" s="19" t="s">
        <v>1670</v>
      </c>
      <c r="C952" s="19">
        <v>2023</v>
      </c>
      <c r="D952" s="19" t="s">
        <v>1638</v>
      </c>
      <c r="E952" s="13" t="s">
        <v>1671</v>
      </c>
      <c r="F952" s="12" t="s">
        <v>1647</v>
      </c>
      <c r="G952" s="14" t="s">
        <v>86</v>
      </c>
      <c r="H952" s="12" t="s">
        <v>1793</v>
      </c>
      <c r="I952" s="12">
        <v>45.442300000000003</v>
      </c>
      <c r="J952" s="12">
        <v>-76.348889999999997</v>
      </c>
      <c r="K952" s="12" t="s">
        <v>103</v>
      </c>
      <c r="L952" s="12" t="s">
        <v>223</v>
      </c>
      <c r="N952" s="12" t="s">
        <v>1794</v>
      </c>
      <c r="O952" s="12" t="s">
        <v>107</v>
      </c>
      <c r="P952" s="12" t="s">
        <v>1794</v>
      </c>
      <c r="Q952" s="12" t="s">
        <v>107</v>
      </c>
    </row>
    <row r="953" spans="1:17" ht="15.75" customHeight="1" x14ac:dyDescent="0.35">
      <c r="A953" s="12">
        <v>70</v>
      </c>
      <c r="B953" s="19" t="s">
        <v>1670</v>
      </c>
      <c r="C953" s="19">
        <v>2023</v>
      </c>
      <c r="D953" s="19" t="s">
        <v>1638</v>
      </c>
      <c r="E953" s="13" t="s">
        <v>1671</v>
      </c>
      <c r="F953" s="12" t="s">
        <v>1647</v>
      </c>
      <c r="G953" s="14" t="s">
        <v>86</v>
      </c>
      <c r="H953" s="12" t="s">
        <v>1795</v>
      </c>
      <c r="I953" s="12">
        <v>45.64846</v>
      </c>
      <c r="J953" s="12">
        <v>-77.571759999999998</v>
      </c>
      <c r="K953" s="12" t="s">
        <v>103</v>
      </c>
      <c r="L953" s="12" t="s">
        <v>223</v>
      </c>
      <c r="N953" s="12" t="s">
        <v>1796</v>
      </c>
      <c r="O953" s="12" t="s">
        <v>107</v>
      </c>
      <c r="P953" s="12" t="s">
        <v>1796</v>
      </c>
      <c r="Q953" s="12" t="s">
        <v>107</v>
      </c>
    </row>
    <row r="954" spans="1:17" ht="15.75" customHeight="1" x14ac:dyDescent="0.35">
      <c r="A954" s="12">
        <v>70</v>
      </c>
      <c r="B954" s="19" t="s">
        <v>1670</v>
      </c>
      <c r="C954" s="19">
        <v>2023</v>
      </c>
      <c r="D954" s="19" t="s">
        <v>1638</v>
      </c>
      <c r="E954" s="13" t="s">
        <v>1671</v>
      </c>
      <c r="F954" s="12" t="s">
        <v>1647</v>
      </c>
      <c r="G954" s="14" t="s">
        <v>86</v>
      </c>
      <c r="H954" s="12" t="s">
        <v>1797</v>
      </c>
      <c r="I954" s="12">
        <v>47.042879999999997</v>
      </c>
      <c r="J954" s="12">
        <v>-79.268510000000006</v>
      </c>
      <c r="K954" s="12" t="s">
        <v>103</v>
      </c>
      <c r="L954" s="12" t="s">
        <v>223</v>
      </c>
      <c r="N954" s="12" t="s">
        <v>1785</v>
      </c>
      <c r="O954" s="12" t="s">
        <v>107</v>
      </c>
      <c r="P954" s="12" t="s">
        <v>1785</v>
      </c>
      <c r="Q954" s="12" t="s">
        <v>107</v>
      </c>
    </row>
    <row r="955" spans="1:17" ht="15.75" customHeight="1" x14ac:dyDescent="0.35">
      <c r="A955" s="12">
        <v>70</v>
      </c>
      <c r="B955" s="19" t="s">
        <v>1670</v>
      </c>
      <c r="C955" s="19">
        <v>2023</v>
      </c>
      <c r="D955" s="19" t="s">
        <v>1638</v>
      </c>
      <c r="E955" s="13" t="s">
        <v>1671</v>
      </c>
      <c r="F955" s="12" t="s">
        <v>1647</v>
      </c>
      <c r="G955" s="14" t="s">
        <v>86</v>
      </c>
      <c r="H955" s="12" t="s">
        <v>1798</v>
      </c>
      <c r="I955" s="12">
        <v>47.264380000000003</v>
      </c>
      <c r="J955" s="12">
        <v>-79.158180000000002</v>
      </c>
      <c r="K955" s="12" t="s">
        <v>103</v>
      </c>
      <c r="L955" s="12" t="s">
        <v>223</v>
      </c>
      <c r="N955" s="12" t="s">
        <v>1799</v>
      </c>
      <c r="O955" s="12" t="s">
        <v>107</v>
      </c>
      <c r="P955" s="12" t="s">
        <v>1799</v>
      </c>
      <c r="Q955" s="12" t="s">
        <v>107</v>
      </c>
    </row>
    <row r="956" spans="1:17" ht="15.75" customHeight="1" x14ac:dyDescent="0.35">
      <c r="A956" s="12">
        <v>70</v>
      </c>
      <c r="B956" s="19" t="s">
        <v>1670</v>
      </c>
      <c r="C956" s="19">
        <v>2023</v>
      </c>
      <c r="D956" s="19" t="s">
        <v>1638</v>
      </c>
      <c r="E956" s="13" t="s">
        <v>1671</v>
      </c>
      <c r="F956" s="12" t="s">
        <v>1647</v>
      </c>
      <c r="G956" s="14" t="s">
        <v>86</v>
      </c>
      <c r="H956" s="12" t="s">
        <v>1800</v>
      </c>
      <c r="I956" s="12">
        <v>48.431440000000002</v>
      </c>
      <c r="J956" s="12">
        <v>-78.691559999999996</v>
      </c>
      <c r="K956" s="12" t="s">
        <v>103</v>
      </c>
      <c r="L956" s="12" t="s">
        <v>223</v>
      </c>
      <c r="N956" s="12" t="s">
        <v>1801</v>
      </c>
      <c r="O956" s="12" t="s">
        <v>107</v>
      </c>
      <c r="P956" s="12" t="s">
        <v>1801</v>
      </c>
      <c r="Q956" s="12" t="s">
        <v>107</v>
      </c>
    </row>
    <row r="957" spans="1:17" x14ac:dyDescent="0.35">
      <c r="A957" s="12">
        <v>71</v>
      </c>
      <c r="B957" s="12" t="s">
        <v>1802</v>
      </c>
      <c r="C957" s="12">
        <v>2021</v>
      </c>
      <c r="D957" s="12" t="s">
        <v>1638</v>
      </c>
      <c r="E957" s="12" t="s">
        <v>1803</v>
      </c>
      <c r="F957" s="12" t="s">
        <v>1804</v>
      </c>
      <c r="G957" s="12" t="s">
        <v>242</v>
      </c>
      <c r="H957" s="12" t="s">
        <v>1805</v>
      </c>
      <c r="I957" s="12">
        <v>53.367400000000004</v>
      </c>
      <c r="J957" s="16">
        <v>-113.75279999999999</v>
      </c>
      <c r="K957" s="12" t="s">
        <v>41</v>
      </c>
      <c r="L957" s="12" t="s">
        <v>223</v>
      </c>
      <c r="M957" s="12" t="s">
        <v>1807</v>
      </c>
      <c r="N957" s="12">
        <v>23</v>
      </c>
      <c r="O957" s="12" t="s">
        <v>248</v>
      </c>
      <c r="P957" s="12">
        <f t="shared" ref="P957:P964" si="23">N957/1000</f>
        <v>2.3E-2</v>
      </c>
      <c r="Q957" s="12" t="s">
        <v>59</v>
      </c>
    </row>
    <row r="958" spans="1:17" x14ac:dyDescent="0.35">
      <c r="A958" s="12">
        <v>71</v>
      </c>
      <c r="B958" s="12" t="s">
        <v>1802</v>
      </c>
      <c r="C958" s="12">
        <v>2021</v>
      </c>
      <c r="D958" s="12" t="s">
        <v>1638</v>
      </c>
      <c r="E958" s="12" t="s">
        <v>1803</v>
      </c>
      <c r="F958" s="12" t="s">
        <v>1804</v>
      </c>
      <c r="G958" s="12" t="s">
        <v>242</v>
      </c>
      <c r="H958" s="12" t="s">
        <v>1808</v>
      </c>
      <c r="I958" s="12">
        <v>53.512</v>
      </c>
      <c r="J958" s="16">
        <v>-113.5471</v>
      </c>
      <c r="K958" s="12" t="s">
        <v>41</v>
      </c>
      <c r="L958" s="12" t="s">
        <v>223</v>
      </c>
      <c r="M958" s="12" t="s">
        <v>1807</v>
      </c>
      <c r="N958" s="12">
        <v>28</v>
      </c>
      <c r="O958" s="12" t="s">
        <v>248</v>
      </c>
      <c r="P958" s="12">
        <f t="shared" si="23"/>
        <v>2.8000000000000001E-2</v>
      </c>
      <c r="Q958" s="12" t="s">
        <v>59</v>
      </c>
    </row>
    <row r="959" spans="1:17" x14ac:dyDescent="0.35">
      <c r="A959" s="12">
        <v>71</v>
      </c>
      <c r="B959" s="12" t="s">
        <v>1802</v>
      </c>
      <c r="C959" s="12">
        <v>2021</v>
      </c>
      <c r="D959" s="12" t="s">
        <v>1638</v>
      </c>
      <c r="E959" s="12" t="s">
        <v>1803</v>
      </c>
      <c r="F959" s="12" t="s">
        <v>1804</v>
      </c>
      <c r="G959" s="12" t="s">
        <v>242</v>
      </c>
      <c r="H959" s="12" t="s">
        <v>1810</v>
      </c>
      <c r="I959" s="12">
        <v>53.545699999999997</v>
      </c>
      <c r="J959" s="16">
        <v>-113.5391</v>
      </c>
      <c r="K959" s="12" t="s">
        <v>41</v>
      </c>
      <c r="L959" s="12" t="s">
        <v>223</v>
      </c>
      <c r="M959" s="12" t="s">
        <v>1807</v>
      </c>
      <c r="N959" s="12">
        <v>25</v>
      </c>
      <c r="O959" s="12" t="s">
        <v>248</v>
      </c>
      <c r="P959" s="12">
        <f t="shared" si="23"/>
        <v>2.5000000000000001E-2</v>
      </c>
      <c r="Q959" s="12" t="s">
        <v>59</v>
      </c>
    </row>
    <row r="960" spans="1:17" x14ac:dyDescent="0.35">
      <c r="A960" s="12">
        <v>71</v>
      </c>
      <c r="B960" s="12" t="s">
        <v>1802</v>
      </c>
      <c r="C960" s="12">
        <v>2021</v>
      </c>
      <c r="D960" s="12" t="s">
        <v>1638</v>
      </c>
      <c r="E960" s="12" t="s">
        <v>1803</v>
      </c>
      <c r="F960" s="12" t="s">
        <v>1804</v>
      </c>
      <c r="G960" s="12" t="s">
        <v>242</v>
      </c>
      <c r="H960" s="12" t="s">
        <v>1812</v>
      </c>
      <c r="I960" s="12">
        <v>53.542000000000002</v>
      </c>
      <c r="J960" s="16">
        <v>-113.4632</v>
      </c>
      <c r="K960" s="12" t="s">
        <v>41</v>
      </c>
      <c r="L960" s="12" t="s">
        <v>223</v>
      </c>
      <c r="M960" s="12" t="s">
        <v>1807</v>
      </c>
      <c r="N960" s="12">
        <v>24</v>
      </c>
      <c r="O960" s="12" t="s">
        <v>248</v>
      </c>
      <c r="P960" s="12">
        <f t="shared" si="23"/>
        <v>2.4E-2</v>
      </c>
      <c r="Q960" s="12" t="s">
        <v>59</v>
      </c>
    </row>
    <row r="961" spans="1:17" x14ac:dyDescent="0.35">
      <c r="A961" s="12">
        <v>71</v>
      </c>
      <c r="B961" s="12" t="s">
        <v>1802</v>
      </c>
      <c r="C961" s="12">
        <v>2021</v>
      </c>
      <c r="D961" s="12" t="s">
        <v>1638</v>
      </c>
      <c r="E961" s="12" t="s">
        <v>1803</v>
      </c>
      <c r="F961" s="12" t="s">
        <v>1804</v>
      </c>
      <c r="G961" s="12" t="s">
        <v>242</v>
      </c>
      <c r="H961" s="12" t="s">
        <v>1813</v>
      </c>
      <c r="I961" s="12">
        <v>53.6524</v>
      </c>
      <c r="J961" s="16">
        <v>-113.41849999999999</v>
      </c>
      <c r="K961" s="12" t="s">
        <v>41</v>
      </c>
      <c r="L961" s="12" t="s">
        <v>223</v>
      </c>
      <c r="M961" s="12" t="s">
        <v>1807</v>
      </c>
      <c r="N961" s="12">
        <v>16</v>
      </c>
      <c r="O961" s="12" t="s">
        <v>248</v>
      </c>
      <c r="P961" s="12">
        <f t="shared" si="23"/>
        <v>1.6E-2</v>
      </c>
      <c r="Q961" s="12" t="s">
        <v>59</v>
      </c>
    </row>
    <row r="962" spans="1:17" x14ac:dyDescent="0.35">
      <c r="A962" s="12">
        <v>71</v>
      </c>
      <c r="B962" s="12" t="s">
        <v>1802</v>
      </c>
      <c r="C962" s="12">
        <v>2021</v>
      </c>
      <c r="D962" s="12" t="s">
        <v>1638</v>
      </c>
      <c r="E962" s="12" t="s">
        <v>1803</v>
      </c>
      <c r="F962" s="12" t="s">
        <v>1804</v>
      </c>
      <c r="G962" s="12" t="s">
        <v>242</v>
      </c>
      <c r="H962" s="12" t="s">
        <v>1814</v>
      </c>
      <c r="I962" s="12">
        <v>53.561500000000002</v>
      </c>
      <c r="J962" s="16">
        <v>-113.4098</v>
      </c>
      <c r="K962" s="12" t="s">
        <v>41</v>
      </c>
      <c r="L962" s="12" t="s">
        <v>223</v>
      </c>
      <c r="M962" s="12" t="s">
        <v>1807</v>
      </c>
      <c r="N962" s="12">
        <v>17</v>
      </c>
      <c r="O962" s="12" t="s">
        <v>248</v>
      </c>
      <c r="P962" s="12">
        <f t="shared" si="23"/>
        <v>1.7000000000000001E-2</v>
      </c>
      <c r="Q962" s="12" t="s">
        <v>59</v>
      </c>
    </row>
    <row r="963" spans="1:17" x14ac:dyDescent="0.35">
      <c r="A963" s="12">
        <v>71</v>
      </c>
      <c r="B963" s="12" t="s">
        <v>1802</v>
      </c>
      <c r="C963" s="12">
        <v>2021</v>
      </c>
      <c r="D963" s="12" t="s">
        <v>1638</v>
      </c>
      <c r="E963" s="12" t="s">
        <v>1803</v>
      </c>
      <c r="F963" s="12" t="s">
        <v>1804</v>
      </c>
      <c r="G963" s="12" t="s">
        <v>242</v>
      </c>
      <c r="H963" s="12" t="s">
        <v>1815</v>
      </c>
      <c r="I963" s="12">
        <v>53.602800000000002</v>
      </c>
      <c r="J963" s="16">
        <v>-113.3703</v>
      </c>
      <c r="K963" s="12" t="s">
        <v>41</v>
      </c>
      <c r="L963" s="12" t="s">
        <v>223</v>
      </c>
      <c r="M963" s="12" t="s">
        <v>1807</v>
      </c>
      <c r="N963" s="12">
        <v>29</v>
      </c>
      <c r="O963" s="12" t="s">
        <v>248</v>
      </c>
      <c r="P963" s="12">
        <f t="shared" si="23"/>
        <v>2.9000000000000001E-2</v>
      </c>
      <c r="Q963" s="12" t="s">
        <v>59</v>
      </c>
    </row>
    <row r="964" spans="1:17" x14ac:dyDescent="0.35">
      <c r="A964" s="12">
        <v>71</v>
      </c>
      <c r="B964" s="12" t="s">
        <v>1802</v>
      </c>
      <c r="C964" s="12">
        <v>2021</v>
      </c>
      <c r="D964" s="12" t="s">
        <v>1638</v>
      </c>
      <c r="E964" s="12" t="s">
        <v>1803</v>
      </c>
      <c r="F964" s="12" t="s">
        <v>1804</v>
      </c>
      <c r="G964" s="12" t="s">
        <v>242</v>
      </c>
      <c r="H964" s="12" t="s">
        <v>1816</v>
      </c>
      <c r="I964" s="12">
        <v>53.6282</v>
      </c>
      <c r="J964" s="16">
        <v>-113.3206</v>
      </c>
      <c r="K964" s="12" t="s">
        <v>41</v>
      </c>
      <c r="L964" s="12" t="s">
        <v>223</v>
      </c>
      <c r="M964" s="12" t="s">
        <v>1807</v>
      </c>
      <c r="N964" s="12">
        <v>56</v>
      </c>
      <c r="O964" s="12" t="s">
        <v>248</v>
      </c>
      <c r="P964" s="12">
        <f t="shared" si="23"/>
        <v>5.6000000000000001E-2</v>
      </c>
      <c r="Q964" s="12" t="s">
        <v>59</v>
      </c>
    </row>
    <row r="965" spans="1:17" x14ac:dyDescent="0.35">
      <c r="A965" s="12">
        <v>72</v>
      </c>
      <c r="B965" s="19" t="s">
        <v>1817</v>
      </c>
      <c r="C965" s="19">
        <v>2021</v>
      </c>
      <c r="D965" s="19" t="s">
        <v>1638</v>
      </c>
      <c r="E965" s="13" t="s">
        <v>1818</v>
      </c>
      <c r="F965" s="12" t="s">
        <v>1819</v>
      </c>
      <c r="G965" s="14" t="s">
        <v>25</v>
      </c>
      <c r="H965" s="12">
        <v>736</v>
      </c>
      <c r="I965" s="14">
        <v>58.429600000000001</v>
      </c>
      <c r="J965" s="36">
        <v>-78.3</v>
      </c>
      <c r="K965" s="12" t="s">
        <v>41</v>
      </c>
      <c r="L965" s="12" t="s">
        <v>42</v>
      </c>
      <c r="M965" s="12" t="s">
        <v>1820</v>
      </c>
      <c r="N965" s="12">
        <v>0.52052631599999999</v>
      </c>
      <c r="O965" s="12" t="s">
        <v>59</v>
      </c>
      <c r="P965" s="12">
        <v>0.52052631599999999</v>
      </c>
      <c r="Q965" s="12" t="s">
        <v>59</v>
      </c>
    </row>
    <row r="966" spans="1:17" x14ac:dyDescent="0.35">
      <c r="A966" s="12">
        <v>72</v>
      </c>
      <c r="B966" s="19" t="s">
        <v>1817</v>
      </c>
      <c r="C966" s="19">
        <v>2021</v>
      </c>
      <c r="D966" s="19" t="s">
        <v>1638</v>
      </c>
      <c r="E966" s="13" t="s">
        <v>1818</v>
      </c>
      <c r="F966" s="12" t="s">
        <v>1819</v>
      </c>
      <c r="G966" s="14" t="s">
        <v>25</v>
      </c>
      <c r="H966" s="12">
        <v>720</v>
      </c>
      <c r="I966" s="14">
        <v>60.6982</v>
      </c>
      <c r="J966" s="14">
        <v>-78.559299999999993</v>
      </c>
      <c r="K966" s="12" t="s">
        <v>41</v>
      </c>
      <c r="L966" s="12" t="s">
        <v>42</v>
      </c>
      <c r="M966" s="12" t="s">
        <v>1820</v>
      </c>
      <c r="N966" s="12">
        <v>0</v>
      </c>
      <c r="O966" s="12" t="s">
        <v>59</v>
      </c>
      <c r="P966" s="12">
        <v>0</v>
      </c>
      <c r="Q966" s="12" t="s">
        <v>59</v>
      </c>
    </row>
    <row r="967" spans="1:17" x14ac:dyDescent="0.35">
      <c r="A967" s="12">
        <v>72</v>
      </c>
      <c r="B967" s="19" t="s">
        <v>1817</v>
      </c>
      <c r="C967" s="19">
        <v>2021</v>
      </c>
      <c r="D967" s="19" t="s">
        <v>1638</v>
      </c>
      <c r="E967" s="13" t="s">
        <v>1818</v>
      </c>
      <c r="F967" s="12" t="s">
        <v>1819</v>
      </c>
      <c r="G967" s="14" t="s">
        <v>25</v>
      </c>
      <c r="H967" s="14">
        <v>694</v>
      </c>
      <c r="I967" s="12">
        <v>61.401600000000002</v>
      </c>
      <c r="J967" s="12" t="s">
        <v>1821</v>
      </c>
      <c r="K967" s="12" t="s">
        <v>41</v>
      </c>
      <c r="L967" s="12" t="s">
        <v>42</v>
      </c>
      <c r="M967" s="12" t="s">
        <v>1820</v>
      </c>
      <c r="N967" s="12">
        <v>0.117647059</v>
      </c>
      <c r="O967" s="12" t="s">
        <v>59</v>
      </c>
      <c r="P967" s="12">
        <v>0.117647059</v>
      </c>
      <c r="Q967" s="12" t="s">
        <v>59</v>
      </c>
    </row>
    <row r="968" spans="1:17" x14ac:dyDescent="0.35">
      <c r="A968" s="12">
        <v>72</v>
      </c>
      <c r="B968" s="19" t="s">
        <v>1817</v>
      </c>
      <c r="C968" s="19">
        <v>2021</v>
      </c>
      <c r="D968" s="19" t="s">
        <v>1638</v>
      </c>
      <c r="E968" s="13" t="s">
        <v>1818</v>
      </c>
      <c r="F968" s="12" t="s">
        <v>1819</v>
      </c>
      <c r="G968" s="14" t="s">
        <v>25</v>
      </c>
      <c r="H968" s="14">
        <v>688</v>
      </c>
      <c r="I968" s="12">
        <v>62.367060000000002</v>
      </c>
      <c r="J968" s="12" t="s">
        <v>1822</v>
      </c>
      <c r="K968" s="12" t="s">
        <v>41</v>
      </c>
      <c r="L968" s="12" t="s">
        <v>42</v>
      </c>
      <c r="M968" s="12" t="s">
        <v>1820</v>
      </c>
      <c r="N968" s="12">
        <v>7.3191488999999998E-2</v>
      </c>
      <c r="O968" s="12" t="s">
        <v>59</v>
      </c>
      <c r="P968" s="12">
        <v>7.3191488999999998E-2</v>
      </c>
      <c r="Q968" s="12" t="s">
        <v>59</v>
      </c>
    </row>
    <row r="969" spans="1:17" x14ac:dyDescent="0.35">
      <c r="A969" s="12">
        <v>72</v>
      </c>
      <c r="B969" s="19" t="s">
        <v>1817</v>
      </c>
      <c r="C969" s="19">
        <v>2021</v>
      </c>
      <c r="D969" s="19" t="s">
        <v>1638</v>
      </c>
      <c r="E969" s="13" t="s">
        <v>1818</v>
      </c>
      <c r="F969" s="12" t="s">
        <v>1819</v>
      </c>
      <c r="G969" s="14" t="s">
        <v>25</v>
      </c>
      <c r="H969" s="14">
        <v>682</v>
      </c>
      <c r="I969" s="12">
        <v>61.0426</v>
      </c>
      <c r="J969" s="12" t="s">
        <v>1823</v>
      </c>
      <c r="K969" s="12" t="s">
        <v>41</v>
      </c>
      <c r="L969" s="12" t="s">
        <v>42</v>
      </c>
      <c r="M969" s="12" t="s">
        <v>1820</v>
      </c>
      <c r="N969" s="12">
        <v>0.229333333</v>
      </c>
      <c r="O969" s="12" t="s">
        <v>59</v>
      </c>
      <c r="P969" s="12">
        <v>0.229333333</v>
      </c>
      <c r="Q969" s="12" t="s">
        <v>59</v>
      </c>
    </row>
    <row r="970" spans="1:17" x14ac:dyDescent="0.35">
      <c r="A970" s="12">
        <v>72</v>
      </c>
      <c r="B970" s="19" t="s">
        <v>1817</v>
      </c>
      <c r="C970" s="19">
        <v>2021</v>
      </c>
      <c r="D970" s="19" t="s">
        <v>1638</v>
      </c>
      <c r="E970" s="13" t="s">
        <v>1818</v>
      </c>
      <c r="F970" s="12" t="s">
        <v>1819</v>
      </c>
      <c r="G970" s="14" t="s">
        <v>25</v>
      </c>
      <c r="H970" s="14">
        <v>676</v>
      </c>
      <c r="I970" s="12">
        <v>60.125999999999998</v>
      </c>
      <c r="J970" s="12" t="s">
        <v>1824</v>
      </c>
      <c r="K970" s="12" t="s">
        <v>41</v>
      </c>
      <c r="L970" s="12" t="s">
        <v>42</v>
      </c>
      <c r="M970" s="12" t="s">
        <v>1820</v>
      </c>
      <c r="N970" s="12">
        <v>0.167222222</v>
      </c>
      <c r="O970" s="12" t="s">
        <v>59</v>
      </c>
      <c r="P970" s="12">
        <v>0.167222222</v>
      </c>
      <c r="Q970" s="12" t="s">
        <v>59</v>
      </c>
    </row>
    <row r="971" spans="1:17" x14ac:dyDescent="0.35">
      <c r="A971" s="12">
        <v>72</v>
      </c>
      <c r="B971" s="19" t="s">
        <v>1817</v>
      </c>
      <c r="C971" s="19">
        <v>2021</v>
      </c>
      <c r="D971" s="19" t="s">
        <v>1638</v>
      </c>
      <c r="E971" s="13" t="s">
        <v>1818</v>
      </c>
      <c r="F971" s="12" t="s">
        <v>1819</v>
      </c>
      <c r="G971" s="14" t="s">
        <v>25</v>
      </c>
      <c r="H971" s="14">
        <v>670</v>
      </c>
      <c r="I971" s="12">
        <v>58.9893</v>
      </c>
      <c r="J971" s="12" t="s">
        <v>1825</v>
      </c>
      <c r="K971" s="12" t="s">
        <v>41</v>
      </c>
      <c r="L971" s="12" t="s">
        <v>42</v>
      </c>
      <c r="M971" s="12" t="s">
        <v>1820</v>
      </c>
      <c r="N971" s="12">
        <v>9.4246574999999999E-2</v>
      </c>
      <c r="O971" s="12" t="s">
        <v>59</v>
      </c>
      <c r="P971" s="12">
        <v>9.4246574999999999E-2</v>
      </c>
      <c r="Q971" s="12" t="s">
        <v>59</v>
      </c>
    </row>
    <row r="972" spans="1:17" x14ac:dyDescent="0.35">
      <c r="A972" s="12">
        <v>72</v>
      </c>
      <c r="B972" s="19" t="s">
        <v>1817</v>
      </c>
      <c r="C972" s="19">
        <v>2021</v>
      </c>
      <c r="D972" s="19" t="s">
        <v>1638</v>
      </c>
      <c r="E972" s="13" t="s">
        <v>1818</v>
      </c>
      <c r="F972" s="12" t="s">
        <v>1819</v>
      </c>
      <c r="G972" s="14" t="s">
        <v>25</v>
      </c>
      <c r="H972" s="14">
        <v>180</v>
      </c>
      <c r="I972" s="12">
        <v>67.419799999999995</v>
      </c>
      <c r="J972" s="12" t="s">
        <v>1826</v>
      </c>
      <c r="K972" s="12" t="s">
        <v>41</v>
      </c>
      <c r="L972" s="12" t="s">
        <v>42</v>
      </c>
      <c r="M972" s="12" t="s">
        <v>1820</v>
      </c>
      <c r="N972" s="12">
        <v>0.60843537400000003</v>
      </c>
      <c r="O972" s="12" t="s">
        <v>59</v>
      </c>
      <c r="P972" s="12">
        <v>0.60843537400000003</v>
      </c>
      <c r="Q972" s="12" t="s">
        <v>59</v>
      </c>
    </row>
    <row r="973" spans="1:17" x14ac:dyDescent="0.35">
      <c r="A973" s="12">
        <v>72</v>
      </c>
      <c r="B973" s="19" t="s">
        <v>1817</v>
      </c>
      <c r="C973" s="19">
        <v>2021</v>
      </c>
      <c r="D973" s="19" t="s">
        <v>1638</v>
      </c>
      <c r="E973" s="13" t="s">
        <v>1818</v>
      </c>
      <c r="F973" s="12" t="s">
        <v>1819</v>
      </c>
      <c r="G973" s="14" t="s">
        <v>25</v>
      </c>
      <c r="H973" s="14" t="s">
        <v>1827</v>
      </c>
      <c r="I973" s="12">
        <v>67.967500000000001</v>
      </c>
      <c r="J973" s="12" t="s">
        <v>1828</v>
      </c>
      <c r="K973" s="12" t="s">
        <v>41</v>
      </c>
      <c r="L973" s="12" t="s">
        <v>42</v>
      </c>
      <c r="M973" s="12" t="s">
        <v>1820</v>
      </c>
      <c r="N973" s="12">
        <v>0.11315789499999999</v>
      </c>
      <c r="O973" s="12" t="s">
        <v>59</v>
      </c>
      <c r="P973" s="12">
        <v>0.11315789499999999</v>
      </c>
      <c r="Q973" s="12" t="s">
        <v>59</v>
      </c>
    </row>
    <row r="974" spans="1:17" x14ac:dyDescent="0.35">
      <c r="A974" s="12">
        <v>72</v>
      </c>
      <c r="B974" s="19" t="s">
        <v>1817</v>
      </c>
      <c r="C974" s="19">
        <v>2021</v>
      </c>
      <c r="D974" s="19" t="s">
        <v>1638</v>
      </c>
      <c r="E974" s="13" t="s">
        <v>1818</v>
      </c>
      <c r="F974" s="12" t="s">
        <v>1819</v>
      </c>
      <c r="G974" s="14" t="s">
        <v>25</v>
      </c>
      <c r="H974" s="14" t="s">
        <v>1827</v>
      </c>
      <c r="I974" s="12">
        <v>67.967500000000001</v>
      </c>
      <c r="J974" s="12" t="s">
        <v>1828</v>
      </c>
      <c r="K974" s="12" t="s">
        <v>103</v>
      </c>
      <c r="L974" s="12" t="s">
        <v>42</v>
      </c>
      <c r="M974" s="12" t="s">
        <v>1820</v>
      </c>
      <c r="N974" s="12">
        <v>0.778907923</v>
      </c>
      <c r="O974" s="12" t="s">
        <v>944</v>
      </c>
      <c r="P974" s="12">
        <f>N974*1000</f>
        <v>778.90792299999998</v>
      </c>
      <c r="Q974" s="12" t="s">
        <v>107</v>
      </c>
    </row>
    <row r="975" spans="1:17" x14ac:dyDescent="0.35">
      <c r="A975" s="12">
        <v>72</v>
      </c>
      <c r="B975" s="19" t="s">
        <v>1817</v>
      </c>
      <c r="C975" s="19">
        <v>2021</v>
      </c>
      <c r="D975" s="19" t="s">
        <v>1638</v>
      </c>
      <c r="E975" s="13" t="s">
        <v>1818</v>
      </c>
      <c r="F975" s="12" t="s">
        <v>1819</v>
      </c>
      <c r="G975" s="14" t="s">
        <v>25</v>
      </c>
      <c r="H975" s="14">
        <v>8.1</v>
      </c>
      <c r="I975" s="12">
        <v>69.407200000000003</v>
      </c>
      <c r="J975" s="12" t="s">
        <v>1829</v>
      </c>
      <c r="K975" s="12" t="s">
        <v>103</v>
      </c>
      <c r="L975" s="12" t="s">
        <v>42</v>
      </c>
      <c r="M975" s="12" t="s">
        <v>1820</v>
      </c>
      <c r="N975" s="12">
        <v>0.73245167899999997</v>
      </c>
      <c r="O975" s="12" t="s">
        <v>944</v>
      </c>
      <c r="P975" s="12">
        <f>N975*1000</f>
        <v>732.45167900000001</v>
      </c>
      <c r="Q975" s="12" t="s">
        <v>107</v>
      </c>
    </row>
    <row r="976" spans="1:17" x14ac:dyDescent="0.35">
      <c r="A976" s="12">
        <v>72</v>
      </c>
      <c r="B976" s="19" t="s">
        <v>1817</v>
      </c>
      <c r="C976" s="19">
        <v>2021</v>
      </c>
      <c r="D976" s="19" t="s">
        <v>1638</v>
      </c>
      <c r="E976" s="13" t="s">
        <v>1818</v>
      </c>
      <c r="F976" s="12" t="s">
        <v>1819</v>
      </c>
      <c r="G976" s="14" t="s">
        <v>25</v>
      </c>
      <c r="H976" s="14" t="s">
        <v>1830</v>
      </c>
      <c r="I976" s="12">
        <v>72.7684</v>
      </c>
      <c r="J976" s="12" t="s">
        <v>1831</v>
      </c>
      <c r="K976" s="12" t="s">
        <v>41</v>
      </c>
      <c r="L976" s="12" t="s">
        <v>42</v>
      </c>
      <c r="M976" s="12" t="s">
        <v>1820</v>
      </c>
      <c r="N976" s="12">
        <v>2.3243243E-2</v>
      </c>
      <c r="O976" s="12" t="s">
        <v>59</v>
      </c>
      <c r="P976" s="12">
        <v>2.3243243E-2</v>
      </c>
      <c r="Q976" s="12" t="s">
        <v>59</v>
      </c>
    </row>
    <row r="977" spans="1:17" x14ac:dyDescent="0.35">
      <c r="A977" s="12">
        <v>72</v>
      </c>
      <c r="B977" s="19" t="s">
        <v>1817</v>
      </c>
      <c r="C977" s="19">
        <v>2021</v>
      </c>
      <c r="D977" s="19" t="s">
        <v>1638</v>
      </c>
      <c r="E977" s="13" t="s">
        <v>1818</v>
      </c>
      <c r="F977" s="12" t="s">
        <v>1819</v>
      </c>
      <c r="G977" s="14" t="s">
        <v>25</v>
      </c>
      <c r="H977" s="14" t="s">
        <v>1830</v>
      </c>
      <c r="I977" s="12">
        <v>72.7684</v>
      </c>
      <c r="J977" s="12" t="s">
        <v>1831</v>
      </c>
      <c r="K977" s="12" t="s">
        <v>103</v>
      </c>
      <c r="L977" s="12" t="s">
        <v>42</v>
      </c>
      <c r="M977" s="12" t="s">
        <v>1820</v>
      </c>
      <c r="N977" s="12">
        <v>16.041450780000002</v>
      </c>
      <c r="O977" s="12" t="s">
        <v>944</v>
      </c>
      <c r="P977" s="12">
        <f>N977*1000</f>
        <v>16041.450780000001</v>
      </c>
      <c r="Q977" s="12" t="s">
        <v>107</v>
      </c>
    </row>
    <row r="978" spans="1:17" x14ac:dyDescent="0.35">
      <c r="A978" s="12">
        <v>72</v>
      </c>
      <c r="B978" s="19" t="s">
        <v>1817</v>
      </c>
      <c r="C978" s="19">
        <v>2021</v>
      </c>
      <c r="D978" s="19" t="s">
        <v>1638</v>
      </c>
      <c r="E978" s="13" t="s">
        <v>1818</v>
      </c>
      <c r="F978" s="12" t="s">
        <v>1819</v>
      </c>
      <c r="G978" s="14" t="s">
        <v>25</v>
      </c>
      <c r="H978" s="14">
        <v>101</v>
      </c>
      <c r="I978" s="12">
        <v>76.357500000000002</v>
      </c>
      <c r="J978" s="12" t="s">
        <v>1832</v>
      </c>
      <c r="K978" s="12" t="s">
        <v>103</v>
      </c>
      <c r="L978" s="12" t="s">
        <v>42</v>
      </c>
      <c r="M978" s="12" t="s">
        <v>1820</v>
      </c>
      <c r="N978" s="12">
        <v>0</v>
      </c>
      <c r="O978" s="12" t="s">
        <v>944</v>
      </c>
      <c r="P978" s="12">
        <f>N978*1000</f>
        <v>0</v>
      </c>
      <c r="Q978" s="12" t="s">
        <v>107</v>
      </c>
    </row>
    <row r="979" spans="1:17" x14ac:dyDescent="0.35">
      <c r="A979" s="12">
        <v>72</v>
      </c>
      <c r="B979" s="19" t="s">
        <v>1817</v>
      </c>
      <c r="C979" s="19">
        <v>2021</v>
      </c>
      <c r="D979" s="19" t="s">
        <v>1638</v>
      </c>
      <c r="E979" s="13" t="s">
        <v>1818</v>
      </c>
      <c r="F979" s="12" t="s">
        <v>1819</v>
      </c>
      <c r="G979" s="14" t="s">
        <v>25</v>
      </c>
      <c r="H979" s="14">
        <v>115</v>
      </c>
      <c r="I979" s="12">
        <v>76.337199999999996</v>
      </c>
      <c r="J979" s="12" t="s">
        <v>1833</v>
      </c>
      <c r="K979" s="12" t="s">
        <v>41</v>
      </c>
      <c r="L979" s="12" t="s">
        <v>42</v>
      </c>
      <c r="M979" s="12" t="s">
        <v>1820</v>
      </c>
      <c r="N979" s="12">
        <v>2.4927536E-2</v>
      </c>
      <c r="O979" s="12" t="s">
        <v>59</v>
      </c>
      <c r="P979" s="12">
        <v>2.4927536E-2</v>
      </c>
      <c r="Q979" s="12" t="s">
        <v>59</v>
      </c>
    </row>
    <row r="980" spans="1:17" x14ac:dyDescent="0.35">
      <c r="A980" s="12">
        <v>72</v>
      </c>
      <c r="B980" s="19" t="s">
        <v>1817</v>
      </c>
      <c r="C980" s="19">
        <v>2021</v>
      </c>
      <c r="D980" s="19" t="s">
        <v>1638</v>
      </c>
      <c r="E980" s="13" t="s">
        <v>1818</v>
      </c>
      <c r="F980" s="12" t="s">
        <v>1819</v>
      </c>
      <c r="G980" s="14" t="s">
        <v>25</v>
      </c>
      <c r="H980" s="14">
        <v>115</v>
      </c>
      <c r="I980" s="12">
        <v>76.337199999999996</v>
      </c>
      <c r="J980" s="12" t="s">
        <v>1833</v>
      </c>
      <c r="K980" s="12" t="s">
        <v>103</v>
      </c>
      <c r="L980" s="12" t="s">
        <v>42</v>
      </c>
      <c r="M980" s="12" t="s">
        <v>1820</v>
      </c>
      <c r="N980" s="12">
        <v>3.027522936</v>
      </c>
      <c r="O980" s="12" t="s">
        <v>944</v>
      </c>
      <c r="P980" s="12">
        <f>N980*1000</f>
        <v>3027.5229359999998</v>
      </c>
      <c r="Q980" s="12" t="s">
        <v>107</v>
      </c>
    </row>
    <row r="981" spans="1:17" x14ac:dyDescent="0.35">
      <c r="A981" s="12">
        <v>72</v>
      </c>
      <c r="B981" s="19" t="s">
        <v>1817</v>
      </c>
      <c r="C981" s="19">
        <v>2021</v>
      </c>
      <c r="D981" s="19" t="s">
        <v>1638</v>
      </c>
      <c r="E981" s="13" t="s">
        <v>1818</v>
      </c>
      <c r="F981" s="12" t="s">
        <v>1819</v>
      </c>
      <c r="G981" s="14" t="s">
        <v>25</v>
      </c>
      <c r="H981" s="14">
        <v>111</v>
      </c>
      <c r="I981" s="12">
        <v>78.325999999999993</v>
      </c>
      <c r="J981" s="12" t="s">
        <v>1834</v>
      </c>
      <c r="K981" s="12" t="s">
        <v>41</v>
      </c>
      <c r="L981" s="12" t="s">
        <v>42</v>
      </c>
      <c r="M981" s="12" t="s">
        <v>1820</v>
      </c>
      <c r="N981" s="12">
        <v>0.59722222199999997</v>
      </c>
      <c r="O981" s="12" t="s">
        <v>59</v>
      </c>
      <c r="P981" s="12">
        <v>0.59722222199999997</v>
      </c>
      <c r="Q981" s="12" t="s">
        <v>59</v>
      </c>
    </row>
    <row r="982" spans="1:17" x14ac:dyDescent="0.35">
      <c r="A982" s="12">
        <v>72</v>
      </c>
      <c r="B982" s="19" t="s">
        <v>1817</v>
      </c>
      <c r="C982" s="19">
        <v>2021</v>
      </c>
      <c r="D982" s="19" t="s">
        <v>1638</v>
      </c>
      <c r="E982" s="13" t="s">
        <v>1818</v>
      </c>
      <c r="F982" s="12" t="s">
        <v>1819</v>
      </c>
      <c r="G982" s="14" t="s">
        <v>25</v>
      </c>
      <c r="H982" s="14" t="s">
        <v>1835</v>
      </c>
      <c r="I982" s="12">
        <v>76.332899999999995</v>
      </c>
      <c r="J982" s="12" t="s">
        <v>1836</v>
      </c>
      <c r="K982" s="12" t="s">
        <v>103</v>
      </c>
      <c r="L982" s="12" t="s">
        <v>42</v>
      </c>
      <c r="M982" s="12" t="s">
        <v>1820</v>
      </c>
      <c r="N982" s="12">
        <v>0.29520295200000002</v>
      </c>
      <c r="O982" s="12" t="s">
        <v>944</v>
      </c>
      <c r="P982" s="12">
        <f>N982*1000</f>
        <v>295.20295200000004</v>
      </c>
      <c r="Q982" s="12" t="s">
        <v>107</v>
      </c>
    </row>
    <row r="983" spans="1:17" x14ac:dyDescent="0.35">
      <c r="A983" s="12">
        <v>72</v>
      </c>
      <c r="B983" s="19" t="s">
        <v>1817</v>
      </c>
      <c r="C983" s="19">
        <v>2021</v>
      </c>
      <c r="D983" s="19" t="s">
        <v>1638</v>
      </c>
      <c r="E983" s="13" t="s">
        <v>1818</v>
      </c>
      <c r="F983" s="12" t="s">
        <v>1819</v>
      </c>
      <c r="G983" s="14" t="s">
        <v>25</v>
      </c>
      <c r="H983" s="14" t="s">
        <v>1837</v>
      </c>
      <c r="I983" s="12">
        <v>75.702200000000005</v>
      </c>
      <c r="J983" s="12" t="s">
        <v>1838</v>
      </c>
      <c r="K983" s="12" t="s">
        <v>103</v>
      </c>
      <c r="L983" s="12" t="s">
        <v>42</v>
      </c>
      <c r="M983" s="12" t="s">
        <v>1820</v>
      </c>
      <c r="N983" s="12">
        <v>11.178535610000001</v>
      </c>
      <c r="O983" s="12" t="s">
        <v>944</v>
      </c>
      <c r="P983" s="12">
        <f>N983*1000</f>
        <v>11178.535610000001</v>
      </c>
      <c r="Q983" s="12" t="s">
        <v>107</v>
      </c>
    </row>
    <row r="984" spans="1:17" x14ac:dyDescent="0.35">
      <c r="A984" s="12">
        <v>72</v>
      </c>
      <c r="B984" s="19" t="s">
        <v>1817</v>
      </c>
      <c r="C984" s="19">
        <v>2021</v>
      </c>
      <c r="D984" s="19" t="s">
        <v>1638</v>
      </c>
      <c r="E984" s="13" t="s">
        <v>1818</v>
      </c>
      <c r="F984" s="12" t="s">
        <v>1819</v>
      </c>
      <c r="G984" s="14" t="s">
        <v>25</v>
      </c>
      <c r="H984" s="14">
        <v>323</v>
      </c>
      <c r="I984" s="12">
        <v>74.161500000000004</v>
      </c>
      <c r="J984" s="12" t="s">
        <v>1839</v>
      </c>
      <c r="K984" s="12" t="s">
        <v>41</v>
      </c>
      <c r="L984" s="12" t="s">
        <v>42</v>
      </c>
      <c r="M984" s="12" t="s">
        <v>1820</v>
      </c>
      <c r="N984" s="12">
        <v>0.77973333300000003</v>
      </c>
      <c r="O984" s="12" t="s">
        <v>59</v>
      </c>
      <c r="P984" s="12">
        <v>0.77973333300000003</v>
      </c>
      <c r="Q984" s="12" t="s">
        <v>59</v>
      </c>
    </row>
    <row r="985" spans="1:17" x14ac:dyDescent="0.35">
      <c r="A985" s="12">
        <v>72</v>
      </c>
      <c r="B985" s="19" t="s">
        <v>1817</v>
      </c>
      <c r="C985" s="19">
        <v>2021</v>
      </c>
      <c r="D985" s="19" t="s">
        <v>1638</v>
      </c>
      <c r="E985" s="13" t="s">
        <v>1818</v>
      </c>
      <c r="F985" s="12" t="s">
        <v>1819</v>
      </c>
      <c r="G985" s="14" t="s">
        <v>25</v>
      </c>
      <c r="H985" s="14">
        <v>323</v>
      </c>
      <c r="I985" s="12">
        <v>74.161500000000004</v>
      </c>
      <c r="J985" s="12" t="s">
        <v>1839</v>
      </c>
      <c r="K985" s="12" t="s">
        <v>103</v>
      </c>
      <c r="L985" s="12" t="s">
        <v>42</v>
      </c>
      <c r="M985" s="12" t="s">
        <v>1820</v>
      </c>
      <c r="N985" s="12">
        <v>0.88278567900000005</v>
      </c>
      <c r="O985" s="12" t="s">
        <v>944</v>
      </c>
      <c r="P985" s="12">
        <f>N985*1000</f>
        <v>882.78567900000007</v>
      </c>
      <c r="Q985" s="12" t="s">
        <v>107</v>
      </c>
    </row>
    <row r="986" spans="1:17" x14ac:dyDescent="0.35">
      <c r="A986" s="12">
        <v>72</v>
      </c>
      <c r="B986" s="19" t="s">
        <v>1817</v>
      </c>
      <c r="C986" s="19">
        <v>2021</v>
      </c>
      <c r="D986" s="19" t="s">
        <v>1638</v>
      </c>
      <c r="E986" s="13" t="s">
        <v>1818</v>
      </c>
      <c r="F986" s="12" t="s">
        <v>1819</v>
      </c>
      <c r="G986" s="14" t="s">
        <v>25</v>
      </c>
      <c r="H986" s="14" t="s">
        <v>1840</v>
      </c>
      <c r="I986" s="12">
        <v>72.8279</v>
      </c>
      <c r="J986" s="12" t="s">
        <v>1841</v>
      </c>
      <c r="K986" s="12" t="s">
        <v>41</v>
      </c>
      <c r="L986" s="12" t="s">
        <v>42</v>
      </c>
      <c r="M986" s="12" t="s">
        <v>1820</v>
      </c>
      <c r="N986" s="12">
        <v>0</v>
      </c>
      <c r="O986" s="12" t="s">
        <v>59</v>
      </c>
      <c r="P986" s="12">
        <v>0</v>
      </c>
      <c r="Q986" s="12" t="s">
        <v>59</v>
      </c>
    </row>
    <row r="987" spans="1:17" x14ac:dyDescent="0.35">
      <c r="A987" s="12">
        <v>72</v>
      </c>
      <c r="B987" s="19" t="s">
        <v>1817</v>
      </c>
      <c r="C987" s="19">
        <v>2021</v>
      </c>
      <c r="D987" s="19" t="s">
        <v>1638</v>
      </c>
      <c r="E987" s="13" t="s">
        <v>1818</v>
      </c>
      <c r="F987" s="12" t="s">
        <v>1819</v>
      </c>
      <c r="G987" s="14" t="s">
        <v>25</v>
      </c>
      <c r="H987" s="14">
        <v>301</v>
      </c>
      <c r="I987" s="12">
        <v>74.277600000000007</v>
      </c>
      <c r="J987" s="12" t="s">
        <v>1842</v>
      </c>
      <c r="K987" s="12" t="s">
        <v>103</v>
      </c>
      <c r="L987" s="12" t="s">
        <v>42</v>
      </c>
      <c r="M987" s="12" t="s">
        <v>1820</v>
      </c>
      <c r="N987" s="12">
        <v>0</v>
      </c>
      <c r="O987" s="12" t="s">
        <v>944</v>
      </c>
      <c r="P987" s="12">
        <f>N987*1000</f>
        <v>0</v>
      </c>
      <c r="Q987" s="12" t="s">
        <v>107</v>
      </c>
    </row>
    <row r="988" spans="1:17" x14ac:dyDescent="0.35">
      <c r="A988" s="12">
        <v>72</v>
      </c>
      <c r="B988" s="19" t="s">
        <v>1817</v>
      </c>
      <c r="C988" s="19">
        <v>2021</v>
      </c>
      <c r="D988" s="19" t="s">
        <v>1638</v>
      </c>
      <c r="E988" s="13" t="s">
        <v>1818</v>
      </c>
      <c r="F988" s="12" t="s">
        <v>1819</v>
      </c>
      <c r="G988" s="14" t="s">
        <v>25</v>
      </c>
      <c r="H988" s="14">
        <v>304</v>
      </c>
      <c r="I988" s="12">
        <v>74.246200000000002</v>
      </c>
      <c r="J988" s="12" t="s">
        <v>1843</v>
      </c>
      <c r="K988" s="12" t="s">
        <v>103</v>
      </c>
      <c r="L988" s="12" t="s">
        <v>42</v>
      </c>
      <c r="M988" s="12" t="s">
        <v>1820</v>
      </c>
      <c r="N988" s="12">
        <v>0.80621457100000005</v>
      </c>
      <c r="O988" s="12" t="s">
        <v>944</v>
      </c>
      <c r="P988" s="12">
        <f>N988*1000</f>
        <v>806.21457100000009</v>
      </c>
      <c r="Q988" s="12" t="s">
        <v>107</v>
      </c>
    </row>
    <row r="989" spans="1:17" x14ac:dyDescent="0.35">
      <c r="A989" s="12">
        <v>72</v>
      </c>
      <c r="B989" s="19" t="s">
        <v>1817</v>
      </c>
      <c r="C989" s="19">
        <v>2021</v>
      </c>
      <c r="D989" s="19" t="s">
        <v>1638</v>
      </c>
      <c r="E989" s="13" t="s">
        <v>1818</v>
      </c>
      <c r="F989" s="12" t="s">
        <v>1819</v>
      </c>
      <c r="G989" s="14" t="s">
        <v>25</v>
      </c>
      <c r="H989" s="14">
        <v>5.0999999999999996</v>
      </c>
      <c r="I989" s="12">
        <v>74.488399999999999</v>
      </c>
      <c r="J989" s="12" t="s">
        <v>1844</v>
      </c>
      <c r="K989" s="12" t="s">
        <v>103</v>
      </c>
      <c r="L989" s="12" t="s">
        <v>42</v>
      </c>
      <c r="M989" s="12" t="s">
        <v>1820</v>
      </c>
      <c r="N989" s="12">
        <v>5.9199954999999999E-2</v>
      </c>
      <c r="O989" s="12" t="s">
        <v>944</v>
      </c>
      <c r="P989" s="12">
        <f>N989*1000</f>
        <v>59.199954999999996</v>
      </c>
      <c r="Q989" s="12" t="s">
        <v>107</v>
      </c>
    </row>
    <row r="990" spans="1:17" x14ac:dyDescent="0.35">
      <c r="A990" s="12">
        <v>72</v>
      </c>
      <c r="B990" s="19" t="s">
        <v>1817</v>
      </c>
      <c r="C990" s="19">
        <v>2021</v>
      </c>
      <c r="D990" s="19" t="s">
        <v>1638</v>
      </c>
      <c r="E990" s="13" t="s">
        <v>1818</v>
      </c>
      <c r="F990" s="12" t="s">
        <v>1819</v>
      </c>
      <c r="G990" s="14" t="s">
        <v>25</v>
      </c>
      <c r="H990" s="14" t="s">
        <v>1845</v>
      </c>
      <c r="I990" s="12">
        <v>74.727999999999994</v>
      </c>
      <c r="J990" s="12" t="s">
        <v>1846</v>
      </c>
      <c r="K990" s="12" t="s">
        <v>41</v>
      </c>
      <c r="L990" s="12" t="s">
        <v>42</v>
      </c>
      <c r="M990" s="12" t="s">
        <v>1820</v>
      </c>
      <c r="N990" s="12">
        <v>0.2064</v>
      </c>
      <c r="O990" s="12" t="s">
        <v>59</v>
      </c>
      <c r="P990" s="12">
        <v>0.2064</v>
      </c>
      <c r="Q990" s="12" t="s">
        <v>59</v>
      </c>
    </row>
    <row r="991" spans="1:17" x14ac:dyDescent="0.35">
      <c r="A991" s="12">
        <v>72</v>
      </c>
      <c r="B991" s="19" t="s">
        <v>1817</v>
      </c>
      <c r="C991" s="19">
        <v>2021</v>
      </c>
      <c r="D991" s="19" t="s">
        <v>1638</v>
      </c>
      <c r="E991" s="13" t="s">
        <v>1818</v>
      </c>
      <c r="F991" s="12" t="s">
        <v>1819</v>
      </c>
      <c r="G991" s="14" t="s">
        <v>25</v>
      </c>
      <c r="H991" s="14" t="s">
        <v>1847</v>
      </c>
      <c r="I991" s="12">
        <v>68.302700000000002</v>
      </c>
      <c r="J991" s="12" t="s">
        <v>1848</v>
      </c>
      <c r="K991" s="12" t="s">
        <v>41</v>
      </c>
      <c r="L991" s="12" t="s">
        <v>42</v>
      </c>
      <c r="M991" s="12" t="s">
        <v>1820</v>
      </c>
      <c r="N991" s="12">
        <v>6.6666666999999999E-2</v>
      </c>
      <c r="O991" s="12" t="s">
        <v>59</v>
      </c>
      <c r="P991" s="12">
        <v>6.6666666999999999E-2</v>
      </c>
      <c r="Q991" s="12" t="s">
        <v>59</v>
      </c>
    </row>
    <row r="992" spans="1:17" x14ac:dyDescent="0.35">
      <c r="A992" s="12">
        <v>72</v>
      </c>
      <c r="B992" s="19" t="s">
        <v>1817</v>
      </c>
      <c r="C992" s="19">
        <v>2021</v>
      </c>
      <c r="D992" s="19" t="s">
        <v>1638</v>
      </c>
      <c r="E992" s="13" t="s">
        <v>1818</v>
      </c>
      <c r="F992" s="12" t="s">
        <v>1819</v>
      </c>
      <c r="G992" s="14" t="s">
        <v>25</v>
      </c>
      <c r="H992" s="14" t="s">
        <v>1847</v>
      </c>
      <c r="I992" s="12">
        <v>68.302700000000002</v>
      </c>
      <c r="J992" s="12" t="s">
        <v>1848</v>
      </c>
      <c r="K992" s="12" t="s">
        <v>103</v>
      </c>
      <c r="L992" s="12" t="s">
        <v>42</v>
      </c>
      <c r="M992" s="12" t="s">
        <v>1820</v>
      </c>
      <c r="N992" s="12">
        <v>1.080607477</v>
      </c>
      <c r="O992" s="12" t="s">
        <v>944</v>
      </c>
      <c r="P992" s="12">
        <f>N992*1000</f>
        <v>1080.607477</v>
      </c>
      <c r="Q992" s="12" t="s">
        <v>107</v>
      </c>
    </row>
    <row r="993" spans="1:18" x14ac:dyDescent="0.35">
      <c r="A993" s="12">
        <v>72</v>
      </c>
      <c r="B993" s="19" t="s">
        <v>1817</v>
      </c>
      <c r="C993" s="19">
        <v>2021</v>
      </c>
      <c r="D993" s="19" t="s">
        <v>1638</v>
      </c>
      <c r="E993" s="13" t="s">
        <v>1818</v>
      </c>
      <c r="F993" s="12" t="s">
        <v>1819</v>
      </c>
      <c r="G993" s="14" t="s">
        <v>25</v>
      </c>
      <c r="H993" s="14" t="s">
        <v>1849</v>
      </c>
      <c r="I993" s="12">
        <v>68.484200000000001</v>
      </c>
      <c r="J993" s="12" t="s">
        <v>1850</v>
      </c>
      <c r="K993" s="12" t="s">
        <v>103</v>
      </c>
      <c r="L993" s="12" t="s">
        <v>42</v>
      </c>
      <c r="M993" s="12" t="s">
        <v>1820</v>
      </c>
      <c r="N993" s="12">
        <v>1.051948052</v>
      </c>
      <c r="O993" s="12" t="s">
        <v>944</v>
      </c>
      <c r="P993" s="12">
        <f>N993*1000</f>
        <v>1051.948052</v>
      </c>
      <c r="Q993" s="12" t="s">
        <v>107</v>
      </c>
    </row>
    <row r="994" spans="1:18" x14ac:dyDescent="0.35">
      <c r="A994" s="12">
        <v>72</v>
      </c>
      <c r="B994" s="19" t="s">
        <v>1817</v>
      </c>
      <c r="C994" s="19">
        <v>2021</v>
      </c>
      <c r="D994" s="19" t="s">
        <v>1638</v>
      </c>
      <c r="E994" s="13" t="s">
        <v>1818</v>
      </c>
      <c r="F994" s="12" t="s">
        <v>1819</v>
      </c>
      <c r="G994" s="14" t="s">
        <v>25</v>
      </c>
      <c r="H994" s="14" t="s">
        <v>1851</v>
      </c>
      <c r="I994" s="12">
        <v>68.491699999999994</v>
      </c>
      <c r="J994" s="12" t="s">
        <v>1852</v>
      </c>
      <c r="K994" s="12" t="s">
        <v>103</v>
      </c>
      <c r="L994" s="12" t="s">
        <v>42</v>
      </c>
      <c r="M994" s="12" t="s">
        <v>1820</v>
      </c>
      <c r="N994" s="12">
        <v>1.0462287100000001</v>
      </c>
      <c r="O994" s="12" t="s">
        <v>944</v>
      </c>
      <c r="P994" s="12">
        <f>N994*1000</f>
        <v>1046.2287100000001</v>
      </c>
      <c r="Q994" s="12" t="s">
        <v>107</v>
      </c>
    </row>
    <row r="995" spans="1:18" x14ac:dyDescent="0.35">
      <c r="A995" s="12">
        <v>72</v>
      </c>
      <c r="B995" s="19" t="s">
        <v>1817</v>
      </c>
      <c r="C995" s="19">
        <v>2021</v>
      </c>
      <c r="D995" s="19" t="s">
        <v>1638</v>
      </c>
      <c r="E995" s="13" t="s">
        <v>1818</v>
      </c>
      <c r="F995" s="12" t="s">
        <v>1819</v>
      </c>
      <c r="G995" s="14" t="s">
        <v>25</v>
      </c>
      <c r="H995" s="14" t="s">
        <v>1853</v>
      </c>
      <c r="I995" s="12">
        <v>68.306200000000004</v>
      </c>
      <c r="J995" s="12" t="s">
        <v>1854</v>
      </c>
      <c r="K995" s="12" t="s">
        <v>41</v>
      </c>
      <c r="L995" s="12" t="s">
        <v>42</v>
      </c>
      <c r="M995" s="12" t="s">
        <v>1820</v>
      </c>
      <c r="N995" s="12">
        <v>4.5382586000000003E-2</v>
      </c>
      <c r="O995" s="12" t="s">
        <v>59</v>
      </c>
      <c r="P995" s="12">
        <v>4.5382586000000003E-2</v>
      </c>
      <c r="Q995" s="12" t="s">
        <v>59</v>
      </c>
    </row>
    <row r="996" spans="1:18" x14ac:dyDescent="0.35">
      <c r="A996" s="12">
        <v>72</v>
      </c>
      <c r="B996" s="19" t="s">
        <v>1817</v>
      </c>
      <c r="C996" s="19">
        <v>2021</v>
      </c>
      <c r="D996" s="19" t="s">
        <v>1638</v>
      </c>
      <c r="E996" s="13" t="s">
        <v>1818</v>
      </c>
      <c r="F996" s="12" t="s">
        <v>1819</v>
      </c>
      <c r="G996" s="14" t="s">
        <v>25</v>
      </c>
      <c r="H996" s="14">
        <v>312</v>
      </c>
      <c r="I996" s="12">
        <v>69.170400000000001</v>
      </c>
      <c r="J996" s="12" t="s">
        <v>1855</v>
      </c>
      <c r="K996" s="12" t="s">
        <v>41</v>
      </c>
      <c r="L996" s="12" t="s">
        <v>42</v>
      </c>
      <c r="M996" s="12" t="s">
        <v>1820</v>
      </c>
      <c r="N996" s="12">
        <v>0.14234482800000001</v>
      </c>
      <c r="O996" s="12" t="s">
        <v>59</v>
      </c>
      <c r="P996" s="12">
        <v>0.14234482800000001</v>
      </c>
      <c r="Q996" s="12" t="s">
        <v>59</v>
      </c>
    </row>
    <row r="997" spans="1:18" x14ac:dyDescent="0.35">
      <c r="A997" s="12">
        <v>72</v>
      </c>
      <c r="B997" s="19" t="s">
        <v>1817</v>
      </c>
      <c r="C997" s="19">
        <v>2021</v>
      </c>
      <c r="D997" s="19" t="s">
        <v>1638</v>
      </c>
      <c r="E997" s="13" t="s">
        <v>1818</v>
      </c>
      <c r="F997" s="12" t="s">
        <v>1819</v>
      </c>
      <c r="G997" s="14" t="s">
        <v>25</v>
      </c>
      <c r="H997" s="14">
        <v>312</v>
      </c>
      <c r="I997" s="12">
        <v>69.170400000000001</v>
      </c>
      <c r="J997" s="12" t="s">
        <v>1855</v>
      </c>
      <c r="K997" s="12" t="s">
        <v>103</v>
      </c>
      <c r="L997" s="12" t="s">
        <v>42</v>
      </c>
      <c r="M997" s="12" t="s">
        <v>1820</v>
      </c>
      <c r="N997" s="12">
        <v>0.132770688</v>
      </c>
      <c r="O997" s="12" t="s">
        <v>944</v>
      </c>
      <c r="P997" s="12">
        <f>N997*1000</f>
        <v>132.77068800000001</v>
      </c>
      <c r="Q997" s="12" t="s">
        <v>107</v>
      </c>
    </row>
    <row r="998" spans="1:18" x14ac:dyDescent="0.35">
      <c r="A998" s="12">
        <v>72</v>
      </c>
      <c r="B998" s="19" t="s">
        <v>1817</v>
      </c>
      <c r="C998" s="19">
        <v>2021</v>
      </c>
      <c r="D998" s="19" t="s">
        <v>1638</v>
      </c>
      <c r="E998" s="13" t="s">
        <v>1818</v>
      </c>
      <c r="F998" s="12" t="s">
        <v>1819</v>
      </c>
      <c r="G998" s="14" t="s">
        <v>25</v>
      </c>
      <c r="H998" s="14">
        <v>3.7</v>
      </c>
      <c r="I998" s="12">
        <v>2.0960000000000001</v>
      </c>
      <c r="J998" s="12" t="s">
        <v>1856</v>
      </c>
      <c r="K998" s="12" t="s">
        <v>41</v>
      </c>
      <c r="L998" s="12" t="s">
        <v>42</v>
      </c>
      <c r="M998" s="12" t="s">
        <v>1820</v>
      </c>
      <c r="N998" s="12">
        <v>0.16139410200000001</v>
      </c>
      <c r="O998" s="12" t="s">
        <v>59</v>
      </c>
      <c r="P998" s="12">
        <v>0.16139410200000001</v>
      </c>
      <c r="Q998" s="12" t="s">
        <v>59</v>
      </c>
    </row>
    <row r="999" spans="1:18" x14ac:dyDescent="0.35">
      <c r="A999" s="12">
        <v>72</v>
      </c>
      <c r="B999" s="19" t="s">
        <v>1817</v>
      </c>
      <c r="C999" s="19">
        <v>2021</v>
      </c>
      <c r="D999" s="19" t="s">
        <v>1638</v>
      </c>
      <c r="E999" s="13" t="s">
        <v>1818</v>
      </c>
      <c r="F999" s="12" t="s">
        <v>1819</v>
      </c>
      <c r="G999" s="14" t="s">
        <v>25</v>
      </c>
      <c r="H999" s="14">
        <v>3.7</v>
      </c>
      <c r="I999" s="12">
        <v>2.0960000000000001</v>
      </c>
      <c r="J999" s="12" t="s">
        <v>1856</v>
      </c>
      <c r="K999" s="12" t="s">
        <v>103</v>
      </c>
      <c r="L999" s="12" t="s">
        <v>42</v>
      </c>
      <c r="M999" s="12" t="s">
        <v>1820</v>
      </c>
      <c r="N999" s="12">
        <v>0.92228864200000005</v>
      </c>
      <c r="O999" s="12" t="s">
        <v>944</v>
      </c>
      <c r="P999" s="12">
        <f>N999*1000</f>
        <v>922.2886420000001</v>
      </c>
      <c r="Q999" s="12" t="s">
        <v>107</v>
      </c>
    </row>
    <row r="1000" spans="1:18" x14ac:dyDescent="0.35">
      <c r="A1000" s="12">
        <v>72</v>
      </c>
      <c r="B1000" s="19" t="s">
        <v>1817</v>
      </c>
      <c r="C1000" s="19">
        <v>2021</v>
      </c>
      <c r="D1000" s="19" t="s">
        <v>1638</v>
      </c>
      <c r="E1000" s="13" t="s">
        <v>1818</v>
      </c>
      <c r="F1000" s="12" t="s">
        <v>1819</v>
      </c>
      <c r="G1000" s="14" t="s">
        <v>25</v>
      </c>
      <c r="H1000" s="14">
        <v>3.4</v>
      </c>
      <c r="I1000" s="12">
        <v>71.475300000000004</v>
      </c>
      <c r="J1000" s="12" t="s">
        <v>1857</v>
      </c>
      <c r="K1000" s="12" t="s">
        <v>103</v>
      </c>
      <c r="L1000" s="12" t="s">
        <v>42</v>
      </c>
      <c r="M1000" s="12" t="s">
        <v>1820</v>
      </c>
      <c r="N1000" s="12">
        <v>0.53558844299999997</v>
      </c>
      <c r="O1000" s="12" t="s">
        <v>944</v>
      </c>
      <c r="P1000" s="12">
        <f>N1000*1000</f>
        <v>535.58844299999998</v>
      </c>
      <c r="Q1000" s="12" t="s">
        <v>107</v>
      </c>
    </row>
    <row r="1001" spans="1:18" x14ac:dyDescent="0.35">
      <c r="A1001" s="12">
        <v>72</v>
      </c>
      <c r="B1001" s="19" t="s">
        <v>1817</v>
      </c>
      <c r="C1001" s="19">
        <v>2021</v>
      </c>
      <c r="D1001" s="19" t="s">
        <v>1638</v>
      </c>
      <c r="E1001" s="13" t="s">
        <v>1818</v>
      </c>
      <c r="F1001" s="12" t="s">
        <v>1819</v>
      </c>
      <c r="G1001" s="14" t="s">
        <v>25</v>
      </c>
      <c r="H1001" s="14">
        <v>3.5</v>
      </c>
      <c r="I1001" s="12">
        <v>70.436599999999999</v>
      </c>
      <c r="J1001" s="12" t="s">
        <v>1858</v>
      </c>
      <c r="K1001" s="12" t="s">
        <v>41</v>
      </c>
      <c r="L1001" s="12" t="s">
        <v>42</v>
      </c>
      <c r="M1001" s="12" t="s">
        <v>1820</v>
      </c>
      <c r="N1001" s="12">
        <v>0.44559585499999999</v>
      </c>
      <c r="O1001" s="12" t="s">
        <v>59</v>
      </c>
      <c r="P1001" s="12">
        <v>0.44559585499999999</v>
      </c>
      <c r="Q1001" s="12" t="s">
        <v>59</v>
      </c>
    </row>
    <row r="1002" spans="1:18" x14ac:dyDescent="0.35">
      <c r="A1002" s="12">
        <v>72</v>
      </c>
      <c r="B1002" s="19" t="s">
        <v>1817</v>
      </c>
      <c r="C1002" s="19">
        <v>2021</v>
      </c>
      <c r="D1002" s="19" t="s">
        <v>1638</v>
      </c>
      <c r="E1002" s="13" t="s">
        <v>1818</v>
      </c>
      <c r="F1002" s="12" t="s">
        <v>1819</v>
      </c>
      <c r="G1002" s="14" t="s">
        <v>25</v>
      </c>
      <c r="H1002" s="14">
        <v>3.5</v>
      </c>
      <c r="I1002" s="12">
        <v>70.436599999999999</v>
      </c>
      <c r="J1002" s="12" t="s">
        <v>1858</v>
      </c>
      <c r="K1002" s="12" t="s">
        <v>103</v>
      </c>
      <c r="L1002" s="12" t="s">
        <v>42</v>
      </c>
      <c r="M1002" s="12" t="s">
        <v>1820</v>
      </c>
      <c r="N1002" s="12">
        <v>4.4483465E-2</v>
      </c>
      <c r="O1002" s="12" t="s">
        <v>944</v>
      </c>
      <c r="P1002" s="12">
        <f>N1002*1000</f>
        <v>44.483465000000002</v>
      </c>
      <c r="Q1002" s="12" t="s">
        <v>107</v>
      </c>
    </row>
    <row r="1003" spans="1:18" x14ac:dyDescent="0.35">
      <c r="A1003" s="12">
        <v>72</v>
      </c>
      <c r="B1003" s="19" t="s">
        <v>1817</v>
      </c>
      <c r="C1003" s="19">
        <v>2021</v>
      </c>
      <c r="D1003" s="19" t="s">
        <v>1638</v>
      </c>
      <c r="E1003" s="13" t="s">
        <v>1818</v>
      </c>
      <c r="F1003" s="12" t="s">
        <v>1819</v>
      </c>
      <c r="G1003" s="14" t="s">
        <v>25</v>
      </c>
      <c r="H1003" s="14">
        <v>333</v>
      </c>
      <c r="I1003" s="12">
        <v>68.775199999999998</v>
      </c>
      <c r="J1003" s="12" t="s">
        <v>1859</v>
      </c>
      <c r="K1003" s="12" t="s">
        <v>103</v>
      </c>
      <c r="L1003" s="12" t="s">
        <v>42</v>
      </c>
      <c r="M1003" s="12" t="s">
        <v>1820</v>
      </c>
      <c r="N1003" s="12">
        <v>8.2684490000000006E-3</v>
      </c>
      <c r="O1003" s="12" t="s">
        <v>944</v>
      </c>
      <c r="P1003" s="12">
        <f>N1003*1000</f>
        <v>8.2684490000000004</v>
      </c>
      <c r="Q1003" s="12" t="s">
        <v>107</v>
      </c>
    </row>
    <row r="1004" spans="1:18" x14ac:dyDescent="0.35">
      <c r="A1004" s="12">
        <v>72</v>
      </c>
      <c r="B1004" s="19" t="s">
        <v>1817</v>
      </c>
      <c r="C1004" s="19">
        <v>2021</v>
      </c>
      <c r="D1004" s="19" t="s">
        <v>1638</v>
      </c>
      <c r="E1004" s="13" t="s">
        <v>1818</v>
      </c>
      <c r="F1004" s="12" t="s">
        <v>1819</v>
      </c>
      <c r="G1004" s="14" t="s">
        <v>25</v>
      </c>
      <c r="H1004" s="14">
        <v>1.1000000000000001</v>
      </c>
      <c r="I1004" s="12">
        <v>65.155000000000001</v>
      </c>
      <c r="J1004" s="12" t="s">
        <v>1860</v>
      </c>
      <c r="K1004" s="12" t="s">
        <v>41</v>
      </c>
      <c r="L1004" s="12" t="s">
        <v>42</v>
      </c>
      <c r="M1004" s="12" t="s">
        <v>1820</v>
      </c>
      <c r="N1004" s="12">
        <v>0.29038961000000002</v>
      </c>
      <c r="O1004" s="12" t="s">
        <v>59</v>
      </c>
      <c r="P1004" s="12">
        <v>0.29038961000000002</v>
      </c>
      <c r="Q1004" s="12" t="s">
        <v>59</v>
      </c>
    </row>
    <row r="1005" spans="1:18" x14ac:dyDescent="0.35">
      <c r="A1005" s="12">
        <v>72</v>
      </c>
      <c r="B1005" s="19" t="s">
        <v>1817</v>
      </c>
      <c r="C1005" s="19">
        <v>2021</v>
      </c>
      <c r="D1005" s="19" t="s">
        <v>1638</v>
      </c>
      <c r="E1005" s="13" t="s">
        <v>1818</v>
      </c>
      <c r="F1005" s="12" t="s">
        <v>1819</v>
      </c>
      <c r="G1005" s="14" t="s">
        <v>25</v>
      </c>
      <c r="H1005" s="14">
        <v>1.1000000000000001</v>
      </c>
      <c r="I1005" s="12">
        <v>65.155000000000001</v>
      </c>
      <c r="J1005" s="12" t="s">
        <v>1860</v>
      </c>
      <c r="K1005" s="12" t="s">
        <v>103</v>
      </c>
      <c r="L1005" s="12" t="s">
        <v>42</v>
      </c>
      <c r="M1005" s="12" t="s">
        <v>1820</v>
      </c>
      <c r="N1005" s="12">
        <v>0.25903939599999998</v>
      </c>
      <c r="O1005" s="12" t="s">
        <v>944</v>
      </c>
      <c r="P1005" s="12">
        <f>N1005*1000</f>
        <v>259.03939599999995</v>
      </c>
      <c r="Q1005" s="12" t="s">
        <v>107</v>
      </c>
    </row>
    <row r="1006" spans="1:18" x14ac:dyDescent="0.35">
      <c r="A1006" s="12">
        <v>72</v>
      </c>
      <c r="B1006" s="19" t="s">
        <v>1817</v>
      </c>
      <c r="C1006" s="19">
        <v>2021</v>
      </c>
      <c r="D1006" s="19" t="s">
        <v>1638</v>
      </c>
      <c r="E1006" s="13" t="s">
        <v>1818</v>
      </c>
      <c r="F1006" s="12" t="s">
        <v>1819</v>
      </c>
      <c r="G1006" s="14" t="s">
        <v>25</v>
      </c>
      <c r="H1006" s="14">
        <v>1.1000000000000001</v>
      </c>
      <c r="I1006" s="12">
        <v>82.526399999999995</v>
      </c>
      <c r="J1006" s="12">
        <v>-62.267373999999997</v>
      </c>
      <c r="K1006" s="12" t="s">
        <v>27</v>
      </c>
      <c r="L1006" s="12" t="s">
        <v>28</v>
      </c>
      <c r="M1006" s="12" t="s">
        <v>1820</v>
      </c>
      <c r="R1006" s="12" t="s">
        <v>1861</v>
      </c>
    </row>
    <row r="1007" spans="1:18" x14ac:dyDescent="0.35">
      <c r="A1007" s="12">
        <v>73</v>
      </c>
      <c r="B1007" s="12" t="s">
        <v>1862</v>
      </c>
      <c r="C1007" s="19">
        <v>2013</v>
      </c>
      <c r="D1007" s="19" t="s">
        <v>420</v>
      </c>
      <c r="E1007" s="13" t="s">
        <v>1863</v>
      </c>
      <c r="F1007" s="12" t="s">
        <v>1864</v>
      </c>
      <c r="G1007" s="12" t="s">
        <v>86</v>
      </c>
      <c r="H1007" s="12" t="s">
        <v>1865</v>
      </c>
      <c r="I1007" s="12">
        <v>46.573700000000002</v>
      </c>
      <c r="J1007" s="12">
        <v>-87.341300000000004</v>
      </c>
      <c r="K1007" s="12" t="s">
        <v>41</v>
      </c>
      <c r="L1007" s="12" t="s">
        <v>28</v>
      </c>
      <c r="M1007" s="12" t="s">
        <v>1867</v>
      </c>
      <c r="N1007" s="12">
        <v>12645</v>
      </c>
      <c r="O1007" s="12" t="s">
        <v>46</v>
      </c>
      <c r="P1007" s="12">
        <v>12645</v>
      </c>
      <c r="Q1007" s="12" t="s">
        <v>46</v>
      </c>
    </row>
    <row r="1008" spans="1:18" x14ac:dyDescent="0.35">
      <c r="A1008" s="12">
        <v>73</v>
      </c>
      <c r="B1008" s="12" t="s">
        <v>1862</v>
      </c>
      <c r="C1008" s="19">
        <v>2013</v>
      </c>
      <c r="D1008" s="19" t="s">
        <v>420</v>
      </c>
      <c r="E1008" s="13" t="s">
        <v>1863</v>
      </c>
      <c r="F1008" s="12" t="s">
        <v>1864</v>
      </c>
      <c r="G1008" s="12" t="s">
        <v>86</v>
      </c>
      <c r="H1008" s="12" t="s">
        <v>1865</v>
      </c>
      <c r="I1008" s="12">
        <v>46.687199999999997</v>
      </c>
      <c r="J1008" s="12">
        <v>-86.664900000000003</v>
      </c>
      <c r="K1008" s="12" t="s">
        <v>41</v>
      </c>
      <c r="L1008" s="12" t="s">
        <v>28</v>
      </c>
      <c r="M1008" s="12" t="s">
        <v>1867</v>
      </c>
      <c r="N1008" s="12">
        <v>3541</v>
      </c>
      <c r="O1008" s="12" t="s">
        <v>46</v>
      </c>
      <c r="P1008" s="12">
        <v>3541</v>
      </c>
      <c r="Q1008" s="12" t="s">
        <v>46</v>
      </c>
    </row>
    <row r="1009" spans="1:17" x14ac:dyDescent="0.35">
      <c r="A1009" s="12">
        <v>73</v>
      </c>
      <c r="B1009" s="12" t="s">
        <v>1862</v>
      </c>
      <c r="C1009" s="19">
        <v>2013</v>
      </c>
      <c r="D1009" s="19" t="s">
        <v>420</v>
      </c>
      <c r="E1009" s="13" t="s">
        <v>1863</v>
      </c>
      <c r="F1009" s="12" t="s">
        <v>1864</v>
      </c>
      <c r="G1009" s="12" t="s">
        <v>86</v>
      </c>
      <c r="H1009" s="12" t="s">
        <v>1865</v>
      </c>
      <c r="I1009" s="12">
        <v>46.777200000000001</v>
      </c>
      <c r="J1009" s="12">
        <v>-86.4405</v>
      </c>
      <c r="K1009" s="12" t="s">
        <v>41</v>
      </c>
      <c r="L1009" s="12" t="s">
        <v>28</v>
      </c>
      <c r="M1009" s="12" t="s">
        <v>1867</v>
      </c>
      <c r="N1009" s="12">
        <v>1277</v>
      </c>
      <c r="O1009" s="12" t="s">
        <v>46</v>
      </c>
      <c r="P1009" s="12">
        <v>1277</v>
      </c>
      <c r="Q1009" s="12" t="s">
        <v>46</v>
      </c>
    </row>
    <row r="1010" spans="1:17" x14ac:dyDescent="0.35">
      <c r="A1010" s="12">
        <v>73</v>
      </c>
      <c r="B1010" s="12" t="s">
        <v>1862</v>
      </c>
      <c r="C1010" s="19">
        <v>2013</v>
      </c>
      <c r="D1010" s="19" t="s">
        <v>420</v>
      </c>
      <c r="E1010" s="13" t="s">
        <v>1863</v>
      </c>
      <c r="F1010" s="12" t="s">
        <v>1864</v>
      </c>
      <c r="G1010" s="12" t="s">
        <v>86</v>
      </c>
      <c r="H1010" s="12" t="s">
        <v>1865</v>
      </c>
      <c r="I1010" s="12">
        <v>46.848700000000001</v>
      </c>
      <c r="J1010" s="12">
        <v>-85.247299999999996</v>
      </c>
      <c r="K1010" s="12" t="s">
        <v>41</v>
      </c>
      <c r="L1010" s="12" t="s">
        <v>28</v>
      </c>
      <c r="M1010" s="12" t="s">
        <v>1867</v>
      </c>
      <c r="N1010" s="12">
        <v>2616</v>
      </c>
      <c r="O1010" s="12" t="s">
        <v>46</v>
      </c>
      <c r="P1010" s="12">
        <v>2616</v>
      </c>
      <c r="Q1010" s="12" t="s">
        <v>46</v>
      </c>
    </row>
    <row r="1011" spans="1:17" x14ac:dyDescent="0.35">
      <c r="A1011" s="12">
        <v>73</v>
      </c>
      <c r="B1011" s="12" t="s">
        <v>1862</v>
      </c>
      <c r="C1011" s="19">
        <v>2013</v>
      </c>
      <c r="D1011" s="19" t="s">
        <v>420</v>
      </c>
      <c r="E1011" s="13" t="s">
        <v>1863</v>
      </c>
      <c r="F1011" s="12" t="s">
        <v>1864</v>
      </c>
      <c r="G1011" s="12" t="s">
        <v>86</v>
      </c>
      <c r="H1011" s="12" t="s">
        <v>1865</v>
      </c>
      <c r="I1011" s="12">
        <v>46.585999999999999</v>
      </c>
      <c r="J1011" s="12">
        <v>84.722200000000001</v>
      </c>
      <c r="K1011" s="12" t="s">
        <v>41</v>
      </c>
      <c r="L1011" s="12" t="s">
        <v>28</v>
      </c>
      <c r="M1011" s="12" t="s">
        <v>1867</v>
      </c>
      <c r="N1011" s="12">
        <v>6875</v>
      </c>
      <c r="O1011" s="12" t="s">
        <v>46</v>
      </c>
      <c r="P1011" s="12">
        <v>6875</v>
      </c>
      <c r="Q1011" s="12" t="s">
        <v>46</v>
      </c>
    </row>
    <row r="1012" spans="1:17" x14ac:dyDescent="0.35">
      <c r="A1012" s="12">
        <v>73</v>
      </c>
      <c r="B1012" s="12" t="s">
        <v>1862</v>
      </c>
      <c r="C1012" s="19">
        <v>2013</v>
      </c>
      <c r="D1012" s="19" t="s">
        <v>420</v>
      </c>
      <c r="E1012" s="13" t="s">
        <v>1863</v>
      </c>
      <c r="F1012" s="12" t="s">
        <v>1864</v>
      </c>
      <c r="G1012" s="12" t="s">
        <v>86</v>
      </c>
      <c r="H1012" s="12" t="s">
        <v>1868</v>
      </c>
      <c r="I1012" s="12">
        <v>45.868200000000002</v>
      </c>
      <c r="J1012" s="12">
        <v>-83.721800000000002</v>
      </c>
      <c r="K1012" s="12" t="s">
        <v>41</v>
      </c>
      <c r="L1012" s="12" t="s">
        <v>28</v>
      </c>
      <c r="M1012" s="12" t="s">
        <v>1867</v>
      </c>
      <c r="N1012" s="12">
        <v>4750</v>
      </c>
      <c r="O1012" s="12" t="s">
        <v>46</v>
      </c>
      <c r="P1012" s="12">
        <v>4750</v>
      </c>
      <c r="Q1012" s="12" t="s">
        <v>46</v>
      </c>
    </row>
    <row r="1013" spans="1:17" x14ac:dyDescent="0.35">
      <c r="A1013" s="12">
        <v>73</v>
      </c>
      <c r="B1013" s="12" t="s">
        <v>1862</v>
      </c>
      <c r="C1013" s="19">
        <v>2013</v>
      </c>
      <c r="D1013" s="19" t="s">
        <v>420</v>
      </c>
      <c r="E1013" s="13" t="s">
        <v>1863</v>
      </c>
      <c r="F1013" s="12" t="s">
        <v>1864</v>
      </c>
      <c r="G1013" s="12" t="s">
        <v>86</v>
      </c>
      <c r="H1013" s="12" t="s">
        <v>1868</v>
      </c>
      <c r="I1013" s="12">
        <v>45.6372</v>
      </c>
      <c r="J1013" s="12">
        <v>-83.377600000000001</v>
      </c>
      <c r="K1013" s="12" t="s">
        <v>41</v>
      </c>
      <c r="L1013" s="12" t="s">
        <v>28</v>
      </c>
      <c r="M1013" s="12" t="s">
        <v>1867</v>
      </c>
      <c r="N1013" s="12">
        <v>1229</v>
      </c>
      <c r="O1013" s="12" t="s">
        <v>46</v>
      </c>
      <c r="P1013" s="12">
        <v>1229</v>
      </c>
      <c r="Q1013" s="12" t="s">
        <v>46</v>
      </c>
    </row>
    <row r="1014" spans="1:17" x14ac:dyDescent="0.35">
      <c r="A1014" s="12">
        <v>73</v>
      </c>
      <c r="B1014" s="12" t="s">
        <v>1862</v>
      </c>
      <c r="C1014" s="19">
        <v>2013</v>
      </c>
      <c r="D1014" s="19" t="s">
        <v>420</v>
      </c>
      <c r="E1014" s="13" t="s">
        <v>1863</v>
      </c>
      <c r="F1014" s="12" t="s">
        <v>1864</v>
      </c>
      <c r="G1014" s="12" t="s">
        <v>86</v>
      </c>
      <c r="H1014" s="12" t="s">
        <v>1868</v>
      </c>
      <c r="I1014" s="12">
        <v>45.346299999999999</v>
      </c>
      <c r="J1014" s="12">
        <v>-83.008700000000005</v>
      </c>
      <c r="K1014" s="12" t="s">
        <v>41</v>
      </c>
      <c r="L1014" s="12" t="s">
        <v>28</v>
      </c>
      <c r="M1014" s="12" t="s">
        <v>1867</v>
      </c>
      <c r="N1014" s="12">
        <v>1694</v>
      </c>
      <c r="O1014" s="12" t="s">
        <v>46</v>
      </c>
      <c r="P1014" s="12">
        <v>1694</v>
      </c>
      <c r="Q1014" s="12" t="s">
        <v>46</v>
      </c>
    </row>
    <row r="1015" spans="1:17" x14ac:dyDescent="0.35">
      <c r="A1015" s="12">
        <v>73</v>
      </c>
      <c r="B1015" s="12" t="s">
        <v>1862</v>
      </c>
      <c r="C1015" s="19">
        <v>2013</v>
      </c>
      <c r="D1015" s="19" t="s">
        <v>420</v>
      </c>
      <c r="E1015" s="13" t="s">
        <v>1863</v>
      </c>
      <c r="F1015" s="12" t="s">
        <v>1864</v>
      </c>
      <c r="G1015" s="12" t="s">
        <v>86</v>
      </c>
      <c r="H1015" s="12" t="s">
        <v>1868</v>
      </c>
      <c r="I1015" s="12">
        <v>44.728700000000003</v>
      </c>
      <c r="J1015" s="12">
        <v>-82.539900000000003</v>
      </c>
      <c r="K1015" s="12" t="s">
        <v>41</v>
      </c>
      <c r="L1015" s="12" t="s">
        <v>28</v>
      </c>
      <c r="M1015" s="12" t="s">
        <v>1867</v>
      </c>
      <c r="N1015" s="12">
        <v>2213</v>
      </c>
      <c r="O1015" s="12" t="s">
        <v>46</v>
      </c>
      <c r="P1015" s="12">
        <v>2213</v>
      </c>
      <c r="Q1015" s="12" t="s">
        <v>46</v>
      </c>
    </row>
    <row r="1016" spans="1:17" x14ac:dyDescent="0.35">
      <c r="A1016" s="12">
        <v>73</v>
      </c>
      <c r="B1016" s="12" t="s">
        <v>1862</v>
      </c>
      <c r="C1016" s="19">
        <v>2013</v>
      </c>
      <c r="D1016" s="19" t="s">
        <v>420</v>
      </c>
      <c r="E1016" s="13" t="s">
        <v>1863</v>
      </c>
      <c r="F1016" s="12" t="s">
        <v>1864</v>
      </c>
      <c r="G1016" s="12" t="s">
        <v>86</v>
      </c>
      <c r="H1016" s="12" t="s">
        <v>1868</v>
      </c>
      <c r="I1016" s="12">
        <v>44.767600000000002</v>
      </c>
      <c r="J1016" s="12">
        <v>-81.947699999999998</v>
      </c>
      <c r="K1016" s="12" t="s">
        <v>41</v>
      </c>
      <c r="L1016" s="12" t="s">
        <v>28</v>
      </c>
      <c r="M1016" s="12" t="s">
        <v>1867</v>
      </c>
      <c r="N1016" s="12">
        <v>6541</v>
      </c>
      <c r="O1016" s="12" t="s">
        <v>46</v>
      </c>
      <c r="P1016" s="12">
        <v>6541</v>
      </c>
      <c r="Q1016" s="12" t="s">
        <v>46</v>
      </c>
    </row>
    <row r="1017" spans="1:17" x14ac:dyDescent="0.35">
      <c r="A1017" s="12">
        <v>73</v>
      </c>
      <c r="B1017" s="12" t="s">
        <v>1862</v>
      </c>
      <c r="C1017" s="19">
        <v>2013</v>
      </c>
      <c r="D1017" s="19" t="s">
        <v>420</v>
      </c>
      <c r="E1017" s="13" t="s">
        <v>1863</v>
      </c>
      <c r="F1017" s="12" t="s">
        <v>1864</v>
      </c>
      <c r="G1017" s="12" t="s">
        <v>86</v>
      </c>
      <c r="H1017" s="12" t="s">
        <v>1868</v>
      </c>
      <c r="I1017" s="12">
        <v>44.347999999999999</v>
      </c>
      <c r="J1017" s="12">
        <v>-82.558300000000003</v>
      </c>
      <c r="K1017" s="12" t="s">
        <v>41</v>
      </c>
      <c r="L1017" s="12" t="s">
        <v>28</v>
      </c>
      <c r="M1017" s="12" t="s">
        <v>1867</v>
      </c>
      <c r="N1017" s="12">
        <v>5352</v>
      </c>
      <c r="O1017" s="12" t="s">
        <v>46</v>
      </c>
      <c r="P1017" s="12">
        <v>5352</v>
      </c>
      <c r="Q1017" s="12" t="s">
        <v>46</v>
      </c>
    </row>
    <row r="1018" spans="1:17" x14ac:dyDescent="0.35">
      <c r="A1018" s="12">
        <v>73</v>
      </c>
      <c r="B1018" s="12" t="s">
        <v>1862</v>
      </c>
      <c r="C1018" s="19">
        <v>2013</v>
      </c>
      <c r="D1018" s="19" t="s">
        <v>420</v>
      </c>
      <c r="E1018" s="13" t="s">
        <v>1863</v>
      </c>
      <c r="F1018" s="12" t="s">
        <v>1864</v>
      </c>
      <c r="G1018" s="12" t="s">
        <v>86</v>
      </c>
      <c r="H1018" s="12" t="s">
        <v>1868</v>
      </c>
      <c r="I1018" s="12">
        <v>43.923999999999999</v>
      </c>
      <c r="J1018" s="12">
        <v>-82.513000000000005</v>
      </c>
      <c r="K1018" s="12" t="s">
        <v>41</v>
      </c>
      <c r="L1018" s="12" t="s">
        <v>28</v>
      </c>
      <c r="M1018" s="12" t="s">
        <v>1867</v>
      </c>
      <c r="N1018" s="12">
        <v>456</v>
      </c>
      <c r="O1018" s="12" t="s">
        <v>46</v>
      </c>
      <c r="P1018" s="12">
        <v>456</v>
      </c>
      <c r="Q1018" s="12" t="s">
        <v>46</v>
      </c>
    </row>
    <row r="1019" spans="1:17" x14ac:dyDescent="0.35">
      <c r="A1019" s="12">
        <v>73</v>
      </c>
      <c r="B1019" s="12" t="s">
        <v>1862</v>
      </c>
      <c r="C1019" s="19">
        <v>2013</v>
      </c>
      <c r="D1019" s="19" t="s">
        <v>420</v>
      </c>
      <c r="E1019" s="13" t="s">
        <v>1863</v>
      </c>
      <c r="F1019" s="12" t="s">
        <v>1864</v>
      </c>
      <c r="G1019" s="12" t="s">
        <v>86</v>
      </c>
      <c r="H1019" s="12" t="s">
        <v>1868</v>
      </c>
      <c r="I1019" s="12">
        <v>43.413400000000003</v>
      </c>
      <c r="J1019" s="12">
        <v>-82.3994</v>
      </c>
      <c r="K1019" s="12" t="s">
        <v>41</v>
      </c>
      <c r="L1019" s="12" t="s">
        <v>28</v>
      </c>
      <c r="M1019" s="12" t="s">
        <v>1867</v>
      </c>
      <c r="N1019" s="12">
        <v>0</v>
      </c>
      <c r="O1019" s="12" t="s">
        <v>46</v>
      </c>
      <c r="P1019" s="12">
        <v>0</v>
      </c>
      <c r="Q1019" s="12" t="s">
        <v>46</v>
      </c>
    </row>
    <row r="1020" spans="1:17" x14ac:dyDescent="0.35">
      <c r="A1020" s="12">
        <v>73</v>
      </c>
      <c r="B1020" s="12" t="s">
        <v>1862</v>
      </c>
      <c r="C1020" s="19">
        <v>2013</v>
      </c>
      <c r="D1020" s="19" t="s">
        <v>420</v>
      </c>
      <c r="E1020" s="13" t="s">
        <v>1863</v>
      </c>
      <c r="F1020" s="12" t="s">
        <v>1864</v>
      </c>
      <c r="G1020" s="12" t="s">
        <v>86</v>
      </c>
      <c r="H1020" s="12" t="s">
        <v>1869</v>
      </c>
      <c r="I1020" s="12">
        <v>41.8979</v>
      </c>
      <c r="J1020" s="12">
        <v>-83.049800000000005</v>
      </c>
      <c r="K1020" s="12" t="s">
        <v>41</v>
      </c>
      <c r="L1020" s="12" t="s">
        <v>28</v>
      </c>
      <c r="M1020" s="12" t="s">
        <v>1867</v>
      </c>
      <c r="N1020" s="12">
        <v>11282</v>
      </c>
      <c r="O1020" s="12" t="s">
        <v>46</v>
      </c>
      <c r="P1020" s="12">
        <v>11282</v>
      </c>
      <c r="Q1020" s="12" t="s">
        <v>46</v>
      </c>
    </row>
    <row r="1021" spans="1:17" x14ac:dyDescent="0.35">
      <c r="A1021" s="12">
        <v>73</v>
      </c>
      <c r="B1021" s="12" t="s">
        <v>1862</v>
      </c>
      <c r="C1021" s="19">
        <v>2013</v>
      </c>
      <c r="D1021" s="19" t="s">
        <v>420</v>
      </c>
      <c r="E1021" s="13" t="s">
        <v>1863</v>
      </c>
      <c r="F1021" s="12" t="s">
        <v>1864</v>
      </c>
      <c r="G1021" s="12" t="s">
        <v>86</v>
      </c>
      <c r="H1021" s="12" t="s">
        <v>1869</v>
      </c>
      <c r="I1021" s="12">
        <v>41.752299999999998</v>
      </c>
      <c r="J1021" s="12">
        <v>-82.944999999999993</v>
      </c>
      <c r="K1021" s="12" t="s">
        <v>41</v>
      </c>
      <c r="L1021" s="12" t="s">
        <v>28</v>
      </c>
      <c r="M1021" s="12" t="s">
        <v>1867</v>
      </c>
      <c r="N1021" s="12">
        <v>4686</v>
      </c>
      <c r="O1021" s="12" t="s">
        <v>46</v>
      </c>
      <c r="P1021" s="12">
        <v>4686</v>
      </c>
      <c r="Q1021" s="12" t="s">
        <v>46</v>
      </c>
    </row>
    <row r="1022" spans="1:17" x14ac:dyDescent="0.35">
      <c r="A1022" s="12">
        <v>73</v>
      </c>
      <c r="B1022" s="12" t="s">
        <v>1862</v>
      </c>
      <c r="C1022" s="19">
        <v>2013</v>
      </c>
      <c r="D1022" s="19" t="s">
        <v>420</v>
      </c>
      <c r="E1022" s="13" t="s">
        <v>1863</v>
      </c>
      <c r="F1022" s="12" t="s">
        <v>1864</v>
      </c>
      <c r="G1022" s="12" t="s">
        <v>86</v>
      </c>
      <c r="H1022" s="12" t="s">
        <v>1869</v>
      </c>
      <c r="I1022" s="12">
        <v>41.783000000000001</v>
      </c>
      <c r="J1022" s="12">
        <v>-82.756900000000002</v>
      </c>
      <c r="K1022" s="12" t="s">
        <v>41</v>
      </c>
      <c r="L1022" s="12" t="s">
        <v>28</v>
      </c>
      <c r="M1022" s="12" t="s">
        <v>1867</v>
      </c>
      <c r="N1022" s="12">
        <v>8511</v>
      </c>
      <c r="O1022" s="12" t="s">
        <v>46</v>
      </c>
      <c r="P1022" s="12">
        <v>8511</v>
      </c>
      <c r="Q1022" s="12" t="s">
        <v>46</v>
      </c>
    </row>
    <row r="1023" spans="1:17" x14ac:dyDescent="0.35">
      <c r="A1023" s="12">
        <v>73</v>
      </c>
      <c r="B1023" s="12" t="s">
        <v>1862</v>
      </c>
      <c r="C1023" s="19">
        <v>2013</v>
      </c>
      <c r="D1023" s="19" t="s">
        <v>420</v>
      </c>
      <c r="E1023" s="13" t="s">
        <v>1863</v>
      </c>
      <c r="F1023" s="12" t="s">
        <v>1864</v>
      </c>
      <c r="G1023" s="12" t="s">
        <v>86</v>
      </c>
      <c r="H1023" s="12" t="s">
        <v>1869</v>
      </c>
      <c r="I1023" s="12">
        <v>41.895299999999999</v>
      </c>
      <c r="J1023" s="12">
        <v>-82.341099999999997</v>
      </c>
      <c r="K1023" s="12" t="s">
        <v>41</v>
      </c>
      <c r="L1023" s="12" t="s">
        <v>28</v>
      </c>
      <c r="M1023" s="12" t="s">
        <v>1867</v>
      </c>
      <c r="N1023" s="12">
        <v>57122</v>
      </c>
      <c r="O1023" s="12" t="s">
        <v>46</v>
      </c>
      <c r="P1023" s="12">
        <v>57122</v>
      </c>
      <c r="Q1023" s="12" t="s">
        <v>46</v>
      </c>
    </row>
    <row r="1024" spans="1:17" x14ac:dyDescent="0.35">
      <c r="A1024" s="12">
        <v>73</v>
      </c>
      <c r="B1024" s="12" t="s">
        <v>1862</v>
      </c>
      <c r="C1024" s="19">
        <v>2013</v>
      </c>
      <c r="D1024" s="19" t="s">
        <v>420</v>
      </c>
      <c r="E1024" s="13" t="s">
        <v>1863</v>
      </c>
      <c r="F1024" s="12" t="s">
        <v>1864</v>
      </c>
      <c r="G1024" s="12" t="s">
        <v>86</v>
      </c>
      <c r="H1024" s="12" t="s">
        <v>1869</v>
      </c>
      <c r="I1024" s="12">
        <v>42.142499999999998</v>
      </c>
      <c r="J1024" s="12">
        <v>-81.513099999999994</v>
      </c>
      <c r="K1024" s="12" t="s">
        <v>41</v>
      </c>
      <c r="L1024" s="12" t="s">
        <v>28</v>
      </c>
      <c r="M1024" s="12" t="s">
        <v>1867</v>
      </c>
      <c r="N1024" s="12">
        <v>6056</v>
      </c>
      <c r="O1024" s="12" t="s">
        <v>46</v>
      </c>
      <c r="P1024" s="12">
        <v>6056</v>
      </c>
      <c r="Q1024" s="12" t="s">
        <v>46</v>
      </c>
    </row>
    <row r="1025" spans="1:17" x14ac:dyDescent="0.35">
      <c r="A1025" s="12">
        <v>73</v>
      </c>
      <c r="B1025" s="12" t="s">
        <v>1862</v>
      </c>
      <c r="C1025" s="19">
        <v>2013</v>
      </c>
      <c r="D1025" s="19" t="s">
        <v>420</v>
      </c>
      <c r="E1025" s="13" t="s">
        <v>1863</v>
      </c>
      <c r="F1025" s="12" t="s">
        <v>1864</v>
      </c>
      <c r="G1025" s="12" t="s">
        <v>86</v>
      </c>
      <c r="H1025" s="12" t="s">
        <v>1869</v>
      </c>
      <c r="I1025" s="12">
        <v>42.244100000000003</v>
      </c>
      <c r="J1025" s="12">
        <v>-80.750100000000003</v>
      </c>
      <c r="K1025" s="12" t="s">
        <v>41</v>
      </c>
      <c r="L1025" s="12" t="s">
        <v>28</v>
      </c>
      <c r="M1025" s="12" t="s">
        <v>1867</v>
      </c>
      <c r="N1025" s="12">
        <v>9112</v>
      </c>
      <c r="O1025" s="12" t="s">
        <v>46</v>
      </c>
      <c r="P1025" s="12">
        <v>9112</v>
      </c>
      <c r="Q1025" s="12" t="s">
        <v>46</v>
      </c>
    </row>
    <row r="1026" spans="1:17" x14ac:dyDescent="0.35">
      <c r="A1026" s="12">
        <v>73</v>
      </c>
      <c r="B1026" s="12" t="s">
        <v>1862</v>
      </c>
      <c r="C1026" s="19">
        <v>2013</v>
      </c>
      <c r="D1026" s="19" t="s">
        <v>420</v>
      </c>
      <c r="E1026" s="13" t="s">
        <v>1863</v>
      </c>
      <c r="F1026" s="12" t="s">
        <v>1864</v>
      </c>
      <c r="G1026" s="12" t="s">
        <v>86</v>
      </c>
      <c r="H1026" s="12" t="s">
        <v>1869</v>
      </c>
      <c r="I1026" s="12">
        <v>42.393799999999999</v>
      </c>
      <c r="J1026" s="12">
        <v>-79.953599999999994</v>
      </c>
      <c r="K1026" s="12" t="s">
        <v>41</v>
      </c>
      <c r="L1026" s="12" t="s">
        <v>28</v>
      </c>
      <c r="M1026" s="12" t="s">
        <v>1867</v>
      </c>
      <c r="N1026" s="12">
        <v>466305</v>
      </c>
      <c r="O1026" s="12" t="s">
        <v>46</v>
      </c>
      <c r="P1026" s="12">
        <v>466305</v>
      </c>
      <c r="Q1026" s="12" t="s">
        <v>46</v>
      </c>
    </row>
    <row r="1027" spans="1:17" x14ac:dyDescent="0.35">
      <c r="A1027" s="12">
        <v>73</v>
      </c>
      <c r="B1027" s="12" t="s">
        <v>1862</v>
      </c>
      <c r="C1027" s="19">
        <v>2013</v>
      </c>
      <c r="D1027" s="19" t="s">
        <v>420</v>
      </c>
      <c r="E1027" s="13" t="s">
        <v>1863</v>
      </c>
      <c r="F1027" s="12" t="s">
        <v>1864</v>
      </c>
      <c r="G1027" s="12" t="s">
        <v>86</v>
      </c>
      <c r="H1027" s="12" t="s">
        <v>1869</v>
      </c>
      <c r="I1027" s="12">
        <v>42.3</v>
      </c>
      <c r="J1027" s="12">
        <v>-80.025899999999993</v>
      </c>
      <c r="K1027" s="12" t="s">
        <v>41</v>
      </c>
      <c r="L1027" s="12" t="s">
        <v>28</v>
      </c>
      <c r="M1027" s="12" t="s">
        <v>1867</v>
      </c>
      <c r="N1027" s="12">
        <v>280947</v>
      </c>
      <c r="O1027" s="12" t="s">
        <v>46</v>
      </c>
      <c r="P1027" s="12">
        <v>280947</v>
      </c>
      <c r="Q1027" s="12" t="s">
        <v>46</v>
      </c>
    </row>
    <row r="1028" spans="1:17" x14ac:dyDescent="0.35">
      <c r="A1028" s="12">
        <v>74</v>
      </c>
      <c r="B1028" s="12" t="s">
        <v>1870</v>
      </c>
      <c r="C1028" s="19">
        <v>2014</v>
      </c>
      <c r="D1028" s="19" t="s">
        <v>51</v>
      </c>
      <c r="E1028" s="13" t="s">
        <v>1871</v>
      </c>
      <c r="F1028" s="12" t="s">
        <v>1872</v>
      </c>
      <c r="G1028" s="12" t="s">
        <v>161</v>
      </c>
      <c r="H1028" s="12" t="s">
        <v>1873</v>
      </c>
      <c r="I1028" s="12">
        <v>45.093927999999998</v>
      </c>
      <c r="J1028" s="35">
        <v>-74.501058</v>
      </c>
      <c r="K1028" s="12" t="s">
        <v>103</v>
      </c>
      <c r="L1028" s="12" t="s">
        <v>223</v>
      </c>
      <c r="N1028" s="12">
        <v>57</v>
      </c>
      <c r="O1028" s="12" t="s">
        <v>144</v>
      </c>
      <c r="P1028" s="12">
        <v>57</v>
      </c>
      <c r="Q1028" s="12" t="s">
        <v>144</v>
      </c>
    </row>
    <row r="1029" spans="1:17" x14ac:dyDescent="0.35">
      <c r="A1029" s="12">
        <v>74</v>
      </c>
      <c r="B1029" s="12" t="s">
        <v>1870</v>
      </c>
      <c r="C1029" s="19">
        <v>2014</v>
      </c>
      <c r="D1029" s="19" t="s">
        <v>51</v>
      </c>
      <c r="E1029" s="13" t="s">
        <v>1871</v>
      </c>
      <c r="F1029" s="12" t="s">
        <v>1872</v>
      </c>
      <c r="G1029" s="12" t="s">
        <v>161</v>
      </c>
      <c r="H1029" s="12" t="s">
        <v>1876</v>
      </c>
      <c r="I1029" s="12">
        <v>45.321421999999998</v>
      </c>
      <c r="J1029" s="35">
        <v>-73.901443</v>
      </c>
      <c r="K1029" s="12" t="s">
        <v>103</v>
      </c>
      <c r="L1029" s="12" t="s">
        <v>223</v>
      </c>
      <c r="N1029" s="12">
        <v>86</v>
      </c>
      <c r="O1029" s="12" t="s">
        <v>144</v>
      </c>
      <c r="P1029" s="12">
        <v>86</v>
      </c>
      <c r="Q1029" s="12" t="s">
        <v>144</v>
      </c>
    </row>
    <row r="1030" spans="1:17" x14ac:dyDescent="0.35">
      <c r="A1030" s="12">
        <v>74</v>
      </c>
      <c r="B1030" s="12" t="s">
        <v>1870</v>
      </c>
      <c r="C1030" s="19">
        <v>2014</v>
      </c>
      <c r="D1030" s="19" t="s">
        <v>51</v>
      </c>
      <c r="E1030" s="13" t="s">
        <v>1871</v>
      </c>
      <c r="F1030" s="12" t="s">
        <v>1872</v>
      </c>
      <c r="G1030" s="12" t="s">
        <v>161</v>
      </c>
      <c r="H1030" s="12" t="s">
        <v>1877</v>
      </c>
      <c r="I1030" s="12">
        <v>45.681806999999999</v>
      </c>
      <c r="J1030" s="35">
        <v>-73.446326999999997</v>
      </c>
      <c r="K1030" s="12" t="s">
        <v>103</v>
      </c>
      <c r="L1030" s="12" t="s">
        <v>163</v>
      </c>
      <c r="N1030" s="12">
        <v>7</v>
      </c>
      <c r="O1030" s="12" t="s">
        <v>144</v>
      </c>
      <c r="P1030" s="12">
        <v>7</v>
      </c>
      <c r="Q1030" s="12" t="s">
        <v>144</v>
      </c>
    </row>
    <row r="1031" spans="1:17" x14ac:dyDescent="0.35">
      <c r="A1031" s="12">
        <v>74</v>
      </c>
      <c r="B1031" s="12" t="s">
        <v>1870</v>
      </c>
      <c r="C1031" s="19">
        <v>2014</v>
      </c>
      <c r="D1031" s="19" t="s">
        <v>51</v>
      </c>
      <c r="E1031" s="13" t="s">
        <v>1871</v>
      </c>
      <c r="F1031" s="12" t="s">
        <v>1872</v>
      </c>
      <c r="G1031" s="12" t="s">
        <v>161</v>
      </c>
      <c r="H1031" s="12" t="s">
        <v>1878</v>
      </c>
      <c r="I1031" s="12">
        <v>46.217492</v>
      </c>
      <c r="J1031" s="35">
        <v>-72.899653000000001</v>
      </c>
      <c r="K1031" s="12" t="s">
        <v>103</v>
      </c>
      <c r="L1031" s="12" t="s">
        <v>163</v>
      </c>
      <c r="N1031" s="12">
        <v>43</v>
      </c>
      <c r="O1031" s="12" t="s">
        <v>144</v>
      </c>
      <c r="P1031" s="12">
        <v>43</v>
      </c>
      <c r="Q1031" s="12" t="s">
        <v>144</v>
      </c>
    </row>
    <row r="1032" spans="1:17" x14ac:dyDescent="0.35">
      <c r="A1032" s="12">
        <v>74</v>
      </c>
      <c r="B1032" s="12" t="s">
        <v>1870</v>
      </c>
      <c r="C1032" s="19">
        <v>2014</v>
      </c>
      <c r="D1032" s="19" t="s">
        <v>51</v>
      </c>
      <c r="E1032" s="13" t="s">
        <v>1871</v>
      </c>
      <c r="F1032" s="12" t="s">
        <v>1872</v>
      </c>
      <c r="G1032" s="12" t="s">
        <v>161</v>
      </c>
      <c r="H1032" s="12" t="s">
        <v>1879</v>
      </c>
      <c r="I1032" s="12">
        <v>45.841777999999998</v>
      </c>
      <c r="J1032" s="35">
        <v>-73.284462000000005</v>
      </c>
      <c r="K1032" s="12" t="s">
        <v>103</v>
      </c>
      <c r="L1032" s="12" t="s">
        <v>163</v>
      </c>
      <c r="N1032" s="12">
        <v>185</v>
      </c>
      <c r="O1032" s="12" t="s">
        <v>144</v>
      </c>
      <c r="P1032" s="12">
        <v>185</v>
      </c>
      <c r="Q1032" s="12" t="s">
        <v>144</v>
      </c>
    </row>
    <row r="1033" spans="1:17" x14ac:dyDescent="0.35">
      <c r="A1033" s="12">
        <v>74</v>
      </c>
      <c r="B1033" s="12" t="s">
        <v>1870</v>
      </c>
      <c r="C1033" s="19">
        <v>2014</v>
      </c>
      <c r="D1033" s="19" t="s">
        <v>51</v>
      </c>
      <c r="E1033" s="13" t="s">
        <v>1871</v>
      </c>
      <c r="F1033" s="12" t="s">
        <v>1872</v>
      </c>
      <c r="G1033" s="12" t="s">
        <v>161</v>
      </c>
      <c r="H1033" s="12" t="s">
        <v>1880</v>
      </c>
      <c r="I1033" s="12">
        <v>46.051076999999999</v>
      </c>
      <c r="J1033" s="35">
        <v>-73.163033999999996</v>
      </c>
      <c r="K1033" s="12" t="s">
        <v>103</v>
      </c>
      <c r="L1033" s="12" t="s">
        <v>163</v>
      </c>
      <c r="N1033" s="12">
        <v>46</v>
      </c>
      <c r="O1033" s="12" t="s">
        <v>144</v>
      </c>
      <c r="P1033" s="12">
        <v>46</v>
      </c>
      <c r="Q1033" s="12" t="s">
        <v>144</v>
      </c>
    </row>
    <row r="1034" spans="1:17" x14ac:dyDescent="0.35">
      <c r="A1034" s="12">
        <v>74</v>
      </c>
      <c r="B1034" s="12" t="s">
        <v>1870</v>
      </c>
      <c r="C1034" s="19">
        <v>2014</v>
      </c>
      <c r="D1034" s="19" t="s">
        <v>51</v>
      </c>
      <c r="E1034" s="13" t="s">
        <v>1871</v>
      </c>
      <c r="F1034" s="12" t="s">
        <v>1872</v>
      </c>
      <c r="G1034" s="12" t="s">
        <v>161</v>
      </c>
      <c r="H1034" s="12" t="s">
        <v>1881</v>
      </c>
      <c r="I1034" s="12">
        <v>46.048937000000002</v>
      </c>
      <c r="J1034" s="35">
        <v>-73.143299999999996</v>
      </c>
      <c r="K1034" s="12" t="s">
        <v>103</v>
      </c>
      <c r="L1034" s="12" t="s">
        <v>163</v>
      </c>
      <c r="N1034" s="12">
        <v>0</v>
      </c>
      <c r="O1034" s="12" t="s">
        <v>144</v>
      </c>
      <c r="P1034" s="12">
        <v>0</v>
      </c>
      <c r="Q1034" s="12" t="s">
        <v>144</v>
      </c>
    </row>
    <row r="1035" spans="1:17" x14ac:dyDescent="0.35">
      <c r="A1035" s="12">
        <v>74</v>
      </c>
      <c r="B1035" s="12" t="s">
        <v>1870</v>
      </c>
      <c r="C1035" s="19">
        <v>2014</v>
      </c>
      <c r="D1035" s="19" t="s">
        <v>51</v>
      </c>
      <c r="E1035" s="13" t="s">
        <v>1871</v>
      </c>
      <c r="F1035" s="12" t="s">
        <v>1872</v>
      </c>
      <c r="G1035" s="12" t="s">
        <v>161</v>
      </c>
      <c r="H1035" s="12" t="s">
        <v>1882</v>
      </c>
      <c r="I1035" s="12">
        <v>46.488953000000002</v>
      </c>
      <c r="J1035" s="35">
        <v>-72.231769999999997</v>
      </c>
      <c r="K1035" s="12" t="s">
        <v>103</v>
      </c>
      <c r="L1035" s="12" t="s">
        <v>163</v>
      </c>
      <c r="N1035" s="12">
        <v>0</v>
      </c>
      <c r="O1035" s="12" t="s">
        <v>144</v>
      </c>
      <c r="P1035" s="12">
        <v>0</v>
      </c>
      <c r="Q1035" s="12" t="s">
        <v>144</v>
      </c>
    </row>
    <row r="1036" spans="1:17" x14ac:dyDescent="0.35">
      <c r="A1036" s="12">
        <v>74</v>
      </c>
      <c r="B1036" s="12" t="s">
        <v>1870</v>
      </c>
      <c r="C1036" s="19">
        <v>2014</v>
      </c>
      <c r="D1036" s="19" t="s">
        <v>51</v>
      </c>
      <c r="E1036" s="13" t="s">
        <v>1871</v>
      </c>
      <c r="F1036" s="12" t="s">
        <v>1872</v>
      </c>
      <c r="G1036" s="12" t="s">
        <v>161</v>
      </c>
      <c r="H1036" s="12" t="s">
        <v>1883</v>
      </c>
      <c r="I1036" s="12">
        <v>46.566934000000003</v>
      </c>
      <c r="J1036" s="35">
        <v>-72.033417999999998</v>
      </c>
      <c r="K1036" s="12" t="s">
        <v>103</v>
      </c>
      <c r="L1036" s="12" t="s">
        <v>163</v>
      </c>
      <c r="N1036" s="12">
        <v>136926</v>
      </c>
      <c r="O1036" s="12" t="s">
        <v>144</v>
      </c>
      <c r="P1036" s="12">
        <v>136926</v>
      </c>
      <c r="Q1036" s="12" t="s">
        <v>144</v>
      </c>
    </row>
    <row r="1037" spans="1:17" x14ac:dyDescent="0.35">
      <c r="A1037" s="12">
        <v>74</v>
      </c>
      <c r="B1037" s="12" t="s">
        <v>1870</v>
      </c>
      <c r="C1037" s="19">
        <v>2014</v>
      </c>
      <c r="D1037" s="19" t="s">
        <v>51</v>
      </c>
      <c r="E1037" s="13" t="s">
        <v>1871</v>
      </c>
      <c r="F1037" s="12" t="s">
        <v>1872</v>
      </c>
      <c r="G1037" s="12" t="s">
        <v>161</v>
      </c>
      <c r="H1037" s="12" t="s">
        <v>1884</v>
      </c>
      <c r="I1037" s="12">
        <v>46.842498999999997</v>
      </c>
      <c r="J1037" s="35">
        <v>-71.150510999999995</v>
      </c>
      <c r="K1037" s="12" t="s">
        <v>103</v>
      </c>
      <c r="L1037" s="12" t="s">
        <v>163</v>
      </c>
      <c r="N1037" s="12">
        <v>243</v>
      </c>
      <c r="O1037" s="12" t="s">
        <v>144</v>
      </c>
      <c r="P1037" s="12">
        <v>243</v>
      </c>
      <c r="Q1037" s="12" t="s">
        <v>144</v>
      </c>
    </row>
    <row r="1038" spans="1:17" x14ac:dyDescent="0.35">
      <c r="A1038" s="12">
        <v>75</v>
      </c>
      <c r="B1038" s="12" t="s">
        <v>1885</v>
      </c>
      <c r="C1038" s="19">
        <v>2018</v>
      </c>
      <c r="D1038" s="19" t="s">
        <v>1596</v>
      </c>
      <c r="E1038" s="13" t="s">
        <v>1886</v>
      </c>
      <c r="F1038" s="12" t="s">
        <v>1887</v>
      </c>
      <c r="G1038" s="12" t="s">
        <v>86</v>
      </c>
      <c r="H1038" s="12" t="s">
        <v>1865</v>
      </c>
      <c r="I1038" s="12">
        <v>46.441499999999998</v>
      </c>
      <c r="J1038" s="12">
        <v>-92.079599999999999</v>
      </c>
      <c r="K1038" s="12" t="s">
        <v>41</v>
      </c>
      <c r="L1038" s="12" t="s">
        <v>28</v>
      </c>
      <c r="M1038" s="12" t="s">
        <v>1889</v>
      </c>
      <c r="N1038" s="12">
        <v>36000</v>
      </c>
      <c r="O1038" s="12" t="s">
        <v>46</v>
      </c>
      <c r="P1038" s="12">
        <v>36000</v>
      </c>
      <c r="Q1038" s="12" t="s">
        <v>46</v>
      </c>
    </row>
    <row r="1039" spans="1:17" x14ac:dyDescent="0.35">
      <c r="A1039" s="12">
        <v>75</v>
      </c>
      <c r="B1039" s="12" t="s">
        <v>1885</v>
      </c>
      <c r="C1039" s="19">
        <v>2018</v>
      </c>
      <c r="D1039" s="19" t="s">
        <v>1596</v>
      </c>
      <c r="E1039" s="13" t="s">
        <v>1886</v>
      </c>
      <c r="F1039" s="12" t="s">
        <v>1887</v>
      </c>
      <c r="G1039" s="12" t="s">
        <v>86</v>
      </c>
      <c r="H1039" s="12" t="s">
        <v>1865</v>
      </c>
      <c r="I1039" s="12">
        <v>46.454300000000003</v>
      </c>
      <c r="J1039" s="12">
        <v>-92.069900000000004</v>
      </c>
      <c r="K1039" s="12" t="s">
        <v>41</v>
      </c>
      <c r="L1039" s="12" t="s">
        <v>28</v>
      </c>
      <c r="M1039" s="12" t="s">
        <v>1889</v>
      </c>
      <c r="N1039" s="12">
        <v>110000</v>
      </c>
      <c r="O1039" s="12" t="s">
        <v>46</v>
      </c>
      <c r="P1039" s="12">
        <v>110000</v>
      </c>
      <c r="Q1039" s="12" t="s">
        <v>46</v>
      </c>
    </row>
    <row r="1040" spans="1:17" x14ac:dyDescent="0.35">
      <c r="A1040" s="12">
        <v>75</v>
      </c>
      <c r="B1040" s="12" t="s">
        <v>1885</v>
      </c>
      <c r="C1040" s="19">
        <v>2018</v>
      </c>
      <c r="D1040" s="19" t="s">
        <v>1596</v>
      </c>
      <c r="E1040" s="13" t="s">
        <v>1886</v>
      </c>
      <c r="F1040" s="12" t="s">
        <v>1887</v>
      </c>
      <c r="G1040" s="12" t="s">
        <v>86</v>
      </c>
      <c r="H1040" s="12" t="s">
        <v>1865</v>
      </c>
      <c r="I1040" s="12">
        <v>46.458599999999997</v>
      </c>
      <c r="J1040" s="12">
        <v>-92.056799999999996</v>
      </c>
      <c r="K1040" s="12" t="s">
        <v>41</v>
      </c>
      <c r="L1040" s="12" t="s">
        <v>28</v>
      </c>
      <c r="M1040" s="12" t="s">
        <v>1889</v>
      </c>
      <c r="N1040" s="12">
        <v>21000</v>
      </c>
      <c r="O1040" s="12" t="s">
        <v>46</v>
      </c>
      <c r="P1040" s="12">
        <v>21000</v>
      </c>
      <c r="Q1040" s="12" t="s">
        <v>46</v>
      </c>
    </row>
    <row r="1041" spans="1:17" x14ac:dyDescent="0.35">
      <c r="A1041" s="12">
        <v>75</v>
      </c>
      <c r="B1041" s="12" t="s">
        <v>1885</v>
      </c>
      <c r="C1041" s="19">
        <v>2018</v>
      </c>
      <c r="D1041" s="19" t="s">
        <v>1596</v>
      </c>
      <c r="E1041" s="13" t="s">
        <v>1886</v>
      </c>
      <c r="F1041" s="12" t="s">
        <v>1887</v>
      </c>
      <c r="G1041" s="12" t="s">
        <v>86</v>
      </c>
      <c r="H1041" s="12" t="s">
        <v>1865</v>
      </c>
      <c r="I1041" s="12">
        <v>46.480800000000002</v>
      </c>
      <c r="J1041" s="12">
        <v>-92.038899999999998</v>
      </c>
      <c r="K1041" s="12" t="s">
        <v>41</v>
      </c>
      <c r="L1041" s="12" t="s">
        <v>28</v>
      </c>
      <c r="M1041" s="12" t="s">
        <v>1889</v>
      </c>
      <c r="N1041" s="12">
        <v>14000</v>
      </c>
      <c r="O1041" s="12" t="s">
        <v>46</v>
      </c>
      <c r="P1041" s="12">
        <v>14000</v>
      </c>
      <c r="Q1041" s="12" t="s">
        <v>46</v>
      </c>
    </row>
    <row r="1042" spans="1:17" x14ac:dyDescent="0.35">
      <c r="A1042" s="12">
        <v>75</v>
      </c>
      <c r="B1042" s="12" t="s">
        <v>1885</v>
      </c>
      <c r="C1042" s="19">
        <v>2018</v>
      </c>
      <c r="D1042" s="19" t="s">
        <v>1596</v>
      </c>
      <c r="E1042" s="13" t="s">
        <v>1886</v>
      </c>
      <c r="F1042" s="12" t="s">
        <v>1887</v>
      </c>
      <c r="G1042" s="12" t="s">
        <v>86</v>
      </c>
      <c r="H1042" s="12" t="s">
        <v>1865</v>
      </c>
      <c r="I1042" s="12">
        <v>46.526000000000003</v>
      </c>
      <c r="J1042" s="12">
        <v>-91.540800000000004</v>
      </c>
      <c r="K1042" s="12" t="s">
        <v>41</v>
      </c>
      <c r="L1042" s="12" t="s">
        <v>28</v>
      </c>
      <c r="M1042" s="12" t="s">
        <v>1889</v>
      </c>
      <c r="N1042" s="12">
        <v>38000</v>
      </c>
      <c r="O1042" s="12" t="s">
        <v>46</v>
      </c>
      <c r="P1042" s="12">
        <v>38000</v>
      </c>
      <c r="Q1042" s="12" t="s">
        <v>46</v>
      </c>
    </row>
    <row r="1043" spans="1:17" x14ac:dyDescent="0.35">
      <c r="A1043" s="12">
        <v>75</v>
      </c>
      <c r="B1043" s="12" t="s">
        <v>1885</v>
      </c>
      <c r="C1043" s="19">
        <v>2018</v>
      </c>
      <c r="D1043" s="19" t="s">
        <v>1596</v>
      </c>
      <c r="E1043" s="13" t="s">
        <v>1886</v>
      </c>
      <c r="F1043" s="12" t="s">
        <v>1887</v>
      </c>
      <c r="G1043" s="12" t="s">
        <v>86</v>
      </c>
      <c r="H1043" s="12" t="s">
        <v>1865</v>
      </c>
      <c r="I1043" s="12">
        <v>46.590200000000003</v>
      </c>
      <c r="J1043" s="12">
        <v>-91.394199999999998</v>
      </c>
      <c r="K1043" s="12" t="s">
        <v>41</v>
      </c>
      <c r="L1043" s="12" t="s">
        <v>28</v>
      </c>
      <c r="M1043" s="12" t="s">
        <v>1889</v>
      </c>
      <c r="N1043" s="12">
        <v>18000</v>
      </c>
      <c r="O1043" s="12" t="s">
        <v>46</v>
      </c>
      <c r="P1043" s="12">
        <v>18000</v>
      </c>
      <c r="Q1043" s="12" t="s">
        <v>46</v>
      </c>
    </row>
    <row r="1044" spans="1:17" x14ac:dyDescent="0.35">
      <c r="A1044" s="12">
        <v>75</v>
      </c>
      <c r="B1044" s="12" t="s">
        <v>1885</v>
      </c>
      <c r="C1044" s="19">
        <v>2018</v>
      </c>
      <c r="D1044" s="19" t="s">
        <v>1596</v>
      </c>
      <c r="E1044" s="13" t="s">
        <v>1886</v>
      </c>
      <c r="F1044" s="12" t="s">
        <v>1887</v>
      </c>
      <c r="G1044" s="12" t="s">
        <v>86</v>
      </c>
      <c r="H1044" s="12" t="s">
        <v>1865</v>
      </c>
      <c r="I1044" s="12">
        <v>47.192659999999997</v>
      </c>
      <c r="J1044" s="12">
        <v>-89.504649999999998</v>
      </c>
      <c r="K1044" s="12" t="s">
        <v>41</v>
      </c>
      <c r="L1044" s="12" t="s">
        <v>28</v>
      </c>
      <c r="M1044" s="12" t="s">
        <v>1889</v>
      </c>
      <c r="N1044" s="12">
        <v>54000</v>
      </c>
      <c r="O1044" s="12" t="s">
        <v>46</v>
      </c>
      <c r="P1044" s="12">
        <v>54000</v>
      </c>
      <c r="Q1044" s="12" t="s">
        <v>46</v>
      </c>
    </row>
    <row r="1045" spans="1:17" x14ac:dyDescent="0.35">
      <c r="A1045" s="12">
        <v>75</v>
      </c>
      <c r="B1045" s="12" t="s">
        <v>1885</v>
      </c>
      <c r="C1045" s="19">
        <v>2018</v>
      </c>
      <c r="D1045" s="19" t="s">
        <v>1596</v>
      </c>
      <c r="E1045" s="13" t="s">
        <v>1886</v>
      </c>
      <c r="F1045" s="12" t="s">
        <v>1887</v>
      </c>
      <c r="G1045" s="12" t="s">
        <v>86</v>
      </c>
      <c r="H1045" s="12" t="s">
        <v>1865</v>
      </c>
      <c r="I1045" s="12">
        <v>46.4801</v>
      </c>
      <c r="J1045" s="12">
        <v>-91.234399999999994</v>
      </c>
      <c r="K1045" s="12" t="s">
        <v>41</v>
      </c>
      <c r="L1045" s="12" t="s">
        <v>28</v>
      </c>
      <c r="M1045" s="12" t="s">
        <v>1889</v>
      </c>
      <c r="N1045" s="12">
        <v>28000</v>
      </c>
      <c r="O1045" s="12" t="s">
        <v>46</v>
      </c>
      <c r="P1045" s="12">
        <v>28000</v>
      </c>
      <c r="Q1045" s="12" t="s">
        <v>46</v>
      </c>
    </row>
    <row r="1046" spans="1:17" x14ac:dyDescent="0.35">
      <c r="A1046" s="12">
        <v>75</v>
      </c>
      <c r="B1046" s="12" t="s">
        <v>1885</v>
      </c>
      <c r="C1046" s="19">
        <v>2018</v>
      </c>
      <c r="D1046" s="19" t="s">
        <v>1596</v>
      </c>
      <c r="E1046" s="13" t="s">
        <v>1886</v>
      </c>
      <c r="F1046" s="12" t="s">
        <v>1887</v>
      </c>
      <c r="G1046" s="12" t="s">
        <v>86</v>
      </c>
      <c r="H1046" s="12" t="s">
        <v>1865</v>
      </c>
      <c r="I1046" s="12">
        <v>46.442500000000003</v>
      </c>
      <c r="J1046" s="12">
        <v>-91.410300000000007</v>
      </c>
      <c r="K1046" s="12" t="s">
        <v>41</v>
      </c>
      <c r="L1046" s="12" t="s">
        <v>28</v>
      </c>
      <c r="M1046" s="12" t="s">
        <v>1889</v>
      </c>
      <c r="N1046" s="12">
        <v>35000</v>
      </c>
      <c r="O1046" s="12" t="s">
        <v>46</v>
      </c>
      <c r="P1046" s="12">
        <v>35000</v>
      </c>
      <c r="Q1046" s="12" t="s">
        <v>46</v>
      </c>
    </row>
    <row r="1047" spans="1:17" x14ac:dyDescent="0.35">
      <c r="A1047" s="12">
        <v>75</v>
      </c>
      <c r="B1047" s="12" t="s">
        <v>1885</v>
      </c>
      <c r="C1047" s="19">
        <v>2018</v>
      </c>
      <c r="D1047" s="19" t="s">
        <v>1596</v>
      </c>
      <c r="E1047" s="13" t="s">
        <v>1886</v>
      </c>
      <c r="F1047" s="12" t="s">
        <v>1887</v>
      </c>
      <c r="G1047" s="12" t="s">
        <v>86</v>
      </c>
      <c r="H1047" s="12" t="s">
        <v>1865</v>
      </c>
      <c r="I1047" s="12">
        <v>46.4146</v>
      </c>
      <c r="J1047" s="12">
        <v>-91.575199999999995</v>
      </c>
      <c r="K1047" s="12" t="s">
        <v>41</v>
      </c>
      <c r="L1047" s="12" t="s">
        <v>28</v>
      </c>
      <c r="M1047" s="12" t="s">
        <v>1889</v>
      </c>
      <c r="N1047" s="12">
        <v>16000</v>
      </c>
      <c r="O1047" s="12" t="s">
        <v>46</v>
      </c>
      <c r="P1047" s="12">
        <v>16000</v>
      </c>
      <c r="Q1047" s="12" t="s">
        <v>46</v>
      </c>
    </row>
    <row r="1048" spans="1:17" x14ac:dyDescent="0.35">
      <c r="A1048" s="12">
        <v>75</v>
      </c>
      <c r="B1048" s="12" t="s">
        <v>1885</v>
      </c>
      <c r="C1048" s="19">
        <v>2018</v>
      </c>
      <c r="D1048" s="19" t="s">
        <v>1596</v>
      </c>
      <c r="E1048" s="13" t="s">
        <v>1886</v>
      </c>
      <c r="F1048" s="12" t="s">
        <v>1887</v>
      </c>
      <c r="G1048" s="12" t="s">
        <v>86</v>
      </c>
      <c r="H1048" s="12" t="s">
        <v>1865</v>
      </c>
      <c r="I1048" s="12">
        <v>46.4251</v>
      </c>
      <c r="J1048" s="12">
        <v>-92.017700000000005</v>
      </c>
      <c r="K1048" s="12" t="s">
        <v>41</v>
      </c>
      <c r="L1048" s="12" t="s">
        <v>28</v>
      </c>
      <c r="M1048" s="12" t="s">
        <v>1889</v>
      </c>
      <c r="N1048" s="12">
        <v>48000</v>
      </c>
      <c r="O1048" s="12" t="s">
        <v>46</v>
      </c>
      <c r="P1048" s="12">
        <v>48000</v>
      </c>
      <c r="Q1048" s="12" t="s">
        <v>46</v>
      </c>
    </row>
    <row r="1049" spans="1:17" x14ac:dyDescent="0.35">
      <c r="A1049" s="12">
        <v>75</v>
      </c>
      <c r="B1049" s="12" t="s">
        <v>1885</v>
      </c>
      <c r="C1049" s="19">
        <v>2018</v>
      </c>
      <c r="D1049" s="19" t="s">
        <v>1596</v>
      </c>
      <c r="E1049" s="13" t="s">
        <v>1886</v>
      </c>
      <c r="F1049" s="12" t="s">
        <v>1887</v>
      </c>
      <c r="G1049" s="12" t="s">
        <v>86</v>
      </c>
      <c r="H1049" s="12" t="s">
        <v>1865</v>
      </c>
      <c r="I1049" s="12">
        <v>46.470399999999998</v>
      </c>
      <c r="J1049" s="12">
        <v>-91.4923</v>
      </c>
      <c r="K1049" s="12" t="s">
        <v>41</v>
      </c>
      <c r="L1049" s="12" t="s">
        <v>28</v>
      </c>
      <c r="M1049" s="12" t="s">
        <v>1889</v>
      </c>
      <c r="N1049" s="12">
        <v>25000</v>
      </c>
      <c r="O1049" s="12" t="s">
        <v>46</v>
      </c>
      <c r="P1049" s="12">
        <v>25000</v>
      </c>
      <c r="Q1049" s="12" t="s">
        <v>46</v>
      </c>
    </row>
    <row r="1050" spans="1:17" x14ac:dyDescent="0.35">
      <c r="A1050" s="12">
        <v>76</v>
      </c>
      <c r="B1050" s="12" t="s">
        <v>1890</v>
      </c>
      <c r="C1050" s="12">
        <v>2021</v>
      </c>
      <c r="D1050" s="12" t="s">
        <v>1891</v>
      </c>
      <c r="E1050" s="12" t="s">
        <v>1892</v>
      </c>
      <c r="F1050" s="12" t="s">
        <v>1893</v>
      </c>
      <c r="G1050" s="12" t="s">
        <v>1894</v>
      </c>
      <c r="H1050" s="12" t="s">
        <v>1895</v>
      </c>
      <c r="I1050" s="29">
        <v>45.964991178519703</v>
      </c>
      <c r="J1050" s="29">
        <v>-66.588208273864893</v>
      </c>
      <c r="K1050" s="12" t="s">
        <v>103</v>
      </c>
      <c r="L1050" s="12" t="s">
        <v>223</v>
      </c>
      <c r="N1050" s="12">
        <v>3.3</v>
      </c>
      <c r="O1050" s="12" t="s">
        <v>1898</v>
      </c>
      <c r="P1050" s="12">
        <f>N1050*1000</f>
        <v>3300</v>
      </c>
      <c r="Q1050" s="12" t="s">
        <v>1506</v>
      </c>
    </row>
    <row r="1051" spans="1:17" x14ac:dyDescent="0.35">
      <c r="A1051" s="12">
        <v>76</v>
      </c>
      <c r="B1051" s="12" t="s">
        <v>1890</v>
      </c>
      <c r="C1051" s="12">
        <v>2021</v>
      </c>
      <c r="D1051" s="12" t="s">
        <v>1891</v>
      </c>
      <c r="E1051" s="12" t="s">
        <v>1892</v>
      </c>
      <c r="F1051" s="12" t="s">
        <v>1893</v>
      </c>
      <c r="G1051" s="12" t="s">
        <v>1894</v>
      </c>
      <c r="H1051" s="12" t="s">
        <v>1899</v>
      </c>
      <c r="I1051" s="29">
        <v>46.415507841563802</v>
      </c>
      <c r="J1051" s="29">
        <v>-67.514897276553</v>
      </c>
      <c r="K1051" s="12" t="s">
        <v>103</v>
      </c>
      <c r="L1051" s="12" t="s">
        <v>223</v>
      </c>
      <c r="N1051" s="12">
        <v>2.2000000000000002</v>
      </c>
      <c r="O1051" s="12" t="s">
        <v>1898</v>
      </c>
      <c r="P1051" s="12">
        <f>N1051*1000</f>
        <v>2200</v>
      </c>
      <c r="Q1051" s="12" t="s">
        <v>1506</v>
      </c>
    </row>
    <row r="1052" spans="1:17" x14ac:dyDescent="0.35">
      <c r="A1052" s="12">
        <v>76</v>
      </c>
      <c r="B1052" s="12" t="s">
        <v>1890</v>
      </c>
      <c r="C1052" s="12">
        <v>2021</v>
      </c>
      <c r="D1052" s="12" t="s">
        <v>1891</v>
      </c>
      <c r="E1052" s="12" t="s">
        <v>1892</v>
      </c>
      <c r="F1052" s="12" t="s">
        <v>1893</v>
      </c>
      <c r="G1052" s="12" t="s">
        <v>1894</v>
      </c>
      <c r="H1052" s="12" t="s">
        <v>1900</v>
      </c>
      <c r="I1052" s="29">
        <v>45.316895739497198</v>
      </c>
      <c r="J1052" s="29">
        <v>-66.132491718238299</v>
      </c>
      <c r="K1052" s="12" t="s">
        <v>103</v>
      </c>
      <c r="L1052" s="12" t="s">
        <v>223</v>
      </c>
      <c r="N1052" s="12">
        <v>1.5</v>
      </c>
      <c r="O1052" s="12" t="s">
        <v>1898</v>
      </c>
      <c r="P1052" s="12">
        <f>N1052*1000</f>
        <v>1500</v>
      </c>
      <c r="Q1052" s="12" t="s">
        <v>1506</v>
      </c>
    </row>
    <row r="1053" spans="1:17" x14ac:dyDescent="0.35">
      <c r="A1053" s="12">
        <v>76</v>
      </c>
      <c r="B1053" s="12" t="s">
        <v>1890</v>
      </c>
      <c r="C1053" s="12">
        <v>2021</v>
      </c>
      <c r="D1053" s="12" t="s">
        <v>1891</v>
      </c>
      <c r="E1053" s="12" t="s">
        <v>1892</v>
      </c>
      <c r="F1053" s="12" t="s">
        <v>1893</v>
      </c>
      <c r="G1053" s="12" t="s">
        <v>1894</v>
      </c>
      <c r="H1053" s="12" t="s">
        <v>1901</v>
      </c>
      <c r="I1053" s="29">
        <v>46.7701335014278</v>
      </c>
      <c r="J1053" s="29">
        <v>-67.699352652920595</v>
      </c>
      <c r="K1053" s="12" t="s">
        <v>103</v>
      </c>
      <c r="L1053" s="12" t="s">
        <v>223</v>
      </c>
      <c r="N1053" s="12">
        <v>1.2</v>
      </c>
      <c r="O1053" s="12" t="s">
        <v>1898</v>
      </c>
      <c r="P1053" s="12">
        <f>N1053*1000</f>
        <v>1200</v>
      </c>
      <c r="Q1053" s="12" t="s">
        <v>1506</v>
      </c>
    </row>
    <row r="1054" spans="1:17" x14ac:dyDescent="0.35">
      <c r="A1054" s="12">
        <v>76</v>
      </c>
      <c r="B1054" s="12" t="s">
        <v>1890</v>
      </c>
      <c r="C1054" s="12">
        <v>2021</v>
      </c>
      <c r="D1054" s="12" t="s">
        <v>1891</v>
      </c>
      <c r="E1054" s="12" t="s">
        <v>1892</v>
      </c>
      <c r="F1054" s="12" t="s">
        <v>1893</v>
      </c>
      <c r="G1054" s="12" t="s">
        <v>1894</v>
      </c>
      <c r="H1054" s="12" t="s">
        <v>1902</v>
      </c>
      <c r="I1054" s="29">
        <v>45.655134628834404</v>
      </c>
      <c r="J1054" s="29">
        <v>-66.569336470728103</v>
      </c>
      <c r="K1054" s="12" t="s">
        <v>103</v>
      </c>
      <c r="L1054" s="12" t="s">
        <v>223</v>
      </c>
      <c r="N1054" s="12">
        <v>1.2</v>
      </c>
      <c r="O1054" s="12" t="s">
        <v>1898</v>
      </c>
      <c r="P1054" s="12">
        <f>N1054*1000</f>
        <v>1200</v>
      </c>
      <c r="Q1054" s="12" t="s">
        <v>1506</v>
      </c>
    </row>
    <row r="1055" spans="1:17" x14ac:dyDescent="0.35">
      <c r="A1055" s="12">
        <v>76</v>
      </c>
      <c r="B1055" s="12" t="s">
        <v>1890</v>
      </c>
      <c r="C1055" s="12">
        <v>2021</v>
      </c>
      <c r="D1055" s="12" t="s">
        <v>1891</v>
      </c>
      <c r="E1055" s="12" t="s">
        <v>1892</v>
      </c>
      <c r="F1055" s="12" t="s">
        <v>1893</v>
      </c>
      <c r="G1055" s="12" t="s">
        <v>1894</v>
      </c>
      <c r="H1055" s="12" t="s">
        <v>1895</v>
      </c>
      <c r="I1055" s="29">
        <v>45.964991178519703</v>
      </c>
      <c r="J1055" s="29">
        <v>-66.588208273864893</v>
      </c>
      <c r="K1055" s="12" t="s">
        <v>41</v>
      </c>
      <c r="L1055" s="12" t="s">
        <v>223</v>
      </c>
      <c r="N1055" s="12">
        <v>4.9000000000000004</v>
      </c>
      <c r="O1055" s="12" t="s">
        <v>1904</v>
      </c>
      <c r="P1055" s="12">
        <f>N1055/1000</f>
        <v>4.9000000000000007E-3</v>
      </c>
      <c r="Q1055" s="12" t="s">
        <v>59</v>
      </c>
    </row>
    <row r="1056" spans="1:17" x14ac:dyDescent="0.35">
      <c r="A1056" s="12">
        <v>76</v>
      </c>
      <c r="B1056" s="12" t="s">
        <v>1890</v>
      </c>
      <c r="C1056" s="12">
        <v>2021</v>
      </c>
      <c r="D1056" s="12" t="s">
        <v>1891</v>
      </c>
      <c r="E1056" s="12" t="s">
        <v>1892</v>
      </c>
      <c r="F1056" s="12" t="s">
        <v>1893</v>
      </c>
      <c r="G1056" s="12" t="s">
        <v>1894</v>
      </c>
      <c r="H1056" s="12" t="s">
        <v>1899</v>
      </c>
      <c r="I1056" s="29">
        <v>46.415507841563802</v>
      </c>
      <c r="J1056" s="29">
        <v>-67.514897276553</v>
      </c>
      <c r="K1056" s="12" t="s">
        <v>41</v>
      </c>
      <c r="L1056" s="12" t="s">
        <v>223</v>
      </c>
      <c r="N1056" s="12">
        <v>23.3</v>
      </c>
      <c r="O1056" s="12" t="s">
        <v>1904</v>
      </c>
      <c r="P1056" s="12">
        <f>N1056/1000</f>
        <v>2.3300000000000001E-2</v>
      </c>
      <c r="Q1056" s="12" t="s">
        <v>59</v>
      </c>
    </row>
    <row r="1057" spans="1:18" x14ac:dyDescent="0.35">
      <c r="A1057" s="12">
        <v>76</v>
      </c>
      <c r="B1057" s="12" t="s">
        <v>1890</v>
      </c>
      <c r="C1057" s="12">
        <v>2021</v>
      </c>
      <c r="D1057" s="12" t="s">
        <v>1891</v>
      </c>
      <c r="E1057" s="12" t="s">
        <v>1892</v>
      </c>
      <c r="F1057" s="12" t="s">
        <v>1893</v>
      </c>
      <c r="G1057" s="12" t="s">
        <v>1894</v>
      </c>
      <c r="H1057" s="12" t="s">
        <v>1900</v>
      </c>
      <c r="I1057" s="29">
        <v>45.316895739497198</v>
      </c>
      <c r="J1057" s="29">
        <v>-66.132491718238299</v>
      </c>
      <c r="K1057" s="12" t="s">
        <v>41</v>
      </c>
      <c r="L1057" s="12" t="s">
        <v>223</v>
      </c>
      <c r="N1057" s="12">
        <v>8.4</v>
      </c>
      <c r="O1057" s="12" t="s">
        <v>1904</v>
      </c>
      <c r="P1057" s="12">
        <f>N1057/1000</f>
        <v>8.4000000000000012E-3</v>
      </c>
      <c r="Q1057" s="12" t="s">
        <v>59</v>
      </c>
    </row>
    <row r="1058" spans="1:18" x14ac:dyDescent="0.35">
      <c r="A1058" s="12">
        <v>76</v>
      </c>
      <c r="B1058" s="12" t="s">
        <v>1890</v>
      </c>
      <c r="C1058" s="12">
        <v>2021</v>
      </c>
      <c r="D1058" s="12" t="s">
        <v>1891</v>
      </c>
      <c r="E1058" s="12" t="s">
        <v>1892</v>
      </c>
      <c r="F1058" s="12" t="s">
        <v>1893</v>
      </c>
      <c r="G1058" s="12" t="s">
        <v>1894</v>
      </c>
      <c r="H1058" s="12" t="s">
        <v>1901</v>
      </c>
      <c r="I1058" s="29">
        <v>46.7701335014278</v>
      </c>
      <c r="J1058" s="29">
        <v>-67.699352652920595</v>
      </c>
      <c r="K1058" s="12" t="s">
        <v>41</v>
      </c>
      <c r="L1058" s="12" t="s">
        <v>223</v>
      </c>
      <c r="N1058" s="12">
        <v>3.2</v>
      </c>
      <c r="O1058" s="12" t="s">
        <v>1904</v>
      </c>
      <c r="P1058" s="12">
        <f>N1058/1000</f>
        <v>3.2000000000000002E-3</v>
      </c>
      <c r="Q1058" s="12" t="s">
        <v>59</v>
      </c>
    </row>
    <row r="1059" spans="1:18" s="20" customFormat="1" x14ac:dyDescent="0.35">
      <c r="A1059" s="20">
        <v>76</v>
      </c>
      <c r="B1059" s="20" t="s">
        <v>1890</v>
      </c>
      <c r="C1059" s="20">
        <v>2021</v>
      </c>
      <c r="D1059" s="20" t="s">
        <v>1891</v>
      </c>
      <c r="E1059" s="20" t="s">
        <v>1892</v>
      </c>
      <c r="F1059" s="20" t="s">
        <v>1893</v>
      </c>
      <c r="G1059" s="20" t="s">
        <v>1894</v>
      </c>
      <c r="H1059" s="20" t="s">
        <v>1902</v>
      </c>
      <c r="I1059" s="37">
        <v>45.655134628834404</v>
      </c>
      <c r="J1059" s="37">
        <v>-66.569336470728103</v>
      </c>
      <c r="K1059" s="20" t="s">
        <v>41</v>
      </c>
      <c r="L1059" s="20" t="s">
        <v>223</v>
      </c>
      <c r="N1059" s="20">
        <v>9.6999999999999993</v>
      </c>
      <c r="O1059" s="20" t="s">
        <v>1904</v>
      </c>
      <c r="P1059" s="20">
        <f>N1059/1000</f>
        <v>9.6999999999999986E-3</v>
      </c>
      <c r="Q1059" s="20" t="s">
        <v>59</v>
      </c>
    </row>
    <row r="1060" spans="1:18" x14ac:dyDescent="0.35">
      <c r="A1060" s="12">
        <v>77</v>
      </c>
      <c r="B1060" s="12" t="s">
        <v>1905</v>
      </c>
      <c r="C1060" s="12">
        <v>2017</v>
      </c>
      <c r="D1060" s="12" t="s">
        <v>1906</v>
      </c>
      <c r="E1060" s="12" t="s">
        <v>1907</v>
      </c>
      <c r="F1060" s="12" t="s">
        <v>1908</v>
      </c>
      <c r="G1060" s="12" t="s">
        <v>86</v>
      </c>
      <c r="H1060" s="12" t="s">
        <v>1909</v>
      </c>
      <c r="I1060" s="12">
        <v>-8498278.6400000006</v>
      </c>
      <c r="J1060" s="12">
        <v>5690594.9400000004</v>
      </c>
      <c r="K1060" s="12" t="s">
        <v>1910</v>
      </c>
      <c r="L1060" s="12" t="s">
        <v>223</v>
      </c>
      <c r="N1060" s="34">
        <v>0.05</v>
      </c>
      <c r="O1060" s="12" t="s">
        <v>59</v>
      </c>
      <c r="P1060" s="34">
        <v>0.05</v>
      </c>
      <c r="Q1060" s="12" t="s">
        <v>59</v>
      </c>
      <c r="R1060" s="12" t="s">
        <v>1911</v>
      </c>
    </row>
    <row r="1061" spans="1:18" x14ac:dyDescent="0.35">
      <c r="A1061" s="12">
        <v>77</v>
      </c>
      <c r="B1061" s="12" t="s">
        <v>1905</v>
      </c>
      <c r="C1061" s="12">
        <v>2017</v>
      </c>
      <c r="D1061" s="12" t="s">
        <v>1906</v>
      </c>
      <c r="E1061" s="12" t="s">
        <v>1907</v>
      </c>
      <c r="F1061" s="12" t="s">
        <v>1908</v>
      </c>
      <c r="G1061" s="12" t="s">
        <v>86</v>
      </c>
      <c r="H1061" s="12" t="s">
        <v>1912</v>
      </c>
      <c r="I1061" s="12">
        <v>-8493421.2459999993</v>
      </c>
      <c r="J1061" s="12">
        <v>5691185.7649999997</v>
      </c>
      <c r="K1061" s="12" t="s">
        <v>1910</v>
      </c>
      <c r="L1061" s="12" t="s">
        <v>223</v>
      </c>
      <c r="N1061" s="34">
        <v>0.11020408</v>
      </c>
      <c r="O1061" s="12" t="s">
        <v>59</v>
      </c>
      <c r="P1061" s="34">
        <v>0.11020408</v>
      </c>
      <c r="Q1061" s="12" t="s">
        <v>59</v>
      </c>
    </row>
    <row r="1062" spans="1:18" x14ac:dyDescent="0.35">
      <c r="A1062" s="12">
        <v>77</v>
      </c>
      <c r="B1062" s="12" t="s">
        <v>1905</v>
      </c>
      <c r="C1062" s="12">
        <v>2017</v>
      </c>
      <c r="D1062" s="12" t="s">
        <v>1906</v>
      </c>
      <c r="E1062" s="12" t="s">
        <v>1907</v>
      </c>
      <c r="F1062" s="12" t="s">
        <v>1908</v>
      </c>
      <c r="G1062" s="12" t="s">
        <v>86</v>
      </c>
      <c r="H1062" s="12" t="s">
        <v>1913</v>
      </c>
      <c r="I1062" s="12">
        <v>-8430625.3330000006</v>
      </c>
      <c r="J1062" s="12">
        <v>5680347.7439999999</v>
      </c>
      <c r="K1062" s="12" t="s">
        <v>1910</v>
      </c>
      <c r="L1062" s="12" t="s">
        <v>223</v>
      </c>
      <c r="N1062" s="38">
        <v>0.19</v>
      </c>
      <c r="O1062" s="12" t="s">
        <v>59</v>
      </c>
      <c r="P1062" s="38">
        <v>0.19</v>
      </c>
      <c r="Q1062" s="12" t="s">
        <v>59</v>
      </c>
      <c r="R1062" s="12" t="s">
        <v>1914</v>
      </c>
    </row>
    <row r="1063" spans="1:18" x14ac:dyDescent="0.35">
      <c r="A1063" s="12">
        <v>77</v>
      </c>
      <c r="B1063" s="12" t="s">
        <v>1905</v>
      </c>
      <c r="C1063" s="12">
        <v>2017</v>
      </c>
      <c r="D1063" s="12" t="s">
        <v>1906</v>
      </c>
      <c r="E1063" s="12" t="s">
        <v>1907</v>
      </c>
      <c r="F1063" s="12" t="s">
        <v>1908</v>
      </c>
      <c r="G1063" s="12" t="s">
        <v>86</v>
      </c>
      <c r="H1063" s="12" t="s">
        <v>1915</v>
      </c>
      <c r="I1063" s="12">
        <v>-8428351.1319999993</v>
      </c>
      <c r="J1063" s="12">
        <v>5681099.085</v>
      </c>
      <c r="K1063" s="12" t="s">
        <v>1910</v>
      </c>
      <c r="L1063" s="12" t="s">
        <v>223</v>
      </c>
      <c r="N1063" s="34">
        <v>0.24</v>
      </c>
      <c r="O1063" s="12" t="s">
        <v>59</v>
      </c>
      <c r="P1063" s="34">
        <v>0.24</v>
      </c>
      <c r="Q1063" s="12" t="s">
        <v>59</v>
      </c>
    </row>
    <row r="1064" spans="1:18" x14ac:dyDescent="0.35">
      <c r="A1064" s="12">
        <v>77</v>
      </c>
      <c r="B1064" s="12" t="s">
        <v>1905</v>
      </c>
      <c r="C1064" s="12">
        <v>2017</v>
      </c>
      <c r="D1064" s="12" t="s">
        <v>1906</v>
      </c>
      <c r="E1064" s="12" t="s">
        <v>1907</v>
      </c>
      <c r="F1064" s="12" t="s">
        <v>1908</v>
      </c>
      <c r="G1064" s="12" t="s">
        <v>86</v>
      </c>
      <c r="H1064" s="12" t="s">
        <v>1916</v>
      </c>
      <c r="I1064" s="12">
        <v>-8428851.8019999992</v>
      </c>
      <c r="J1064" s="12">
        <v>5688994.5120000001</v>
      </c>
      <c r="K1064" s="12" t="s">
        <v>1910</v>
      </c>
      <c r="L1064" s="12" t="s">
        <v>223</v>
      </c>
      <c r="N1064" s="38">
        <v>7.1000000000000002E-4</v>
      </c>
      <c r="O1064" s="12" t="s">
        <v>59</v>
      </c>
      <c r="P1064" s="38">
        <v>0.24</v>
      </c>
      <c r="Q1064" s="12" t="s">
        <v>59</v>
      </c>
    </row>
    <row r="1065" spans="1:18" x14ac:dyDescent="0.35">
      <c r="A1065" s="12">
        <v>77</v>
      </c>
      <c r="B1065" s="12" t="s">
        <v>1905</v>
      </c>
      <c r="C1065" s="12">
        <v>2017</v>
      </c>
      <c r="D1065" s="12" t="s">
        <v>1906</v>
      </c>
      <c r="E1065" s="12" t="s">
        <v>1907</v>
      </c>
      <c r="F1065" s="12" t="s">
        <v>1908</v>
      </c>
      <c r="G1065" s="12" t="s">
        <v>86</v>
      </c>
      <c r="H1065" s="12" t="s">
        <v>1917</v>
      </c>
      <c r="I1065" s="12">
        <v>-8430540.8790000007</v>
      </c>
      <c r="J1065" s="12">
        <v>5692188.0659999996</v>
      </c>
      <c r="K1065" s="12" t="s">
        <v>1910</v>
      </c>
      <c r="L1065" s="12" t="s">
        <v>223</v>
      </c>
      <c r="N1065" s="34">
        <v>8.9795920000000001E-2</v>
      </c>
      <c r="O1065" s="12" t="s">
        <v>59</v>
      </c>
      <c r="P1065" s="34">
        <v>8.9795920000000001E-2</v>
      </c>
      <c r="Q1065" s="12" t="s">
        <v>59</v>
      </c>
    </row>
    <row r="1066" spans="1:18" x14ac:dyDescent="0.35">
      <c r="A1066" s="12">
        <v>77</v>
      </c>
      <c r="B1066" s="12" t="s">
        <v>1905</v>
      </c>
      <c r="C1066" s="12">
        <v>2017</v>
      </c>
      <c r="D1066" s="12" t="s">
        <v>1906</v>
      </c>
      <c r="E1066" s="12" t="s">
        <v>1907</v>
      </c>
      <c r="F1066" s="12" t="s">
        <v>1908</v>
      </c>
      <c r="G1066" s="12" t="s">
        <v>86</v>
      </c>
      <c r="H1066" s="12" t="s">
        <v>1918</v>
      </c>
      <c r="I1066" s="12">
        <v>-8402038.7100000009</v>
      </c>
      <c r="J1066" s="12">
        <v>5701807.2869999995</v>
      </c>
      <c r="K1066" s="12" t="s">
        <v>1910</v>
      </c>
      <c r="L1066" s="12" t="s">
        <v>223</v>
      </c>
      <c r="N1066" s="38">
        <v>0.18</v>
      </c>
      <c r="O1066" s="12" t="s">
        <v>59</v>
      </c>
      <c r="P1066" s="38">
        <v>0.18</v>
      </c>
      <c r="Q1066" s="12" t="s">
        <v>59</v>
      </c>
    </row>
    <row r="1067" spans="1:18" x14ac:dyDescent="0.35">
      <c r="A1067" s="12">
        <v>77</v>
      </c>
      <c r="B1067" s="12" t="s">
        <v>1905</v>
      </c>
      <c r="C1067" s="12">
        <v>2017</v>
      </c>
      <c r="D1067" s="12" t="s">
        <v>1906</v>
      </c>
      <c r="E1067" s="12" t="s">
        <v>1907</v>
      </c>
      <c r="F1067" s="12" t="s">
        <v>1908</v>
      </c>
      <c r="G1067" s="12" t="s">
        <v>86</v>
      </c>
      <c r="H1067" s="12" t="s">
        <v>1909</v>
      </c>
      <c r="I1067" s="12">
        <v>-8498278.6400000006</v>
      </c>
      <c r="J1067" s="12">
        <v>5690594.9400000004</v>
      </c>
      <c r="K1067" s="12" t="s">
        <v>1919</v>
      </c>
      <c r="L1067" s="12" t="s">
        <v>223</v>
      </c>
      <c r="N1067" s="34">
        <v>0.25982533000000002</v>
      </c>
      <c r="O1067" s="12" t="s">
        <v>1920</v>
      </c>
      <c r="P1067" s="16">
        <f t="shared" ref="P1067:P1073" si="24">N1067*1000</f>
        <v>259.82533000000001</v>
      </c>
      <c r="Q1067" s="12" t="s">
        <v>107</v>
      </c>
      <c r="R1067" s="12" t="s">
        <v>1921</v>
      </c>
    </row>
    <row r="1068" spans="1:18" x14ac:dyDescent="0.35">
      <c r="A1068" s="12">
        <v>77</v>
      </c>
      <c r="B1068" s="12" t="s">
        <v>1905</v>
      </c>
      <c r="C1068" s="12">
        <v>2017</v>
      </c>
      <c r="D1068" s="12" t="s">
        <v>1906</v>
      </c>
      <c r="E1068" s="12" t="s">
        <v>1907</v>
      </c>
      <c r="F1068" s="12" t="s">
        <v>1908</v>
      </c>
      <c r="G1068" s="12" t="s">
        <v>86</v>
      </c>
      <c r="H1068" s="12" t="s">
        <v>1912</v>
      </c>
      <c r="I1068" s="12">
        <v>-8493421.2459999993</v>
      </c>
      <c r="J1068" s="12">
        <v>5691185.7649999997</v>
      </c>
      <c r="K1068" s="12" t="s">
        <v>1919</v>
      </c>
      <c r="L1068" s="12" t="s">
        <v>223</v>
      </c>
      <c r="N1068" s="34">
        <v>0.17831150000000001</v>
      </c>
      <c r="O1068" s="12" t="s">
        <v>1920</v>
      </c>
      <c r="P1068" s="16">
        <f t="shared" si="24"/>
        <v>178.31150000000002</v>
      </c>
      <c r="Q1068" s="12" t="s">
        <v>107</v>
      </c>
      <c r="R1068" s="12" t="s">
        <v>1921</v>
      </c>
    </row>
    <row r="1069" spans="1:18" x14ac:dyDescent="0.35">
      <c r="A1069" s="12">
        <v>77</v>
      </c>
      <c r="B1069" s="12" t="s">
        <v>1905</v>
      </c>
      <c r="C1069" s="12">
        <v>2017</v>
      </c>
      <c r="D1069" s="12" t="s">
        <v>1906</v>
      </c>
      <c r="E1069" s="12" t="s">
        <v>1907</v>
      </c>
      <c r="F1069" s="12" t="s">
        <v>1908</v>
      </c>
      <c r="G1069" s="12" t="s">
        <v>86</v>
      </c>
      <c r="H1069" s="12" t="s">
        <v>1913</v>
      </c>
      <c r="I1069" s="12">
        <v>-8430625.3330000006</v>
      </c>
      <c r="J1069" s="12">
        <v>5680347.7439999999</v>
      </c>
      <c r="K1069" s="12" t="s">
        <v>1919</v>
      </c>
      <c r="L1069" s="12" t="s">
        <v>223</v>
      </c>
      <c r="N1069" s="34">
        <v>0.29912664</v>
      </c>
      <c r="O1069" s="12" t="s">
        <v>1920</v>
      </c>
      <c r="P1069" s="16">
        <f t="shared" si="24"/>
        <v>299.12664000000001</v>
      </c>
      <c r="Q1069" s="12" t="s">
        <v>107</v>
      </c>
      <c r="R1069" s="12" t="s">
        <v>1921</v>
      </c>
    </row>
    <row r="1070" spans="1:18" x14ac:dyDescent="0.35">
      <c r="A1070" s="12">
        <v>77</v>
      </c>
      <c r="B1070" s="12" t="s">
        <v>1905</v>
      </c>
      <c r="C1070" s="12">
        <v>2017</v>
      </c>
      <c r="D1070" s="12" t="s">
        <v>1906</v>
      </c>
      <c r="E1070" s="12" t="s">
        <v>1907</v>
      </c>
      <c r="F1070" s="12" t="s">
        <v>1908</v>
      </c>
      <c r="G1070" s="12" t="s">
        <v>86</v>
      </c>
      <c r="H1070" s="12" t="s">
        <v>1915</v>
      </c>
      <c r="I1070" s="12">
        <v>-8428351.1319999993</v>
      </c>
      <c r="J1070" s="12">
        <v>5681099.085</v>
      </c>
      <c r="K1070" s="12" t="s">
        <v>1919</v>
      </c>
      <c r="L1070" s="12" t="s">
        <v>223</v>
      </c>
      <c r="N1070" s="34">
        <v>0.44687044999999997</v>
      </c>
      <c r="O1070" s="12" t="s">
        <v>1920</v>
      </c>
      <c r="P1070" s="16">
        <f t="shared" si="24"/>
        <v>446.87044999999995</v>
      </c>
      <c r="Q1070" s="12" t="s">
        <v>107</v>
      </c>
      <c r="R1070" s="12" t="s">
        <v>1921</v>
      </c>
    </row>
    <row r="1071" spans="1:18" x14ac:dyDescent="0.35">
      <c r="A1071" s="12">
        <v>77</v>
      </c>
      <c r="B1071" s="12" t="s">
        <v>1905</v>
      </c>
      <c r="C1071" s="12">
        <v>2017</v>
      </c>
      <c r="D1071" s="12" t="s">
        <v>1906</v>
      </c>
      <c r="E1071" s="12" t="s">
        <v>1907</v>
      </c>
      <c r="F1071" s="12" t="s">
        <v>1908</v>
      </c>
      <c r="G1071" s="12" t="s">
        <v>86</v>
      </c>
      <c r="H1071" s="12" t="s">
        <v>1916</v>
      </c>
      <c r="I1071" s="12">
        <v>-8428851.8019999992</v>
      </c>
      <c r="J1071" s="12">
        <v>5688994.5120000001</v>
      </c>
      <c r="K1071" s="12" t="s">
        <v>1919</v>
      </c>
      <c r="L1071" s="12" t="s">
        <v>223</v>
      </c>
      <c r="N1071" s="34">
        <v>0.18631732000000001</v>
      </c>
      <c r="O1071" s="12" t="s">
        <v>1920</v>
      </c>
      <c r="P1071" s="16">
        <f t="shared" si="24"/>
        <v>186.31732</v>
      </c>
      <c r="Q1071" s="12" t="s">
        <v>107</v>
      </c>
      <c r="R1071" s="12" t="s">
        <v>1921</v>
      </c>
    </row>
    <row r="1072" spans="1:18" x14ac:dyDescent="0.35">
      <c r="A1072" s="12">
        <v>77</v>
      </c>
      <c r="B1072" s="12" t="s">
        <v>1905</v>
      </c>
      <c r="C1072" s="12">
        <v>2017</v>
      </c>
      <c r="D1072" s="12" t="s">
        <v>1906</v>
      </c>
      <c r="E1072" s="12" t="s">
        <v>1907</v>
      </c>
      <c r="F1072" s="12" t="s">
        <v>1908</v>
      </c>
      <c r="G1072" s="12" t="s">
        <v>86</v>
      </c>
      <c r="H1072" s="12" t="s">
        <v>1917</v>
      </c>
      <c r="I1072" s="12">
        <v>-8430540.8790000007</v>
      </c>
      <c r="J1072" s="12">
        <v>5692188.0659999996</v>
      </c>
      <c r="K1072" s="12" t="s">
        <v>1919</v>
      </c>
      <c r="L1072" s="12" t="s">
        <v>223</v>
      </c>
      <c r="N1072" s="34">
        <v>0.17758370000000001</v>
      </c>
      <c r="O1072" s="12" t="s">
        <v>1920</v>
      </c>
      <c r="P1072" s="16">
        <f t="shared" si="24"/>
        <v>177.58370000000002</v>
      </c>
      <c r="Q1072" s="12" t="s">
        <v>107</v>
      </c>
      <c r="R1072" s="12" t="s">
        <v>1921</v>
      </c>
    </row>
    <row r="1073" spans="1:18" s="20" customFormat="1" x14ac:dyDescent="0.35">
      <c r="A1073" s="20">
        <v>77</v>
      </c>
      <c r="B1073" s="20" t="s">
        <v>1905</v>
      </c>
      <c r="C1073" s="20">
        <v>2017</v>
      </c>
      <c r="D1073" s="20" t="s">
        <v>1906</v>
      </c>
      <c r="E1073" s="20" t="s">
        <v>1907</v>
      </c>
      <c r="F1073" s="20" t="s">
        <v>1908</v>
      </c>
      <c r="G1073" s="20" t="s">
        <v>86</v>
      </c>
      <c r="H1073" s="20" t="s">
        <v>1918</v>
      </c>
      <c r="I1073" s="20">
        <v>-8402038.7100000009</v>
      </c>
      <c r="J1073" s="20">
        <v>5701807.2869999995</v>
      </c>
      <c r="K1073" s="20" t="s">
        <v>1919</v>
      </c>
      <c r="L1073" s="20" t="s">
        <v>223</v>
      </c>
      <c r="N1073" s="39">
        <v>0.16812226999999999</v>
      </c>
      <c r="O1073" s="20" t="s">
        <v>1920</v>
      </c>
      <c r="P1073" s="21">
        <f t="shared" si="24"/>
        <v>168.12226999999999</v>
      </c>
      <c r="Q1073" s="20" t="s">
        <v>107</v>
      </c>
      <c r="R1073" s="20" t="s">
        <v>1921</v>
      </c>
    </row>
    <row r="1074" spans="1:18" x14ac:dyDescent="0.35">
      <c r="A1074" s="12">
        <v>78</v>
      </c>
      <c r="B1074" s="12" t="s">
        <v>1922</v>
      </c>
      <c r="C1074" s="12">
        <v>2019</v>
      </c>
      <c r="D1074" s="12" t="s">
        <v>1923</v>
      </c>
      <c r="E1074" s="13" t="s">
        <v>1924</v>
      </c>
      <c r="F1074" s="12" t="s">
        <v>1925</v>
      </c>
      <c r="G1074" s="12" t="s">
        <v>86</v>
      </c>
      <c r="H1074" s="12" t="s">
        <v>1674</v>
      </c>
      <c r="I1074" s="12">
        <v>45.613759999999999</v>
      </c>
      <c r="J1074" s="12">
        <v>-74.596433000000005</v>
      </c>
      <c r="K1074" s="12" t="s">
        <v>1910</v>
      </c>
      <c r="L1074" s="12" t="s">
        <v>223</v>
      </c>
      <c r="N1074" s="12">
        <v>0.11</v>
      </c>
      <c r="O1074" s="12" t="s">
        <v>59</v>
      </c>
      <c r="P1074" s="12">
        <v>0.11</v>
      </c>
      <c r="Q1074" s="12" t="s">
        <v>59</v>
      </c>
    </row>
    <row r="1075" spans="1:18" x14ac:dyDescent="0.35">
      <c r="A1075" s="12">
        <v>78</v>
      </c>
      <c r="B1075" s="12" t="s">
        <v>1922</v>
      </c>
      <c r="C1075" s="12">
        <v>2019</v>
      </c>
      <c r="D1075" s="12" t="s">
        <v>1923</v>
      </c>
      <c r="E1075" s="13" t="s">
        <v>1924</v>
      </c>
      <c r="F1075" s="12" t="s">
        <v>1925</v>
      </c>
      <c r="G1075" s="12" t="s">
        <v>86</v>
      </c>
      <c r="H1075" s="12" t="s">
        <v>1926</v>
      </c>
      <c r="I1075" s="12">
        <v>45.395359999999997</v>
      </c>
      <c r="J1075" s="12">
        <v>-75.761967999999996</v>
      </c>
      <c r="K1075" s="12" t="s">
        <v>1910</v>
      </c>
      <c r="L1075" s="12" t="s">
        <v>223</v>
      </c>
      <c r="N1075" s="12">
        <v>0.02</v>
      </c>
      <c r="O1075" s="12" t="s">
        <v>59</v>
      </c>
      <c r="P1075" s="12">
        <v>0.02</v>
      </c>
      <c r="Q1075" s="12" t="s">
        <v>59</v>
      </c>
    </row>
    <row r="1076" spans="1:18" x14ac:dyDescent="0.35">
      <c r="A1076" s="12">
        <v>78</v>
      </c>
      <c r="B1076" s="12" t="s">
        <v>1922</v>
      </c>
      <c r="C1076" s="12">
        <v>2019</v>
      </c>
      <c r="D1076" s="12" t="s">
        <v>1923</v>
      </c>
      <c r="E1076" s="13" t="s">
        <v>1924</v>
      </c>
      <c r="F1076" s="12" t="s">
        <v>1925</v>
      </c>
      <c r="G1076" s="12" t="s">
        <v>86</v>
      </c>
      <c r="H1076" s="12" t="s">
        <v>1927</v>
      </c>
      <c r="I1076" s="12">
        <v>45.400179999999999</v>
      </c>
      <c r="J1076" s="12">
        <v>-75.761336999999997</v>
      </c>
      <c r="K1076" s="12" t="s">
        <v>1910</v>
      </c>
      <c r="L1076" s="12" t="s">
        <v>223</v>
      </c>
      <c r="N1076" s="12">
        <v>0.06</v>
      </c>
      <c r="O1076" s="12" t="s">
        <v>59</v>
      </c>
      <c r="P1076" s="12">
        <v>0.06</v>
      </c>
      <c r="Q1076" s="12" t="s">
        <v>59</v>
      </c>
    </row>
    <row r="1077" spans="1:18" x14ac:dyDescent="0.35">
      <c r="A1077" s="12">
        <v>78</v>
      </c>
      <c r="B1077" s="12" t="s">
        <v>1922</v>
      </c>
      <c r="C1077" s="12">
        <v>2019</v>
      </c>
      <c r="D1077" s="12" t="s">
        <v>1923</v>
      </c>
      <c r="E1077" s="13" t="s">
        <v>1924</v>
      </c>
      <c r="F1077" s="12" t="s">
        <v>1925</v>
      </c>
      <c r="G1077" s="12" t="s">
        <v>86</v>
      </c>
      <c r="H1077" s="12" t="s">
        <v>1928</v>
      </c>
      <c r="I1077" s="12">
        <v>45.442689999999999</v>
      </c>
      <c r="J1077" s="12">
        <v>-75.92586</v>
      </c>
      <c r="K1077" s="12" t="s">
        <v>1910</v>
      </c>
      <c r="L1077" s="12" t="s">
        <v>223</v>
      </c>
      <c r="N1077" s="12">
        <v>0.05</v>
      </c>
      <c r="O1077" s="12" t="s">
        <v>59</v>
      </c>
      <c r="P1077" s="12">
        <v>0.05</v>
      </c>
      <c r="Q1077" s="12" t="s">
        <v>59</v>
      </c>
    </row>
    <row r="1078" spans="1:18" x14ac:dyDescent="0.35">
      <c r="A1078" s="12">
        <v>78</v>
      </c>
      <c r="B1078" s="12" t="s">
        <v>1922</v>
      </c>
      <c r="C1078" s="12">
        <v>2019</v>
      </c>
      <c r="D1078" s="12" t="s">
        <v>1923</v>
      </c>
      <c r="E1078" s="13" t="s">
        <v>1929</v>
      </c>
      <c r="F1078" s="12" t="s">
        <v>1925</v>
      </c>
      <c r="G1078" s="12" t="s">
        <v>86</v>
      </c>
      <c r="H1078" s="12" t="s">
        <v>1930</v>
      </c>
      <c r="I1078" s="12">
        <v>45.395949999999999</v>
      </c>
      <c r="J1078" s="12">
        <v>-75.767269999999996</v>
      </c>
      <c r="K1078" s="12" t="s">
        <v>1910</v>
      </c>
      <c r="L1078" s="12" t="s">
        <v>223</v>
      </c>
      <c r="N1078" s="12">
        <v>0.22</v>
      </c>
      <c r="O1078" s="12" t="s">
        <v>59</v>
      </c>
      <c r="P1078" s="12">
        <v>0.22</v>
      </c>
      <c r="Q1078" s="12" t="s">
        <v>59</v>
      </c>
    </row>
    <row r="1079" spans="1:18" x14ac:dyDescent="0.35">
      <c r="A1079" s="12">
        <v>78</v>
      </c>
      <c r="B1079" s="12" t="s">
        <v>1922</v>
      </c>
      <c r="C1079" s="12">
        <v>2019</v>
      </c>
      <c r="D1079" s="12" t="s">
        <v>1923</v>
      </c>
      <c r="E1079" s="13" t="s">
        <v>1931</v>
      </c>
      <c r="F1079" s="12" t="s">
        <v>1925</v>
      </c>
      <c r="G1079" s="12" t="s">
        <v>86</v>
      </c>
      <c r="H1079" s="12" t="s">
        <v>1932</v>
      </c>
      <c r="I1079" s="12">
        <v>45.437399999999997</v>
      </c>
      <c r="J1079" s="12">
        <v>-76.347666000000004</v>
      </c>
      <c r="K1079" s="12" t="s">
        <v>1910</v>
      </c>
      <c r="L1079" s="12" t="s">
        <v>223</v>
      </c>
      <c r="N1079" s="12">
        <v>0.04</v>
      </c>
      <c r="O1079" s="12" t="s">
        <v>59</v>
      </c>
      <c r="P1079" s="12">
        <v>0.04</v>
      </c>
      <c r="Q1079" s="12" t="s">
        <v>59</v>
      </c>
    </row>
    <row r="1080" spans="1:18" x14ac:dyDescent="0.35">
      <c r="A1080" s="12">
        <v>78</v>
      </c>
      <c r="B1080" s="12" t="s">
        <v>1922</v>
      </c>
      <c r="C1080" s="12">
        <v>2019</v>
      </c>
      <c r="D1080" s="12" t="s">
        <v>1923</v>
      </c>
      <c r="E1080" s="13" t="s">
        <v>1933</v>
      </c>
      <c r="F1080" s="12" t="s">
        <v>1925</v>
      </c>
      <c r="G1080" s="12" t="s">
        <v>86</v>
      </c>
      <c r="H1080" s="12" t="s">
        <v>1934</v>
      </c>
      <c r="I1080" s="12">
        <v>45.488190000000003</v>
      </c>
      <c r="J1080" s="12">
        <v>-76.431687999999994</v>
      </c>
      <c r="K1080" s="12" t="s">
        <v>1910</v>
      </c>
      <c r="L1080" s="12" t="s">
        <v>223</v>
      </c>
      <c r="N1080" s="12">
        <v>0.17</v>
      </c>
      <c r="O1080" s="12" t="s">
        <v>59</v>
      </c>
      <c r="P1080" s="12">
        <v>0.17</v>
      </c>
      <c r="Q1080" s="12" t="s">
        <v>59</v>
      </c>
    </row>
    <row r="1081" spans="1:18" x14ac:dyDescent="0.35">
      <c r="A1081" s="12">
        <v>78</v>
      </c>
      <c r="B1081" s="12" t="s">
        <v>1922</v>
      </c>
      <c r="C1081" s="12">
        <v>2019</v>
      </c>
      <c r="D1081" s="12" t="s">
        <v>1923</v>
      </c>
      <c r="E1081" s="13" t="s">
        <v>1935</v>
      </c>
      <c r="F1081" s="12" t="s">
        <v>1925</v>
      </c>
      <c r="G1081" s="12" t="s">
        <v>86</v>
      </c>
      <c r="H1081" s="12" t="s">
        <v>1936</v>
      </c>
      <c r="I1081" s="12">
        <v>45.515120000000003</v>
      </c>
      <c r="J1081" s="12">
        <v>-76.420008999999993</v>
      </c>
      <c r="K1081" s="12" t="s">
        <v>1910</v>
      </c>
      <c r="L1081" s="12" t="s">
        <v>223</v>
      </c>
      <c r="N1081" s="12">
        <v>0.04</v>
      </c>
      <c r="O1081" s="12" t="s">
        <v>59</v>
      </c>
      <c r="P1081" s="12">
        <v>0.04</v>
      </c>
      <c r="Q1081" s="12" t="s">
        <v>59</v>
      </c>
    </row>
    <row r="1082" spans="1:18" x14ac:dyDescent="0.35">
      <c r="A1082" s="12">
        <v>78</v>
      </c>
      <c r="B1082" s="12" t="s">
        <v>1922</v>
      </c>
      <c r="C1082" s="12">
        <v>2019</v>
      </c>
      <c r="D1082" s="12" t="s">
        <v>1923</v>
      </c>
      <c r="E1082" s="13" t="s">
        <v>1937</v>
      </c>
      <c r="F1082" s="12" t="s">
        <v>1925</v>
      </c>
      <c r="G1082" s="12" t="s">
        <v>86</v>
      </c>
      <c r="H1082" s="12" t="s">
        <v>1936</v>
      </c>
      <c r="I1082" s="12">
        <v>45.514629999999997</v>
      </c>
      <c r="J1082" s="12">
        <v>-76.430262999999997</v>
      </c>
      <c r="K1082" s="12" t="s">
        <v>1910</v>
      </c>
      <c r="L1082" s="12" t="s">
        <v>223</v>
      </c>
      <c r="N1082" s="12">
        <v>0.01</v>
      </c>
      <c r="O1082" s="12" t="s">
        <v>59</v>
      </c>
      <c r="P1082" s="12">
        <v>0.01</v>
      </c>
      <c r="Q1082" s="12" t="s">
        <v>59</v>
      </c>
    </row>
    <row r="1083" spans="1:18" x14ac:dyDescent="0.35">
      <c r="A1083" s="12">
        <v>78</v>
      </c>
      <c r="B1083" s="12" t="s">
        <v>1922</v>
      </c>
      <c r="C1083" s="12">
        <v>2019</v>
      </c>
      <c r="D1083" s="12" t="s">
        <v>1923</v>
      </c>
      <c r="E1083" s="13" t="s">
        <v>1938</v>
      </c>
      <c r="F1083" s="12" t="s">
        <v>1925</v>
      </c>
      <c r="G1083" s="12" t="s">
        <v>86</v>
      </c>
      <c r="H1083" s="12" t="s">
        <v>1939</v>
      </c>
      <c r="I1083" s="12">
        <v>45.498600000000003</v>
      </c>
      <c r="J1083" s="12">
        <v>-76.466871999999995</v>
      </c>
      <c r="K1083" s="12" t="s">
        <v>1910</v>
      </c>
      <c r="L1083" s="12" t="s">
        <v>223</v>
      </c>
      <c r="N1083" s="12">
        <v>7.0000000000000007E-2</v>
      </c>
      <c r="O1083" s="12" t="s">
        <v>59</v>
      </c>
      <c r="P1083" s="12">
        <v>7.0000000000000007E-2</v>
      </c>
      <c r="Q1083" s="12" t="s">
        <v>59</v>
      </c>
    </row>
    <row r="1084" spans="1:18" x14ac:dyDescent="0.35">
      <c r="A1084" s="12">
        <v>78</v>
      </c>
      <c r="B1084" s="12" t="s">
        <v>1922</v>
      </c>
      <c r="C1084" s="12">
        <v>2019</v>
      </c>
      <c r="D1084" s="12" t="s">
        <v>1923</v>
      </c>
      <c r="E1084" s="13" t="s">
        <v>1940</v>
      </c>
      <c r="F1084" s="12" t="s">
        <v>1925</v>
      </c>
      <c r="G1084" s="12" t="s">
        <v>86</v>
      </c>
      <c r="H1084" s="12" t="s">
        <v>1941</v>
      </c>
      <c r="I1084" s="12">
        <v>45.51634</v>
      </c>
      <c r="J1084" s="12">
        <v>-76.462305999999998</v>
      </c>
      <c r="K1084" s="12" t="s">
        <v>1910</v>
      </c>
      <c r="L1084" s="12" t="s">
        <v>223</v>
      </c>
      <c r="N1084" s="12">
        <v>0.4</v>
      </c>
      <c r="O1084" s="12" t="s">
        <v>59</v>
      </c>
      <c r="P1084" s="12">
        <v>0.4</v>
      </c>
      <c r="Q1084" s="12" t="s">
        <v>59</v>
      </c>
    </row>
    <row r="1085" spans="1:18" x14ac:dyDescent="0.35">
      <c r="A1085" s="12">
        <v>78</v>
      </c>
      <c r="B1085" s="12" t="s">
        <v>1922</v>
      </c>
      <c r="C1085" s="12">
        <v>2019</v>
      </c>
      <c r="D1085" s="12" t="s">
        <v>1923</v>
      </c>
      <c r="E1085" s="13" t="s">
        <v>1942</v>
      </c>
      <c r="F1085" s="12" t="s">
        <v>1925</v>
      </c>
      <c r="G1085" s="12" t="s">
        <v>86</v>
      </c>
      <c r="H1085" s="12" t="s">
        <v>1941</v>
      </c>
      <c r="I1085" s="12">
        <v>45.519950000000001</v>
      </c>
      <c r="J1085" s="12">
        <v>-76.471232999999998</v>
      </c>
      <c r="K1085" s="12" t="s">
        <v>1910</v>
      </c>
      <c r="L1085" s="12" t="s">
        <v>223</v>
      </c>
      <c r="N1085" s="12">
        <v>0.17</v>
      </c>
      <c r="O1085" s="12" t="s">
        <v>59</v>
      </c>
      <c r="P1085" s="12">
        <v>0.17</v>
      </c>
      <c r="Q1085" s="12" t="s">
        <v>59</v>
      </c>
    </row>
    <row r="1086" spans="1:18" x14ac:dyDescent="0.35">
      <c r="A1086" s="12">
        <v>78</v>
      </c>
      <c r="B1086" s="12" t="s">
        <v>1922</v>
      </c>
      <c r="C1086" s="12">
        <v>2019</v>
      </c>
      <c r="D1086" s="12" t="s">
        <v>1923</v>
      </c>
      <c r="E1086" s="13" t="s">
        <v>1943</v>
      </c>
      <c r="F1086" s="12" t="s">
        <v>1925</v>
      </c>
      <c r="G1086" s="12" t="s">
        <v>86</v>
      </c>
      <c r="H1086" s="12" t="s">
        <v>1944</v>
      </c>
      <c r="I1086" s="12">
        <v>45.526470000000003</v>
      </c>
      <c r="J1086" s="12">
        <v>-76.584006000000002</v>
      </c>
      <c r="K1086" s="12" t="s">
        <v>1910</v>
      </c>
      <c r="L1086" s="12" t="s">
        <v>223</v>
      </c>
      <c r="N1086" s="12">
        <v>0.27</v>
      </c>
      <c r="O1086" s="12" t="s">
        <v>59</v>
      </c>
      <c r="P1086" s="12">
        <v>0.27</v>
      </c>
      <c r="Q1086" s="12" t="s">
        <v>59</v>
      </c>
    </row>
    <row r="1087" spans="1:18" x14ac:dyDescent="0.35">
      <c r="A1087" s="12">
        <v>78</v>
      </c>
      <c r="B1087" s="12" t="s">
        <v>1922</v>
      </c>
      <c r="C1087" s="12">
        <v>2019</v>
      </c>
      <c r="D1087" s="12" t="s">
        <v>1923</v>
      </c>
      <c r="E1087" s="13" t="s">
        <v>1945</v>
      </c>
      <c r="F1087" s="12" t="s">
        <v>1925</v>
      </c>
      <c r="G1087" s="12" t="s">
        <v>86</v>
      </c>
      <c r="H1087" s="12" t="s">
        <v>1946</v>
      </c>
      <c r="I1087" s="12">
        <v>45.59243</v>
      </c>
      <c r="J1087" s="12">
        <v>-76.668919000000002</v>
      </c>
      <c r="K1087" s="12" t="s">
        <v>1910</v>
      </c>
      <c r="L1087" s="12" t="s">
        <v>223</v>
      </c>
      <c r="N1087" s="12">
        <v>0.2</v>
      </c>
      <c r="O1087" s="12" t="s">
        <v>59</v>
      </c>
      <c r="P1087" s="12">
        <v>0.2</v>
      </c>
      <c r="Q1087" s="12" t="s">
        <v>59</v>
      </c>
    </row>
    <row r="1088" spans="1:18" x14ac:dyDescent="0.35">
      <c r="A1088" s="12">
        <v>78</v>
      </c>
      <c r="B1088" s="12" t="s">
        <v>1922</v>
      </c>
      <c r="C1088" s="12">
        <v>2019</v>
      </c>
      <c r="D1088" s="12" t="s">
        <v>1923</v>
      </c>
      <c r="E1088" s="13" t="s">
        <v>1947</v>
      </c>
      <c r="F1088" s="12" t="s">
        <v>1925</v>
      </c>
      <c r="G1088" s="12" t="s">
        <v>86</v>
      </c>
      <c r="H1088" s="12" t="s">
        <v>1948</v>
      </c>
      <c r="I1088" s="12">
        <v>45.725380000000001</v>
      </c>
      <c r="J1088" s="12">
        <v>-76.711465000000004</v>
      </c>
      <c r="K1088" s="12" t="s">
        <v>1910</v>
      </c>
      <c r="L1088" s="12" t="s">
        <v>223</v>
      </c>
      <c r="N1088" s="12">
        <v>0.06</v>
      </c>
      <c r="O1088" s="12" t="s">
        <v>59</v>
      </c>
      <c r="P1088" s="12">
        <v>0.06</v>
      </c>
      <c r="Q1088" s="12" t="s">
        <v>59</v>
      </c>
    </row>
    <row r="1089" spans="1:18" x14ac:dyDescent="0.35">
      <c r="A1089" s="12">
        <v>78</v>
      </c>
      <c r="B1089" s="12" t="s">
        <v>1922</v>
      </c>
      <c r="C1089" s="12">
        <v>2019</v>
      </c>
      <c r="D1089" s="12" t="s">
        <v>1923</v>
      </c>
      <c r="E1089" s="13" t="s">
        <v>1949</v>
      </c>
      <c r="F1089" s="12" t="s">
        <v>1925</v>
      </c>
      <c r="G1089" s="12" t="s">
        <v>86</v>
      </c>
      <c r="H1089" s="12" t="s">
        <v>1950</v>
      </c>
      <c r="I1089" s="12">
        <v>45.757080000000002</v>
      </c>
      <c r="J1089" s="12">
        <v>-76.773262000000003</v>
      </c>
      <c r="K1089" s="12" t="s">
        <v>1910</v>
      </c>
      <c r="L1089" s="12" t="s">
        <v>223</v>
      </c>
      <c r="N1089" s="12">
        <v>0.06</v>
      </c>
      <c r="O1089" s="12" t="s">
        <v>59</v>
      </c>
      <c r="P1089" s="12">
        <v>0.06</v>
      </c>
      <c r="Q1089" s="12" t="s">
        <v>59</v>
      </c>
    </row>
    <row r="1090" spans="1:18" x14ac:dyDescent="0.35">
      <c r="A1090" s="12">
        <v>78</v>
      </c>
      <c r="B1090" s="12" t="s">
        <v>1922</v>
      </c>
      <c r="C1090" s="12">
        <v>2019</v>
      </c>
      <c r="D1090" s="12" t="s">
        <v>1923</v>
      </c>
      <c r="E1090" s="13" t="s">
        <v>1951</v>
      </c>
      <c r="F1090" s="12" t="s">
        <v>1925</v>
      </c>
      <c r="G1090" s="12" t="s">
        <v>86</v>
      </c>
      <c r="H1090" s="12" t="s">
        <v>1952</v>
      </c>
      <c r="I1090" s="12">
        <v>45.761339999999997</v>
      </c>
      <c r="J1090" s="12">
        <v>-76.764512999999994</v>
      </c>
      <c r="K1090" s="12" t="s">
        <v>1910</v>
      </c>
      <c r="L1090" s="12" t="s">
        <v>223</v>
      </c>
      <c r="N1090" s="12">
        <v>0.02</v>
      </c>
      <c r="O1090" s="12" t="s">
        <v>59</v>
      </c>
      <c r="P1090" s="12">
        <v>0.02</v>
      </c>
      <c r="Q1090" s="12" t="s">
        <v>59</v>
      </c>
    </row>
    <row r="1091" spans="1:18" x14ac:dyDescent="0.35">
      <c r="A1091" s="12">
        <v>78</v>
      </c>
      <c r="B1091" s="12" t="s">
        <v>1922</v>
      </c>
      <c r="C1091" s="12">
        <v>2019</v>
      </c>
      <c r="D1091" s="12" t="s">
        <v>1923</v>
      </c>
      <c r="E1091" s="13" t="s">
        <v>1953</v>
      </c>
      <c r="F1091" s="12" t="s">
        <v>1925</v>
      </c>
      <c r="G1091" s="12" t="s">
        <v>86</v>
      </c>
      <c r="H1091" s="12" t="s">
        <v>1954</v>
      </c>
      <c r="I1091" s="12">
        <v>45.790199999999999</v>
      </c>
      <c r="J1091" s="12">
        <v>-76.773028999999994</v>
      </c>
      <c r="K1091" s="12" t="s">
        <v>1910</v>
      </c>
      <c r="L1091" s="12" t="s">
        <v>223</v>
      </c>
      <c r="N1091" s="12">
        <v>0.09</v>
      </c>
      <c r="O1091" s="12" t="s">
        <v>59</v>
      </c>
      <c r="P1091" s="12">
        <v>0.09</v>
      </c>
      <c r="Q1091" s="12" t="s">
        <v>59</v>
      </c>
    </row>
    <row r="1092" spans="1:18" x14ac:dyDescent="0.35">
      <c r="A1092" s="12">
        <v>78</v>
      </c>
      <c r="B1092" s="12" t="s">
        <v>1922</v>
      </c>
      <c r="C1092" s="12">
        <v>2019</v>
      </c>
      <c r="D1092" s="12" t="s">
        <v>1923</v>
      </c>
      <c r="E1092" s="13" t="s">
        <v>1955</v>
      </c>
      <c r="F1092" s="12" t="s">
        <v>1925</v>
      </c>
      <c r="G1092" s="12" t="s">
        <v>86</v>
      </c>
      <c r="H1092" s="12" t="s">
        <v>1956</v>
      </c>
      <c r="I1092" s="12">
        <v>45.840649999999997</v>
      </c>
      <c r="J1092" s="12">
        <v>-76.741956000000002</v>
      </c>
      <c r="K1092" s="12" t="s">
        <v>1910</v>
      </c>
      <c r="L1092" s="12" t="s">
        <v>223</v>
      </c>
      <c r="N1092" s="12">
        <v>0.26</v>
      </c>
      <c r="O1092" s="12" t="s">
        <v>59</v>
      </c>
      <c r="P1092" s="12">
        <v>0.26</v>
      </c>
      <c r="Q1092" s="12" t="s">
        <v>59</v>
      </c>
    </row>
    <row r="1093" spans="1:18" x14ac:dyDescent="0.35">
      <c r="A1093" s="12">
        <v>78</v>
      </c>
      <c r="B1093" s="12" t="s">
        <v>1922</v>
      </c>
      <c r="C1093" s="12">
        <v>2019</v>
      </c>
      <c r="D1093" s="12" t="s">
        <v>1923</v>
      </c>
      <c r="E1093" s="13" t="s">
        <v>1957</v>
      </c>
      <c r="F1093" s="12" t="s">
        <v>1925</v>
      </c>
      <c r="G1093" s="12" t="s">
        <v>86</v>
      </c>
      <c r="H1093" s="12" t="s">
        <v>1958</v>
      </c>
      <c r="I1093" s="12">
        <v>46.318849999999998</v>
      </c>
      <c r="J1093" s="12">
        <v>-78.702425000000005</v>
      </c>
      <c r="K1093" s="12" t="s">
        <v>1910</v>
      </c>
      <c r="L1093" s="12" t="s">
        <v>223</v>
      </c>
      <c r="N1093" s="12">
        <v>0.1</v>
      </c>
      <c r="O1093" s="12" t="s">
        <v>59</v>
      </c>
      <c r="P1093" s="12">
        <v>0.1</v>
      </c>
      <c r="Q1093" s="12" t="s">
        <v>59</v>
      </c>
    </row>
    <row r="1094" spans="1:18" x14ac:dyDescent="0.35">
      <c r="A1094" s="12">
        <v>78</v>
      </c>
      <c r="B1094" s="12" t="s">
        <v>1922</v>
      </c>
      <c r="C1094" s="12">
        <v>2019</v>
      </c>
      <c r="D1094" s="12" t="s">
        <v>1923</v>
      </c>
      <c r="E1094" s="13" t="s">
        <v>1959</v>
      </c>
      <c r="F1094" s="12" t="s">
        <v>1925</v>
      </c>
      <c r="G1094" s="12" t="s">
        <v>86</v>
      </c>
      <c r="H1094" s="12" t="s">
        <v>1960</v>
      </c>
      <c r="I1094" s="12">
        <v>47.330880000000001</v>
      </c>
      <c r="J1094" s="12">
        <v>-79.449572000000003</v>
      </c>
      <c r="K1094" s="12" t="s">
        <v>1910</v>
      </c>
      <c r="L1094" s="12" t="s">
        <v>223</v>
      </c>
      <c r="N1094" s="12">
        <v>0.04</v>
      </c>
      <c r="O1094" s="12" t="s">
        <v>59</v>
      </c>
      <c r="P1094" s="12">
        <v>0.04</v>
      </c>
      <c r="Q1094" s="12" t="s">
        <v>59</v>
      </c>
    </row>
    <row r="1095" spans="1:18" x14ac:dyDescent="0.35">
      <c r="A1095" s="12">
        <v>78</v>
      </c>
      <c r="B1095" s="12" t="s">
        <v>1922</v>
      </c>
      <c r="C1095" s="12">
        <v>2019</v>
      </c>
      <c r="D1095" s="12" t="s">
        <v>1923</v>
      </c>
      <c r="E1095" s="13" t="s">
        <v>1961</v>
      </c>
      <c r="F1095" s="12" t="s">
        <v>1925</v>
      </c>
      <c r="G1095" s="12" t="s">
        <v>86</v>
      </c>
      <c r="H1095" s="12" t="s">
        <v>1962</v>
      </c>
      <c r="I1095" s="12">
        <v>47.309360499999997</v>
      </c>
      <c r="J1095" s="12">
        <v>-79.483870999999994</v>
      </c>
      <c r="K1095" s="12" t="s">
        <v>1910</v>
      </c>
      <c r="L1095" s="12" t="s">
        <v>223</v>
      </c>
      <c r="N1095" s="12">
        <v>0.08</v>
      </c>
      <c r="O1095" s="12" t="s">
        <v>59</v>
      </c>
      <c r="P1095" s="12">
        <v>0.08</v>
      </c>
      <c r="Q1095" s="12" t="s">
        <v>59</v>
      </c>
    </row>
    <row r="1096" spans="1:18" x14ac:dyDescent="0.35">
      <c r="A1096" s="12">
        <v>78</v>
      </c>
      <c r="B1096" s="12" t="s">
        <v>1922</v>
      </c>
      <c r="C1096" s="12">
        <v>2019</v>
      </c>
      <c r="D1096" s="12" t="s">
        <v>1923</v>
      </c>
      <c r="E1096" s="13" t="s">
        <v>1961</v>
      </c>
      <c r="F1096" s="12" t="s">
        <v>1925</v>
      </c>
      <c r="G1096" s="12" t="s">
        <v>86</v>
      </c>
      <c r="H1096" s="12" t="s">
        <v>1963</v>
      </c>
      <c r="I1096" s="12">
        <v>45.366573699999996</v>
      </c>
      <c r="J1096" s="12">
        <v>-75.886998000000006</v>
      </c>
      <c r="K1096" s="12" t="s">
        <v>1910</v>
      </c>
      <c r="L1096" s="12" t="s">
        <v>223</v>
      </c>
      <c r="N1096" s="12">
        <v>0.21</v>
      </c>
      <c r="O1096" s="12" t="s">
        <v>59</v>
      </c>
      <c r="P1096" s="12">
        <v>0.21</v>
      </c>
      <c r="Q1096" s="12" t="s">
        <v>59</v>
      </c>
    </row>
    <row r="1097" spans="1:18" x14ac:dyDescent="0.35">
      <c r="A1097" s="12">
        <v>78</v>
      </c>
      <c r="B1097" s="12" t="s">
        <v>1922</v>
      </c>
      <c r="C1097" s="12">
        <v>2019</v>
      </c>
      <c r="D1097" s="12" t="s">
        <v>1923</v>
      </c>
      <c r="E1097" s="13" t="s">
        <v>1961</v>
      </c>
      <c r="F1097" s="12" t="s">
        <v>1925</v>
      </c>
      <c r="G1097" s="12" t="s">
        <v>86</v>
      </c>
      <c r="H1097" s="12" t="s">
        <v>1964</v>
      </c>
      <c r="I1097" s="12">
        <v>45.370634600000002</v>
      </c>
      <c r="J1097" s="12">
        <v>-75.893862999999996</v>
      </c>
      <c r="K1097" s="12" t="s">
        <v>1910</v>
      </c>
      <c r="L1097" s="12" t="s">
        <v>223</v>
      </c>
      <c r="N1097" s="12">
        <v>0.08</v>
      </c>
      <c r="O1097" s="12" t="s">
        <v>59</v>
      </c>
      <c r="P1097" s="12">
        <v>0.08</v>
      </c>
      <c r="Q1097" s="12" t="s">
        <v>59</v>
      </c>
    </row>
    <row r="1098" spans="1:18" x14ac:dyDescent="0.35">
      <c r="A1098" s="12">
        <v>78</v>
      </c>
      <c r="B1098" s="12" t="s">
        <v>1922</v>
      </c>
      <c r="C1098" s="12">
        <v>2019</v>
      </c>
      <c r="D1098" s="12" t="s">
        <v>1923</v>
      </c>
      <c r="E1098" s="13" t="s">
        <v>1961</v>
      </c>
      <c r="F1098" s="12" t="s">
        <v>1925</v>
      </c>
      <c r="G1098" s="12" t="s">
        <v>86</v>
      </c>
      <c r="H1098" s="12" t="s">
        <v>1965</v>
      </c>
      <c r="I1098" s="12">
        <v>45.539847000000002</v>
      </c>
      <c r="J1098" s="12">
        <v>-77.100430000000003</v>
      </c>
      <c r="K1098" s="12" t="s">
        <v>1910</v>
      </c>
      <c r="L1098" s="12" t="s">
        <v>223</v>
      </c>
      <c r="N1098" s="12">
        <v>0.05</v>
      </c>
      <c r="O1098" s="12" t="s">
        <v>59</v>
      </c>
      <c r="P1098" s="12">
        <v>0.05</v>
      </c>
      <c r="Q1098" s="12" t="s">
        <v>59</v>
      </c>
    </row>
    <row r="1099" spans="1:18" x14ac:dyDescent="0.35">
      <c r="A1099" s="12">
        <v>78</v>
      </c>
      <c r="B1099" s="12" t="s">
        <v>1922</v>
      </c>
      <c r="C1099" s="12">
        <v>2019</v>
      </c>
      <c r="D1099" s="12" t="s">
        <v>1923</v>
      </c>
      <c r="E1099" s="13" t="s">
        <v>1961</v>
      </c>
      <c r="F1099" s="12" t="s">
        <v>1925</v>
      </c>
      <c r="G1099" s="12" t="s">
        <v>86</v>
      </c>
      <c r="H1099" s="12" t="s">
        <v>1966</v>
      </c>
      <c r="I1099" s="12">
        <v>45.518915800000002</v>
      </c>
      <c r="J1099" s="12">
        <v>-76.557220000000001</v>
      </c>
      <c r="K1099" s="12" t="s">
        <v>1910</v>
      </c>
      <c r="L1099" s="12" t="s">
        <v>223</v>
      </c>
      <c r="N1099" s="12">
        <v>0.01</v>
      </c>
      <c r="O1099" s="12" t="s">
        <v>59</v>
      </c>
      <c r="P1099" s="12">
        <v>0.01</v>
      </c>
      <c r="Q1099" s="12" t="s">
        <v>59</v>
      </c>
    </row>
    <row r="1100" spans="1:18" x14ac:dyDescent="0.35">
      <c r="A1100" s="12">
        <v>79</v>
      </c>
      <c r="B1100" s="12" t="s">
        <v>1967</v>
      </c>
      <c r="C1100" s="12">
        <v>2026</v>
      </c>
      <c r="D1100" s="12" t="s">
        <v>1968</v>
      </c>
      <c r="E1100" s="22" t="s">
        <v>1969</v>
      </c>
      <c r="F1100" s="12" t="s">
        <v>1970</v>
      </c>
      <c r="G1100" s="12" t="s">
        <v>86</v>
      </c>
      <c r="H1100" s="12" t="s">
        <v>1971</v>
      </c>
      <c r="I1100" s="15">
        <v>45.379829999999998</v>
      </c>
      <c r="J1100" s="12">
        <v>-79.135418000000001</v>
      </c>
      <c r="K1100" s="12" t="s">
        <v>41</v>
      </c>
      <c r="L1100" s="12" t="s">
        <v>28</v>
      </c>
      <c r="N1100" s="12">
        <v>9.6999999999999993</v>
      </c>
      <c r="O1100" s="12" t="s">
        <v>1972</v>
      </c>
      <c r="P1100" s="12">
        <v>9.6999999999999993</v>
      </c>
      <c r="Q1100" s="12" t="s">
        <v>59</v>
      </c>
      <c r="R1100" s="12" t="s">
        <v>1973</v>
      </c>
    </row>
    <row r="1101" spans="1:18" x14ac:dyDescent="0.35">
      <c r="A1101" s="12">
        <v>79</v>
      </c>
      <c r="B1101" s="12" t="s">
        <v>1967</v>
      </c>
      <c r="C1101" s="12">
        <v>2026</v>
      </c>
      <c r="D1101" s="12" t="s">
        <v>1968</v>
      </c>
      <c r="E1101" s="22" t="s">
        <v>1969</v>
      </c>
      <c r="F1101" s="12" t="s">
        <v>1970</v>
      </c>
      <c r="G1101" s="12" t="s">
        <v>86</v>
      </c>
      <c r="H1101" s="12" t="s">
        <v>1971</v>
      </c>
      <c r="I1101" s="15">
        <v>45.380116999999998</v>
      </c>
      <c r="J1101" s="12">
        <v>-79.138615000000001</v>
      </c>
      <c r="K1101" s="12" t="s">
        <v>41</v>
      </c>
      <c r="L1101" s="12" t="s">
        <v>28</v>
      </c>
      <c r="N1101" s="12">
        <v>14.01</v>
      </c>
      <c r="O1101" s="12" t="s">
        <v>1972</v>
      </c>
      <c r="P1101" s="12">
        <v>14.01</v>
      </c>
      <c r="Q1101" s="12" t="s">
        <v>59</v>
      </c>
      <c r="R1101" s="12" t="s">
        <v>1974</v>
      </c>
    </row>
    <row r="1102" spans="1:18" x14ac:dyDescent="0.35">
      <c r="A1102" s="12">
        <v>79</v>
      </c>
      <c r="B1102" s="12" t="s">
        <v>1967</v>
      </c>
      <c r="C1102" s="12">
        <v>2026</v>
      </c>
      <c r="D1102" s="12" t="s">
        <v>1968</v>
      </c>
      <c r="E1102" s="22" t="s">
        <v>1969</v>
      </c>
      <c r="F1102" s="12" t="s">
        <v>1970</v>
      </c>
      <c r="G1102" s="12" t="s">
        <v>86</v>
      </c>
      <c r="H1102" s="12" t="s">
        <v>1971</v>
      </c>
      <c r="I1102" s="15">
        <v>45.379716000000002</v>
      </c>
      <c r="J1102" s="12">
        <v>-79.131608999999997</v>
      </c>
      <c r="K1102" s="12" t="s">
        <v>41</v>
      </c>
      <c r="L1102" s="12" t="s">
        <v>28</v>
      </c>
      <c r="N1102" s="12">
        <v>4.3099999999999996</v>
      </c>
      <c r="O1102" s="12" t="s">
        <v>1972</v>
      </c>
      <c r="P1102" s="12">
        <v>4.3099999999999996</v>
      </c>
      <c r="Q1102" s="12" t="s">
        <v>59</v>
      </c>
      <c r="R1102" s="12" t="s">
        <v>1975</v>
      </c>
    </row>
    <row r="1103" spans="1:18" x14ac:dyDescent="0.35">
      <c r="A1103" s="12">
        <v>79</v>
      </c>
      <c r="B1103" s="12" t="s">
        <v>1967</v>
      </c>
      <c r="C1103" s="12">
        <v>2026</v>
      </c>
      <c r="D1103" s="12" t="s">
        <v>1968</v>
      </c>
      <c r="E1103" s="22" t="s">
        <v>1969</v>
      </c>
      <c r="F1103" s="12" t="s">
        <v>1970</v>
      </c>
      <c r="G1103" s="12" t="s">
        <v>86</v>
      </c>
      <c r="H1103" s="12" t="s">
        <v>1971</v>
      </c>
      <c r="I1103" s="15"/>
      <c r="K1103" s="12" t="s">
        <v>27</v>
      </c>
      <c r="L1103" s="12" t="s">
        <v>28</v>
      </c>
      <c r="N1103" s="12">
        <v>22.74</v>
      </c>
      <c r="O1103" s="12" t="s">
        <v>1972</v>
      </c>
      <c r="P1103" s="12">
        <v>22.74</v>
      </c>
      <c r="Q1103" s="12" t="s">
        <v>59</v>
      </c>
      <c r="R1103" s="12" t="s">
        <v>1976</v>
      </c>
    </row>
    <row r="1104" spans="1:18" x14ac:dyDescent="0.35">
      <c r="A1104" s="12">
        <v>79</v>
      </c>
      <c r="B1104" s="12" t="s">
        <v>1967</v>
      </c>
      <c r="C1104" s="12">
        <v>2026</v>
      </c>
      <c r="D1104" s="12" t="s">
        <v>1968</v>
      </c>
      <c r="E1104" s="22" t="s">
        <v>1969</v>
      </c>
      <c r="F1104" s="12" t="s">
        <v>1970</v>
      </c>
      <c r="G1104" s="12" t="s">
        <v>86</v>
      </c>
      <c r="H1104" s="12" t="s">
        <v>1971</v>
      </c>
      <c r="I1104" s="15"/>
      <c r="K1104" s="12" t="s">
        <v>514</v>
      </c>
      <c r="L1104" s="12" t="s">
        <v>28</v>
      </c>
      <c r="N1104" s="12">
        <v>11.72</v>
      </c>
      <c r="O1104" s="12" t="s">
        <v>1972</v>
      </c>
      <c r="P1104" s="12">
        <v>11.72</v>
      </c>
      <c r="Q1104" s="12" t="s">
        <v>59</v>
      </c>
      <c r="R1104" s="12" t="s">
        <v>1977</v>
      </c>
    </row>
    <row r="1105" spans="1:19" x14ac:dyDescent="0.35">
      <c r="A1105" s="12">
        <v>79</v>
      </c>
      <c r="B1105" s="12" t="s">
        <v>1967</v>
      </c>
      <c r="C1105" s="12">
        <v>2026</v>
      </c>
      <c r="D1105" s="12" t="s">
        <v>1968</v>
      </c>
      <c r="E1105" s="22" t="s">
        <v>1969</v>
      </c>
      <c r="F1105" s="12" t="s">
        <v>1970</v>
      </c>
      <c r="G1105" s="12" t="s">
        <v>86</v>
      </c>
      <c r="H1105" s="12" t="s">
        <v>1971</v>
      </c>
      <c r="I1105" s="15"/>
      <c r="K1105" s="12" t="s">
        <v>514</v>
      </c>
      <c r="L1105" s="12" t="s">
        <v>28</v>
      </c>
      <c r="N1105" s="12">
        <v>20.010000000000002</v>
      </c>
      <c r="O1105" s="12" t="s">
        <v>1972</v>
      </c>
      <c r="P1105" s="12">
        <v>20.010000000000002</v>
      </c>
      <c r="Q1105" s="12" t="s">
        <v>59</v>
      </c>
      <c r="R1105" s="12" t="s">
        <v>1978</v>
      </c>
    </row>
    <row r="1106" spans="1:19" x14ac:dyDescent="0.35">
      <c r="A1106" s="12">
        <v>80</v>
      </c>
      <c r="B1106" s="12" t="s">
        <v>1979</v>
      </c>
      <c r="C1106" s="12">
        <v>2021</v>
      </c>
      <c r="D1106" s="15" t="s">
        <v>1010</v>
      </c>
      <c r="E1106" s="22" t="s">
        <v>1980</v>
      </c>
      <c r="F1106" s="12" t="s">
        <v>1981</v>
      </c>
      <c r="G1106" s="12" t="s">
        <v>25</v>
      </c>
      <c r="H1106" s="12" t="s">
        <v>1982</v>
      </c>
      <c r="I1106" s="12">
        <v>67.1525915</v>
      </c>
      <c r="J1106" s="12">
        <v>-62.5924823</v>
      </c>
      <c r="K1106" s="12" t="s">
        <v>41</v>
      </c>
      <c r="L1106" s="12" t="s">
        <v>42</v>
      </c>
      <c r="N1106" s="12">
        <v>1.01</v>
      </c>
      <c r="O1106" s="12" t="s">
        <v>248</v>
      </c>
      <c r="P1106" s="12">
        <f>N1106/1000</f>
        <v>1.01E-3</v>
      </c>
      <c r="Q1106" s="12" t="s">
        <v>59</v>
      </c>
      <c r="R1106" s="12" t="s">
        <v>1985</v>
      </c>
    </row>
    <row r="1107" spans="1:19" s="20" customFormat="1" x14ac:dyDescent="0.35">
      <c r="A1107" s="20">
        <v>80</v>
      </c>
      <c r="B1107" s="20" t="s">
        <v>1979</v>
      </c>
      <c r="C1107" s="20">
        <v>2021</v>
      </c>
      <c r="D1107" s="40" t="s">
        <v>1010</v>
      </c>
      <c r="E1107" s="23" t="s">
        <v>1980</v>
      </c>
      <c r="F1107" s="20" t="s">
        <v>1981</v>
      </c>
      <c r="G1107" s="20" t="s">
        <v>25</v>
      </c>
      <c r="H1107" s="20" t="s">
        <v>1982</v>
      </c>
      <c r="I1107" s="20">
        <v>67.1525915</v>
      </c>
      <c r="J1107" s="20">
        <v>-62.5924823</v>
      </c>
      <c r="K1107" s="20" t="s">
        <v>138</v>
      </c>
      <c r="L1107" s="20" t="s">
        <v>42</v>
      </c>
      <c r="N1107" s="20">
        <v>0.01</v>
      </c>
      <c r="O1107" s="20" t="s">
        <v>1988</v>
      </c>
      <c r="P1107" s="20">
        <v>10</v>
      </c>
      <c r="Q1107" s="20" t="s">
        <v>107</v>
      </c>
      <c r="R1107" s="20" t="s">
        <v>1989</v>
      </c>
    </row>
    <row r="1108" spans="1:19" x14ac:dyDescent="0.35">
      <c r="A1108" s="12">
        <v>82</v>
      </c>
      <c r="B1108" s="12" t="s">
        <v>1990</v>
      </c>
      <c r="C1108" s="12">
        <v>2025</v>
      </c>
      <c r="D1108" s="12" t="s">
        <v>1991</v>
      </c>
      <c r="E1108" s="13" t="s">
        <v>1992</v>
      </c>
      <c r="F1108" s="12" t="s">
        <v>1993</v>
      </c>
      <c r="G1108" s="12" t="s">
        <v>86</v>
      </c>
      <c r="H1108" s="12" t="s">
        <v>1994</v>
      </c>
      <c r="I1108" s="12">
        <v>43.808190000000003</v>
      </c>
      <c r="J1108" s="12">
        <v>-79.371514000000005</v>
      </c>
      <c r="K1108" s="12" t="s">
        <v>103</v>
      </c>
      <c r="L1108" s="12" t="s">
        <v>223</v>
      </c>
      <c r="M1108" s="12" t="s">
        <v>1996</v>
      </c>
      <c r="N1108" s="12" t="s">
        <v>1997</v>
      </c>
      <c r="O1108" s="12" t="s">
        <v>1998</v>
      </c>
      <c r="P1108" s="12" t="s">
        <v>2214</v>
      </c>
      <c r="Q1108" s="12" t="s">
        <v>46</v>
      </c>
      <c r="R1108" s="12" t="s">
        <v>1999</v>
      </c>
      <c r="S1108" s="12" t="s">
        <v>2000</v>
      </c>
    </row>
    <row r="1109" spans="1:19" x14ac:dyDescent="0.35">
      <c r="A1109" s="12">
        <v>82</v>
      </c>
      <c r="B1109" s="12" t="s">
        <v>1990</v>
      </c>
      <c r="C1109" s="12">
        <v>2025</v>
      </c>
      <c r="D1109" s="12" t="s">
        <v>1991</v>
      </c>
      <c r="E1109" s="13" t="s">
        <v>1992</v>
      </c>
      <c r="F1109" s="12" t="s">
        <v>1993</v>
      </c>
      <c r="G1109" s="12" t="s">
        <v>86</v>
      </c>
      <c r="H1109" s="12" t="s">
        <v>1994</v>
      </c>
      <c r="I1109" s="15">
        <v>43.756200999999997</v>
      </c>
      <c r="J1109" s="12">
        <v>-79.343852999999996</v>
      </c>
      <c r="K1109" s="12" t="s">
        <v>103</v>
      </c>
      <c r="L1109" s="12" t="s">
        <v>223</v>
      </c>
      <c r="M1109" s="12" t="s">
        <v>2001</v>
      </c>
      <c r="N1109" s="12">
        <v>132305</v>
      </c>
      <c r="O1109" s="12" t="s">
        <v>1998</v>
      </c>
      <c r="P1109" s="16">
        <v>132305000000</v>
      </c>
      <c r="Q1109" s="12" t="s">
        <v>46</v>
      </c>
      <c r="S1109" s="12" t="s">
        <v>2002</v>
      </c>
    </row>
    <row r="1110" spans="1:19" x14ac:dyDescent="0.35">
      <c r="A1110" s="12">
        <v>82</v>
      </c>
      <c r="B1110" s="12" t="s">
        <v>1990</v>
      </c>
      <c r="C1110" s="12">
        <v>2025</v>
      </c>
      <c r="D1110" s="12" t="s">
        <v>1991</v>
      </c>
      <c r="E1110" s="13" t="s">
        <v>1992</v>
      </c>
      <c r="F1110" s="12" t="s">
        <v>1993</v>
      </c>
      <c r="G1110" s="12" t="s">
        <v>86</v>
      </c>
      <c r="H1110" s="12" t="s">
        <v>1994</v>
      </c>
      <c r="I1110" s="15">
        <v>43.701694000000003</v>
      </c>
      <c r="J1110" s="12">
        <v>-79.327909000000005</v>
      </c>
      <c r="K1110" s="12" t="s">
        <v>41</v>
      </c>
      <c r="L1110" s="12" t="s">
        <v>223</v>
      </c>
      <c r="M1110" s="12" t="s">
        <v>1996</v>
      </c>
      <c r="N1110" s="12" t="s">
        <v>2003</v>
      </c>
      <c r="O1110" s="12" t="s">
        <v>2004</v>
      </c>
      <c r="P1110" s="12" t="s">
        <v>2003</v>
      </c>
      <c r="Q1110" s="12" t="s">
        <v>59</v>
      </c>
      <c r="R1110" s="12" t="s">
        <v>2005</v>
      </c>
      <c r="S1110" s="12" t="s">
        <v>2006</v>
      </c>
    </row>
    <row r="1111" spans="1:19" x14ac:dyDescent="0.35">
      <c r="A1111" s="12">
        <v>82</v>
      </c>
      <c r="B1111" s="12" t="s">
        <v>1990</v>
      </c>
      <c r="C1111" s="12">
        <v>2025</v>
      </c>
      <c r="D1111" s="12" t="s">
        <v>1991</v>
      </c>
      <c r="E1111" s="13" t="s">
        <v>1992</v>
      </c>
      <c r="F1111" s="12" t="s">
        <v>1993</v>
      </c>
      <c r="G1111" s="12" t="s">
        <v>86</v>
      </c>
      <c r="H1111" s="12" t="s">
        <v>1994</v>
      </c>
      <c r="I1111" s="15">
        <v>43.688743000000002</v>
      </c>
      <c r="J1111" s="12">
        <v>-79.362255000000005</v>
      </c>
      <c r="K1111" s="12" t="s">
        <v>41</v>
      </c>
      <c r="L1111" s="12" t="s">
        <v>223</v>
      </c>
      <c r="M1111" s="12" t="s">
        <v>1996</v>
      </c>
      <c r="N1111" s="12" t="s">
        <v>2007</v>
      </c>
      <c r="O1111" s="12" t="s">
        <v>2004</v>
      </c>
      <c r="P1111" s="12" t="s">
        <v>2007</v>
      </c>
      <c r="Q1111" s="12" t="s">
        <v>59</v>
      </c>
      <c r="R1111" s="12" t="s">
        <v>2008</v>
      </c>
      <c r="S1111" s="12" t="s">
        <v>2009</v>
      </c>
    </row>
    <row r="1112" spans="1:19" x14ac:dyDescent="0.35">
      <c r="A1112" s="12">
        <v>83</v>
      </c>
      <c r="B1112" s="12" t="s">
        <v>2010</v>
      </c>
      <c r="C1112" s="12">
        <v>2022</v>
      </c>
      <c r="D1112" s="12" t="s">
        <v>2011</v>
      </c>
      <c r="E1112" s="13" t="s">
        <v>2012</v>
      </c>
      <c r="F1112" s="12" t="s">
        <v>2013</v>
      </c>
      <c r="G1112" s="12" t="s">
        <v>274</v>
      </c>
      <c r="H1112" s="12" t="s">
        <v>2016</v>
      </c>
      <c r="I1112" s="15">
        <v>46.865482999999998</v>
      </c>
      <c r="J1112" s="12">
        <v>-91.282332999999994</v>
      </c>
      <c r="K1112" s="12" t="s">
        <v>41</v>
      </c>
      <c r="L1112" s="12" t="s">
        <v>28</v>
      </c>
      <c r="M1112" s="12" t="s">
        <v>2017</v>
      </c>
      <c r="N1112" s="12">
        <v>1900</v>
      </c>
      <c r="O1112" s="12" t="s">
        <v>248</v>
      </c>
      <c r="P1112" s="12">
        <v>1.9</v>
      </c>
      <c r="Q1112" s="12" t="s">
        <v>59</v>
      </c>
    </row>
    <row r="1113" spans="1:19" x14ac:dyDescent="0.35">
      <c r="A1113" s="12">
        <v>83</v>
      </c>
      <c r="B1113" s="12" t="s">
        <v>2010</v>
      </c>
      <c r="C1113" s="12">
        <v>2022</v>
      </c>
      <c r="D1113" s="12" t="s">
        <v>2011</v>
      </c>
      <c r="E1113" s="13" t="s">
        <v>2012</v>
      </c>
      <c r="F1113" s="12" t="s">
        <v>2013</v>
      </c>
      <c r="G1113" s="12" t="s">
        <v>274</v>
      </c>
      <c r="H1113" s="12" t="s">
        <v>2016</v>
      </c>
      <c r="I1113" s="15">
        <v>46.748617000000003</v>
      </c>
      <c r="J1113" s="12">
        <v>-91.703483000000006</v>
      </c>
      <c r="K1113" s="12" t="s">
        <v>41</v>
      </c>
      <c r="L1113" s="12" t="s">
        <v>28</v>
      </c>
      <c r="M1113" s="12" t="s">
        <v>2018</v>
      </c>
      <c r="N1113" s="12">
        <v>250</v>
      </c>
      <c r="O1113" s="12" t="s">
        <v>248</v>
      </c>
      <c r="P1113" s="12">
        <v>0.25</v>
      </c>
      <c r="Q1113" s="12" t="s">
        <v>59</v>
      </c>
    </row>
    <row r="1114" spans="1:19" x14ac:dyDescent="0.35">
      <c r="A1114" s="12">
        <v>83</v>
      </c>
      <c r="B1114" s="12" t="s">
        <v>2010</v>
      </c>
      <c r="C1114" s="12">
        <v>2022</v>
      </c>
      <c r="D1114" s="12" t="s">
        <v>2011</v>
      </c>
      <c r="E1114" s="13" t="s">
        <v>2012</v>
      </c>
      <c r="F1114" s="12" t="s">
        <v>2013</v>
      </c>
      <c r="G1114" s="12" t="s">
        <v>274</v>
      </c>
      <c r="H1114" s="12" t="s">
        <v>2019</v>
      </c>
      <c r="I1114" s="15">
        <v>46.748617000000003</v>
      </c>
      <c r="J1114" s="12">
        <v>-91.703483000000006</v>
      </c>
      <c r="K1114" s="12" t="s">
        <v>41</v>
      </c>
      <c r="L1114" s="12" t="s">
        <v>28</v>
      </c>
      <c r="M1114" s="12" t="s">
        <v>2021</v>
      </c>
      <c r="N1114" s="12">
        <v>41000</v>
      </c>
      <c r="O1114" s="12" t="s">
        <v>676</v>
      </c>
      <c r="P1114" s="12">
        <v>41000</v>
      </c>
      <c r="Q1114" s="12" t="s">
        <v>46</v>
      </c>
    </row>
    <row r="1115" spans="1:19" x14ac:dyDescent="0.35">
      <c r="A1115" s="12">
        <v>83</v>
      </c>
      <c r="B1115" s="12" t="s">
        <v>2010</v>
      </c>
      <c r="C1115" s="12">
        <v>2022</v>
      </c>
      <c r="D1115" s="12" t="s">
        <v>2011</v>
      </c>
      <c r="E1115" s="13" t="s">
        <v>2012</v>
      </c>
      <c r="F1115" s="12" t="s">
        <v>2013</v>
      </c>
      <c r="G1115" s="12" t="s">
        <v>274</v>
      </c>
      <c r="H1115" s="12" t="s">
        <v>2014</v>
      </c>
      <c r="I1115" s="15">
        <v>47.066867000000002</v>
      </c>
      <c r="J1115" s="12">
        <v>-91.433582999999999</v>
      </c>
      <c r="K1115" s="12" t="s">
        <v>41</v>
      </c>
      <c r="L1115" s="12" t="s">
        <v>28</v>
      </c>
      <c r="N1115" s="12">
        <v>3.5200000000000002E-2</v>
      </c>
      <c r="O1115" s="12" t="s">
        <v>248</v>
      </c>
      <c r="P1115" s="12">
        <f>N1115/1000</f>
        <v>3.5200000000000002E-5</v>
      </c>
      <c r="Q1115" s="12" t="s">
        <v>59</v>
      </c>
    </row>
    <row r="1116" spans="1:19" x14ac:dyDescent="0.35">
      <c r="A1116" s="12">
        <v>83</v>
      </c>
      <c r="B1116" s="12" t="s">
        <v>2010</v>
      </c>
      <c r="C1116" s="12">
        <v>2022</v>
      </c>
      <c r="D1116" s="12" t="s">
        <v>2011</v>
      </c>
      <c r="E1116" s="13" t="s">
        <v>2012</v>
      </c>
      <c r="F1116" s="12" t="s">
        <v>2013</v>
      </c>
      <c r="G1116" s="12" t="s">
        <v>274</v>
      </c>
      <c r="H1116" s="12" t="s">
        <v>2014</v>
      </c>
      <c r="I1116" s="15">
        <v>47.066867000000002</v>
      </c>
      <c r="J1116" s="12">
        <v>-91.433582999999999</v>
      </c>
      <c r="K1116" s="12" t="s">
        <v>41</v>
      </c>
      <c r="L1116" s="12" t="s">
        <v>28</v>
      </c>
      <c r="M1116" s="12" t="s">
        <v>2017</v>
      </c>
      <c r="N1116" s="12">
        <v>5.8920000000000003</v>
      </c>
      <c r="O1116" s="12" t="s">
        <v>248</v>
      </c>
      <c r="P1116" s="12">
        <f>N1116/1000</f>
        <v>5.8920000000000005E-3</v>
      </c>
      <c r="Q1116" s="12" t="s">
        <v>59</v>
      </c>
    </row>
    <row r="1117" spans="1:19" x14ac:dyDescent="0.35">
      <c r="A1117" s="12">
        <v>83</v>
      </c>
      <c r="B1117" s="12" t="s">
        <v>2010</v>
      </c>
      <c r="C1117" s="12">
        <v>2022</v>
      </c>
      <c r="D1117" s="12" t="s">
        <v>2011</v>
      </c>
      <c r="E1117" s="13" t="s">
        <v>2012</v>
      </c>
      <c r="F1117" s="12" t="s">
        <v>2013</v>
      </c>
      <c r="G1117" s="12" t="s">
        <v>274</v>
      </c>
      <c r="H1117" s="12" t="s">
        <v>2014</v>
      </c>
      <c r="I1117" s="15">
        <v>47.066867000000002</v>
      </c>
      <c r="J1117" s="12">
        <v>-91.433582999999999</v>
      </c>
      <c r="K1117" s="12" t="s">
        <v>41</v>
      </c>
      <c r="L1117" s="12" t="s">
        <v>28</v>
      </c>
      <c r="M1117" s="12" t="s">
        <v>2024</v>
      </c>
      <c r="N1117" s="12">
        <v>12.22</v>
      </c>
      <c r="O1117" s="12" t="s">
        <v>248</v>
      </c>
      <c r="P1117" s="12">
        <f>N1117/1000</f>
        <v>1.222E-2</v>
      </c>
      <c r="Q1117" s="12" t="s">
        <v>59</v>
      </c>
    </row>
    <row r="1118" spans="1:19" x14ac:dyDescent="0.35">
      <c r="A1118" s="12">
        <v>83</v>
      </c>
      <c r="B1118" s="12" t="s">
        <v>2010</v>
      </c>
      <c r="C1118" s="12">
        <v>2022</v>
      </c>
      <c r="D1118" s="12" t="s">
        <v>2011</v>
      </c>
      <c r="E1118" s="13" t="s">
        <v>2012</v>
      </c>
      <c r="F1118" s="12" t="s">
        <v>2013</v>
      </c>
      <c r="G1118" s="12" t="s">
        <v>274</v>
      </c>
      <c r="H1118" s="12" t="s">
        <v>2014</v>
      </c>
      <c r="I1118" s="15">
        <v>47.066867000000002</v>
      </c>
      <c r="J1118" s="12">
        <v>-91.433582999999999</v>
      </c>
      <c r="K1118" s="12" t="s">
        <v>41</v>
      </c>
      <c r="L1118" s="12" t="s">
        <v>28</v>
      </c>
      <c r="M1118" s="12" t="s">
        <v>2025</v>
      </c>
      <c r="N1118" s="12">
        <v>24.54</v>
      </c>
      <c r="O1118" s="12" t="s">
        <v>248</v>
      </c>
      <c r="P1118" s="12">
        <f>N1118/1000</f>
        <v>2.4539999999999999E-2</v>
      </c>
      <c r="Q1118" s="12" t="s">
        <v>59</v>
      </c>
    </row>
    <row r="1119" spans="1:19" x14ac:dyDescent="0.35">
      <c r="A1119" s="12">
        <v>83</v>
      </c>
      <c r="B1119" s="12" t="s">
        <v>2010</v>
      </c>
      <c r="C1119" s="12">
        <v>2022</v>
      </c>
      <c r="D1119" s="12" t="s">
        <v>2011</v>
      </c>
      <c r="E1119" s="13" t="s">
        <v>2012</v>
      </c>
      <c r="F1119" s="12" t="s">
        <v>2013</v>
      </c>
      <c r="G1119" s="12" t="s">
        <v>274</v>
      </c>
      <c r="H1119" s="12" t="s">
        <v>2019</v>
      </c>
      <c r="I1119" s="15">
        <v>47.066867000000002</v>
      </c>
      <c r="J1119" s="12">
        <v>-91.433582999999999</v>
      </c>
      <c r="K1119" s="12" t="s">
        <v>41</v>
      </c>
      <c r="L1119" s="12" t="s">
        <v>28</v>
      </c>
      <c r="M1119" s="12" t="s">
        <v>2026</v>
      </c>
      <c r="N1119" s="12">
        <v>14</v>
      </c>
      <c r="O1119" s="12" t="s">
        <v>248</v>
      </c>
      <c r="P1119" s="12">
        <v>1.4E-2</v>
      </c>
      <c r="Q1119" s="12" t="s">
        <v>59</v>
      </c>
    </row>
    <row r="1120" spans="1:19" x14ac:dyDescent="0.35">
      <c r="A1120" s="12">
        <v>84</v>
      </c>
      <c r="B1120" s="12" t="s">
        <v>2027</v>
      </c>
      <c r="C1120" s="12">
        <v>2017</v>
      </c>
      <c r="D1120" s="12" t="s">
        <v>2028</v>
      </c>
      <c r="E1120" s="13" t="s">
        <v>2029</v>
      </c>
      <c r="F1120" s="12" t="s">
        <v>2030</v>
      </c>
      <c r="G1120" s="12" t="s">
        <v>1512</v>
      </c>
      <c r="H1120" s="12" t="s">
        <v>2031</v>
      </c>
      <c r="I1120" s="15">
        <v>49.890394000000001</v>
      </c>
      <c r="J1120" s="12">
        <v>-97.126401999999999</v>
      </c>
      <c r="K1120" s="12" t="s">
        <v>41</v>
      </c>
      <c r="L1120" s="12" t="s">
        <v>223</v>
      </c>
      <c r="M1120" s="12" t="s">
        <v>2032</v>
      </c>
      <c r="N1120" s="12">
        <v>806352</v>
      </c>
      <c r="O1120" s="12" t="s">
        <v>2033</v>
      </c>
      <c r="P1120" s="12">
        <v>806352</v>
      </c>
      <c r="Q1120" s="12" t="s">
        <v>46</v>
      </c>
    </row>
    <row r="1121" spans="1:17" x14ac:dyDescent="0.35">
      <c r="A1121" s="12">
        <v>84</v>
      </c>
      <c r="B1121" s="12" t="s">
        <v>2027</v>
      </c>
      <c r="C1121" s="12">
        <v>2017</v>
      </c>
      <c r="D1121" s="12" t="s">
        <v>2028</v>
      </c>
      <c r="E1121" s="13" t="s">
        <v>2029</v>
      </c>
      <c r="F1121" s="12" t="s">
        <v>2030</v>
      </c>
      <c r="G1121" s="12" t="s">
        <v>1512</v>
      </c>
      <c r="H1121" s="12" t="s">
        <v>2034</v>
      </c>
      <c r="I1121" s="15">
        <v>49.890394000000001</v>
      </c>
      <c r="J1121" s="12">
        <v>-97.126401999999999</v>
      </c>
      <c r="K1121" s="12" t="s">
        <v>41</v>
      </c>
      <c r="L1121" s="12" t="s">
        <v>223</v>
      </c>
      <c r="M1121" s="12" t="s">
        <v>2035</v>
      </c>
      <c r="N1121" s="18">
        <v>1241085</v>
      </c>
      <c r="O1121" s="12" t="s">
        <v>2033</v>
      </c>
      <c r="P1121" s="18">
        <v>1241085</v>
      </c>
      <c r="Q1121" s="12" t="s">
        <v>46</v>
      </c>
    </row>
    <row r="1122" spans="1:17" x14ac:dyDescent="0.35">
      <c r="A1122" s="12">
        <v>84</v>
      </c>
      <c r="B1122" s="12" t="s">
        <v>2027</v>
      </c>
      <c r="C1122" s="12">
        <v>2017</v>
      </c>
      <c r="D1122" s="12" t="s">
        <v>2028</v>
      </c>
      <c r="E1122" s="13" t="s">
        <v>2029</v>
      </c>
      <c r="F1122" s="12" t="s">
        <v>2030</v>
      </c>
      <c r="G1122" s="12" t="s">
        <v>1512</v>
      </c>
      <c r="H1122" s="12" t="s">
        <v>2036</v>
      </c>
      <c r="I1122" s="15">
        <v>53.982691000000003</v>
      </c>
      <c r="J1122" s="12">
        <v>-97.788846000000007</v>
      </c>
      <c r="K1122" s="12" t="s">
        <v>41</v>
      </c>
      <c r="L1122" s="12" t="s">
        <v>223</v>
      </c>
      <c r="M1122" s="12" t="s">
        <v>2035</v>
      </c>
      <c r="N1122" s="12">
        <v>113888</v>
      </c>
      <c r="O1122" s="12" t="s">
        <v>2033</v>
      </c>
      <c r="P1122" s="12">
        <v>113888</v>
      </c>
      <c r="Q1122" s="12" t="s">
        <v>46</v>
      </c>
    </row>
    <row r="1123" spans="1:17" x14ac:dyDescent="0.35">
      <c r="A1123" s="12">
        <v>85</v>
      </c>
      <c r="B1123" s="12" t="s">
        <v>2037</v>
      </c>
      <c r="C1123" s="12">
        <v>2020</v>
      </c>
      <c r="D1123" s="12" t="s">
        <v>178</v>
      </c>
      <c r="E1123" s="13" t="s">
        <v>2038</v>
      </c>
      <c r="F1123" s="12" t="s">
        <v>2039</v>
      </c>
      <c r="G1123" s="12" t="s">
        <v>86</v>
      </c>
      <c r="H1123" s="12" t="s">
        <v>1869</v>
      </c>
      <c r="I1123" s="12">
        <v>41.515689999999999</v>
      </c>
      <c r="J1123" s="12">
        <v>-81.717619999999997</v>
      </c>
      <c r="K1123" s="12" t="s">
        <v>103</v>
      </c>
      <c r="L1123" s="12" t="s">
        <v>28</v>
      </c>
      <c r="M1123" s="12" t="s">
        <v>2040</v>
      </c>
      <c r="N1123" s="12">
        <v>344.82758619999998</v>
      </c>
      <c r="O1123" s="12" t="s">
        <v>876</v>
      </c>
      <c r="P1123" s="12">
        <v>344.82758619999998</v>
      </c>
      <c r="Q1123" s="12" t="s">
        <v>107</v>
      </c>
    </row>
    <row r="1124" spans="1:17" x14ac:dyDescent="0.35">
      <c r="A1124" s="12">
        <v>85</v>
      </c>
      <c r="B1124" s="12" t="s">
        <v>2037</v>
      </c>
      <c r="C1124" s="12">
        <v>2020</v>
      </c>
      <c r="D1124" s="12" t="s">
        <v>178</v>
      </c>
      <c r="E1124" s="13" t="s">
        <v>2038</v>
      </c>
      <c r="F1124" s="12" t="s">
        <v>2039</v>
      </c>
      <c r="G1124" s="12" t="s">
        <v>86</v>
      </c>
      <c r="H1124" s="12" t="s">
        <v>1869</v>
      </c>
      <c r="I1124" s="12">
        <v>41.515689999999999</v>
      </c>
      <c r="J1124" s="12">
        <v>-81.717619999999997</v>
      </c>
      <c r="K1124" s="12" t="s">
        <v>103</v>
      </c>
      <c r="L1124" s="12" t="s">
        <v>28</v>
      </c>
      <c r="N1124" s="12">
        <v>611.11111110000002</v>
      </c>
      <c r="O1124" s="12" t="s">
        <v>876</v>
      </c>
      <c r="P1124" s="12">
        <v>611.11111110000002</v>
      </c>
      <c r="Q1124" s="12" t="s">
        <v>107</v>
      </c>
    </row>
    <row r="1125" spans="1:17" x14ac:dyDescent="0.35">
      <c r="A1125" s="12">
        <v>85</v>
      </c>
      <c r="B1125" s="12" t="s">
        <v>2037</v>
      </c>
      <c r="C1125" s="12">
        <v>2020</v>
      </c>
      <c r="D1125" s="12" t="s">
        <v>178</v>
      </c>
      <c r="E1125" s="13" t="s">
        <v>2038</v>
      </c>
      <c r="F1125" s="12" t="s">
        <v>2039</v>
      </c>
      <c r="G1125" s="12" t="s">
        <v>86</v>
      </c>
      <c r="H1125" s="12" t="s">
        <v>1869</v>
      </c>
      <c r="I1125" s="12">
        <v>41.515689999999999</v>
      </c>
      <c r="J1125" s="12">
        <v>-81.717619999999997</v>
      </c>
      <c r="K1125" s="12" t="s">
        <v>103</v>
      </c>
      <c r="L1125" s="12" t="s">
        <v>28</v>
      </c>
      <c r="N1125" s="12">
        <v>2000</v>
      </c>
      <c r="O1125" s="12" t="s">
        <v>876</v>
      </c>
      <c r="P1125" s="12">
        <v>2000</v>
      </c>
      <c r="Q1125" s="12" t="s">
        <v>107</v>
      </c>
    </row>
    <row r="1126" spans="1:17" x14ac:dyDescent="0.35">
      <c r="A1126" s="12">
        <v>85</v>
      </c>
      <c r="B1126" s="12" t="s">
        <v>2037</v>
      </c>
      <c r="C1126" s="12">
        <v>2020</v>
      </c>
      <c r="D1126" s="12" t="s">
        <v>178</v>
      </c>
      <c r="E1126" s="13" t="s">
        <v>2038</v>
      </c>
      <c r="F1126" s="12" t="s">
        <v>2039</v>
      </c>
      <c r="G1126" s="12" t="s">
        <v>86</v>
      </c>
      <c r="H1126" s="12" t="s">
        <v>1869</v>
      </c>
      <c r="I1126" s="12">
        <v>41.515689999999999</v>
      </c>
      <c r="J1126" s="12">
        <v>-81.717619999999997</v>
      </c>
      <c r="K1126" s="12" t="s">
        <v>103</v>
      </c>
      <c r="L1126" s="12" t="s">
        <v>28</v>
      </c>
      <c r="N1126" s="12">
        <v>1880</v>
      </c>
      <c r="O1126" s="12" t="s">
        <v>876</v>
      </c>
      <c r="P1126" s="12">
        <v>1880</v>
      </c>
      <c r="Q1126" s="12" t="s">
        <v>107</v>
      </c>
    </row>
    <row r="1127" spans="1:17" x14ac:dyDescent="0.35">
      <c r="A1127" s="12">
        <v>85</v>
      </c>
      <c r="B1127" s="12" t="s">
        <v>2037</v>
      </c>
      <c r="C1127" s="12">
        <v>2020</v>
      </c>
      <c r="D1127" s="12" t="s">
        <v>178</v>
      </c>
      <c r="E1127" s="13" t="s">
        <v>2038</v>
      </c>
      <c r="F1127" s="12" t="s">
        <v>2039</v>
      </c>
      <c r="G1127" s="12" t="s">
        <v>86</v>
      </c>
      <c r="H1127" s="12" t="s">
        <v>1869</v>
      </c>
      <c r="I1127" s="12">
        <v>41.515689999999999</v>
      </c>
      <c r="J1127" s="12">
        <v>-81.717619999999997</v>
      </c>
      <c r="K1127" s="12" t="s">
        <v>103</v>
      </c>
      <c r="L1127" s="12" t="s">
        <v>28</v>
      </c>
      <c r="N1127" s="12">
        <v>500</v>
      </c>
      <c r="O1127" s="12" t="s">
        <v>876</v>
      </c>
      <c r="P1127" s="12">
        <v>500</v>
      </c>
      <c r="Q1127" s="12" t="s">
        <v>107</v>
      </c>
    </row>
    <row r="1128" spans="1:17" x14ac:dyDescent="0.35">
      <c r="A1128" s="12">
        <v>85</v>
      </c>
      <c r="B1128" s="12" t="s">
        <v>2037</v>
      </c>
      <c r="C1128" s="12">
        <v>2020</v>
      </c>
      <c r="D1128" s="12" t="s">
        <v>178</v>
      </c>
      <c r="E1128" s="13" t="s">
        <v>2038</v>
      </c>
      <c r="F1128" s="12" t="s">
        <v>2039</v>
      </c>
      <c r="G1128" s="12" t="s">
        <v>86</v>
      </c>
      <c r="H1128" s="12" t="s">
        <v>1869</v>
      </c>
      <c r="I1128" s="12">
        <v>41.515689999999999</v>
      </c>
      <c r="J1128" s="12">
        <v>-81.717619999999997</v>
      </c>
      <c r="K1128" s="12" t="s">
        <v>103</v>
      </c>
      <c r="L1128" s="12" t="s">
        <v>28</v>
      </c>
      <c r="N1128" s="12">
        <v>543.85964909999996</v>
      </c>
      <c r="O1128" s="12" t="s">
        <v>876</v>
      </c>
      <c r="P1128" s="12">
        <v>543.85964909999996</v>
      </c>
      <c r="Q1128" s="12" t="s">
        <v>107</v>
      </c>
    </row>
    <row r="1129" spans="1:17" x14ac:dyDescent="0.35">
      <c r="A1129" s="12">
        <v>85</v>
      </c>
      <c r="B1129" s="12" t="s">
        <v>2037</v>
      </c>
      <c r="C1129" s="12">
        <v>2020</v>
      </c>
      <c r="D1129" s="12" t="s">
        <v>178</v>
      </c>
      <c r="E1129" s="13" t="s">
        <v>2038</v>
      </c>
      <c r="F1129" s="12" t="s">
        <v>2039</v>
      </c>
      <c r="G1129" s="12" t="s">
        <v>86</v>
      </c>
      <c r="H1129" s="12" t="s">
        <v>1869</v>
      </c>
      <c r="I1129" s="12">
        <v>41.515689999999999</v>
      </c>
      <c r="J1129" s="12">
        <v>-81.717619999999997</v>
      </c>
      <c r="K1129" s="12" t="s">
        <v>103</v>
      </c>
      <c r="L1129" s="12" t="s">
        <v>28</v>
      </c>
      <c r="N1129" s="12">
        <v>657.89473680000003</v>
      </c>
      <c r="O1129" s="12" t="s">
        <v>876</v>
      </c>
      <c r="P1129" s="12">
        <v>657.89473680000003</v>
      </c>
      <c r="Q1129" s="12" t="s">
        <v>107</v>
      </c>
    </row>
    <row r="1130" spans="1:17" x14ac:dyDescent="0.35">
      <c r="A1130" s="12">
        <v>85</v>
      </c>
      <c r="B1130" s="12" t="s">
        <v>2037</v>
      </c>
      <c r="C1130" s="12">
        <v>2020</v>
      </c>
      <c r="D1130" s="12" t="s">
        <v>178</v>
      </c>
      <c r="E1130" s="13" t="s">
        <v>2038</v>
      </c>
      <c r="F1130" s="12" t="s">
        <v>2039</v>
      </c>
      <c r="G1130" s="12" t="s">
        <v>86</v>
      </c>
      <c r="H1130" s="12" t="s">
        <v>1869</v>
      </c>
      <c r="I1130" s="12">
        <v>41.515689999999999</v>
      </c>
      <c r="J1130" s="12">
        <v>-81.717619999999997</v>
      </c>
      <c r="K1130" s="12" t="s">
        <v>103</v>
      </c>
      <c r="L1130" s="12" t="s">
        <v>28</v>
      </c>
      <c r="N1130" s="12">
        <v>187.21461189999999</v>
      </c>
      <c r="O1130" s="12" t="s">
        <v>876</v>
      </c>
      <c r="P1130" s="12">
        <v>187.21461189999999</v>
      </c>
      <c r="Q1130" s="12" t="s">
        <v>107</v>
      </c>
    </row>
    <row r="1131" spans="1:17" x14ac:dyDescent="0.35">
      <c r="A1131" s="12">
        <v>85</v>
      </c>
      <c r="B1131" s="12" t="s">
        <v>2037</v>
      </c>
      <c r="C1131" s="12">
        <v>2020</v>
      </c>
      <c r="D1131" s="12" t="s">
        <v>178</v>
      </c>
      <c r="E1131" s="13" t="s">
        <v>2038</v>
      </c>
      <c r="F1131" s="12" t="s">
        <v>2039</v>
      </c>
      <c r="G1131" s="12" t="s">
        <v>86</v>
      </c>
      <c r="H1131" s="12" t="s">
        <v>1869</v>
      </c>
      <c r="I1131" s="12">
        <v>41.515689999999999</v>
      </c>
      <c r="J1131" s="12">
        <v>-81.717619999999997</v>
      </c>
      <c r="K1131" s="12" t="s">
        <v>103</v>
      </c>
      <c r="L1131" s="12" t="s">
        <v>28</v>
      </c>
      <c r="N1131" s="12">
        <v>350</v>
      </c>
      <c r="O1131" s="12" t="s">
        <v>876</v>
      </c>
      <c r="P1131" s="12">
        <v>350</v>
      </c>
      <c r="Q1131" s="12" t="s">
        <v>107</v>
      </c>
    </row>
    <row r="1132" spans="1:17" x14ac:dyDescent="0.35">
      <c r="A1132" s="12">
        <v>85</v>
      </c>
      <c r="B1132" s="12" t="s">
        <v>2037</v>
      </c>
      <c r="C1132" s="12">
        <v>2020</v>
      </c>
      <c r="D1132" s="12" t="s">
        <v>178</v>
      </c>
      <c r="E1132" s="13" t="s">
        <v>2038</v>
      </c>
      <c r="F1132" s="12" t="s">
        <v>2039</v>
      </c>
      <c r="G1132" s="12" t="s">
        <v>86</v>
      </c>
      <c r="H1132" s="12" t="s">
        <v>1869</v>
      </c>
      <c r="I1132" s="12">
        <v>41.515689999999999</v>
      </c>
      <c r="J1132" s="12">
        <v>-81.717619999999997</v>
      </c>
      <c r="K1132" s="12" t="s">
        <v>103</v>
      </c>
      <c r="L1132" s="12" t="s">
        <v>28</v>
      </c>
      <c r="N1132" s="12">
        <v>714.2857143</v>
      </c>
      <c r="O1132" s="12" t="s">
        <v>876</v>
      </c>
      <c r="P1132" s="12">
        <v>714.2857143</v>
      </c>
      <c r="Q1132" s="12" t="s">
        <v>107</v>
      </c>
    </row>
    <row r="1133" spans="1:17" x14ac:dyDescent="0.35">
      <c r="A1133" s="12">
        <v>85</v>
      </c>
      <c r="B1133" s="12" t="s">
        <v>2037</v>
      </c>
      <c r="C1133" s="12">
        <v>2020</v>
      </c>
      <c r="D1133" s="12" t="s">
        <v>178</v>
      </c>
      <c r="E1133" s="13" t="s">
        <v>2038</v>
      </c>
      <c r="F1133" s="12" t="s">
        <v>2039</v>
      </c>
      <c r="G1133" s="12" t="s">
        <v>86</v>
      </c>
      <c r="H1133" s="12" t="s">
        <v>1869</v>
      </c>
      <c r="I1133" s="12">
        <v>41.515689999999999</v>
      </c>
      <c r="J1133" s="12">
        <v>-81.717619999999997</v>
      </c>
      <c r="K1133" s="12" t="s">
        <v>103</v>
      </c>
      <c r="L1133" s="12" t="s">
        <v>28</v>
      </c>
      <c r="N1133" s="12">
        <v>1000</v>
      </c>
      <c r="O1133" s="12" t="s">
        <v>876</v>
      </c>
      <c r="P1133" s="12">
        <v>1000</v>
      </c>
      <c r="Q1133" s="12" t="s">
        <v>107</v>
      </c>
    </row>
    <row r="1134" spans="1:17" x14ac:dyDescent="0.35">
      <c r="A1134" s="12">
        <v>85</v>
      </c>
      <c r="B1134" s="12" t="s">
        <v>2037</v>
      </c>
      <c r="C1134" s="12">
        <v>2020</v>
      </c>
      <c r="D1134" s="12" t="s">
        <v>178</v>
      </c>
      <c r="E1134" s="13" t="s">
        <v>2038</v>
      </c>
      <c r="F1134" s="12" t="s">
        <v>2039</v>
      </c>
      <c r="G1134" s="12" t="s">
        <v>86</v>
      </c>
      <c r="H1134" s="12" t="s">
        <v>1869</v>
      </c>
      <c r="I1134" s="12">
        <v>41.515689999999999</v>
      </c>
      <c r="J1134" s="12">
        <v>-81.717619999999997</v>
      </c>
      <c r="K1134" s="12" t="s">
        <v>103</v>
      </c>
      <c r="L1134" s="12" t="s">
        <v>28</v>
      </c>
      <c r="N1134" s="12">
        <v>3955.5555559999998</v>
      </c>
      <c r="O1134" s="12" t="s">
        <v>876</v>
      </c>
      <c r="P1134" s="12">
        <v>3955.5555559999998</v>
      </c>
      <c r="Q1134" s="12" t="s">
        <v>107</v>
      </c>
    </row>
    <row r="1135" spans="1:17" x14ac:dyDescent="0.35">
      <c r="A1135" s="12">
        <v>85</v>
      </c>
      <c r="B1135" s="12" t="s">
        <v>2037</v>
      </c>
      <c r="C1135" s="12">
        <v>2020</v>
      </c>
      <c r="D1135" s="12" t="s">
        <v>178</v>
      </c>
      <c r="E1135" s="13" t="s">
        <v>2038</v>
      </c>
      <c r="F1135" s="12" t="s">
        <v>2039</v>
      </c>
      <c r="G1135" s="12" t="s">
        <v>86</v>
      </c>
      <c r="H1135" s="12" t="s">
        <v>1869</v>
      </c>
      <c r="I1135" s="12">
        <v>41.515689999999999</v>
      </c>
      <c r="J1135" s="12">
        <v>-81.717619999999997</v>
      </c>
      <c r="K1135" s="12" t="s">
        <v>103</v>
      </c>
      <c r="L1135" s="12" t="s">
        <v>28</v>
      </c>
      <c r="N1135" s="12">
        <v>22.727272729999999</v>
      </c>
      <c r="O1135" s="12" t="s">
        <v>876</v>
      </c>
      <c r="P1135" s="12">
        <v>22.727272729999999</v>
      </c>
      <c r="Q1135" s="12" t="s">
        <v>107</v>
      </c>
    </row>
    <row r="1136" spans="1:17" x14ac:dyDescent="0.35">
      <c r="A1136" s="12">
        <v>85</v>
      </c>
      <c r="B1136" s="12" t="s">
        <v>2037</v>
      </c>
      <c r="C1136" s="12">
        <v>2020</v>
      </c>
      <c r="D1136" s="12" t="s">
        <v>178</v>
      </c>
      <c r="E1136" s="13" t="s">
        <v>2050</v>
      </c>
      <c r="F1136" s="12" t="s">
        <v>2039</v>
      </c>
      <c r="G1136" s="12" t="s">
        <v>86</v>
      </c>
      <c r="H1136" s="12" t="s">
        <v>2051</v>
      </c>
      <c r="I1136" s="12">
        <v>42.123890000000003</v>
      </c>
      <c r="J1136" s="12">
        <v>-87.092389999999995</v>
      </c>
      <c r="K1136" s="12" t="s">
        <v>103</v>
      </c>
      <c r="L1136" s="12" t="s">
        <v>28</v>
      </c>
      <c r="N1136" s="12">
        <v>45.016077170000003</v>
      </c>
      <c r="O1136" s="12" t="s">
        <v>876</v>
      </c>
      <c r="P1136" s="12">
        <v>45.016077170000003</v>
      </c>
      <c r="Q1136" s="12" t="s">
        <v>107</v>
      </c>
    </row>
    <row r="1137" spans="1:17" x14ac:dyDescent="0.35">
      <c r="A1137" s="12">
        <v>85</v>
      </c>
      <c r="B1137" s="12" t="s">
        <v>2037</v>
      </c>
      <c r="C1137" s="12">
        <v>2020</v>
      </c>
      <c r="D1137" s="12" t="s">
        <v>178</v>
      </c>
      <c r="E1137" s="13" t="s">
        <v>2050</v>
      </c>
      <c r="F1137" s="12" t="s">
        <v>2039</v>
      </c>
      <c r="G1137" s="12" t="s">
        <v>86</v>
      </c>
      <c r="H1137" s="12" t="s">
        <v>2051</v>
      </c>
      <c r="I1137" s="12">
        <v>42.123890000000003</v>
      </c>
      <c r="J1137" s="12">
        <v>-87.092389999999995</v>
      </c>
      <c r="K1137" s="12" t="s">
        <v>103</v>
      </c>
      <c r="L1137" s="12" t="s">
        <v>28</v>
      </c>
      <c r="N1137" s="12">
        <v>43.956043960000002</v>
      </c>
      <c r="O1137" s="12" t="s">
        <v>876</v>
      </c>
      <c r="P1137" s="12">
        <v>43.956043960000002</v>
      </c>
      <c r="Q1137" s="12" t="s">
        <v>107</v>
      </c>
    </row>
    <row r="1138" spans="1:17" x14ac:dyDescent="0.35">
      <c r="A1138" s="12">
        <v>85</v>
      </c>
      <c r="B1138" s="12" t="s">
        <v>2037</v>
      </c>
      <c r="C1138" s="12">
        <v>2020</v>
      </c>
      <c r="D1138" s="12" t="s">
        <v>178</v>
      </c>
      <c r="E1138" s="13" t="s">
        <v>2050</v>
      </c>
      <c r="F1138" s="12" t="s">
        <v>2039</v>
      </c>
      <c r="G1138" s="12" t="s">
        <v>86</v>
      </c>
      <c r="H1138" s="12" t="s">
        <v>2051</v>
      </c>
      <c r="I1138" s="12">
        <v>42.123890000000003</v>
      </c>
      <c r="J1138" s="12">
        <v>-87.092389999999995</v>
      </c>
      <c r="K1138" s="12" t="s">
        <v>103</v>
      </c>
      <c r="L1138" s="12" t="s">
        <v>28</v>
      </c>
      <c r="N1138" s="12">
        <v>28.985507250000001</v>
      </c>
      <c r="O1138" s="12" t="s">
        <v>876</v>
      </c>
      <c r="P1138" s="12">
        <v>28.985507250000001</v>
      </c>
      <c r="Q1138" s="12" t="s">
        <v>107</v>
      </c>
    </row>
    <row r="1139" spans="1:17" x14ac:dyDescent="0.35">
      <c r="A1139" s="12">
        <v>85</v>
      </c>
      <c r="B1139" s="12" t="s">
        <v>2037</v>
      </c>
      <c r="C1139" s="12">
        <v>2020</v>
      </c>
      <c r="D1139" s="12" t="s">
        <v>178</v>
      </c>
      <c r="E1139" s="13" t="s">
        <v>2050</v>
      </c>
      <c r="F1139" s="12" t="s">
        <v>2039</v>
      </c>
      <c r="G1139" s="12" t="s">
        <v>86</v>
      </c>
      <c r="H1139" s="12" t="s">
        <v>2051</v>
      </c>
      <c r="I1139" s="12">
        <v>42.123890000000003</v>
      </c>
      <c r="J1139" s="12">
        <v>-87.092389999999995</v>
      </c>
      <c r="K1139" s="12" t="s">
        <v>103</v>
      </c>
      <c r="L1139" s="12" t="s">
        <v>28</v>
      </c>
      <c r="N1139" s="12">
        <v>318.03278690000002</v>
      </c>
      <c r="O1139" s="12" t="s">
        <v>876</v>
      </c>
      <c r="P1139" s="12">
        <v>318.03278690000002</v>
      </c>
      <c r="Q1139" s="12" t="s">
        <v>107</v>
      </c>
    </row>
    <row r="1140" spans="1:17" x14ac:dyDescent="0.35">
      <c r="A1140" s="12">
        <v>85</v>
      </c>
      <c r="B1140" s="12" t="s">
        <v>2037</v>
      </c>
      <c r="C1140" s="12">
        <v>2020</v>
      </c>
      <c r="D1140" s="12" t="s">
        <v>178</v>
      </c>
      <c r="E1140" s="13" t="s">
        <v>2050</v>
      </c>
      <c r="F1140" s="12" t="s">
        <v>2039</v>
      </c>
      <c r="G1140" s="12" t="s">
        <v>86</v>
      </c>
      <c r="H1140" s="12" t="s">
        <v>2051</v>
      </c>
      <c r="I1140" s="12">
        <v>42.123890000000003</v>
      </c>
      <c r="J1140" s="12">
        <v>-87.092389999999995</v>
      </c>
      <c r="K1140" s="12" t="s">
        <v>103</v>
      </c>
      <c r="L1140" s="12" t="s">
        <v>28</v>
      </c>
      <c r="N1140" s="12">
        <v>48.148148149999997</v>
      </c>
      <c r="O1140" s="12" t="s">
        <v>876</v>
      </c>
      <c r="P1140" s="12">
        <v>48.148148149999997</v>
      </c>
      <c r="Q1140" s="12" t="s">
        <v>107</v>
      </c>
    </row>
    <row r="1141" spans="1:17" x14ac:dyDescent="0.35">
      <c r="A1141" s="12">
        <v>85</v>
      </c>
      <c r="B1141" s="12" t="s">
        <v>2037</v>
      </c>
      <c r="C1141" s="12">
        <v>2020</v>
      </c>
      <c r="D1141" s="12" t="s">
        <v>178</v>
      </c>
      <c r="E1141" s="13" t="s">
        <v>2050</v>
      </c>
      <c r="F1141" s="12" t="s">
        <v>2039</v>
      </c>
      <c r="G1141" s="12" t="s">
        <v>86</v>
      </c>
      <c r="H1141" s="12" t="s">
        <v>2051</v>
      </c>
      <c r="I1141" s="12">
        <v>42.123890000000003</v>
      </c>
      <c r="J1141" s="12">
        <v>-87.092389999999995</v>
      </c>
      <c r="K1141" s="12" t="s">
        <v>103</v>
      </c>
      <c r="L1141" s="12" t="s">
        <v>28</v>
      </c>
      <c r="N1141" s="12">
        <v>52.795031059999999</v>
      </c>
      <c r="O1141" s="12" t="s">
        <v>876</v>
      </c>
      <c r="P1141" s="12">
        <v>52.795031059999999</v>
      </c>
      <c r="Q1141" s="12" t="s">
        <v>107</v>
      </c>
    </row>
    <row r="1142" spans="1:17" x14ac:dyDescent="0.35">
      <c r="A1142" s="12">
        <v>85</v>
      </c>
      <c r="B1142" s="12" t="s">
        <v>2037</v>
      </c>
      <c r="C1142" s="12">
        <v>2020</v>
      </c>
      <c r="D1142" s="12" t="s">
        <v>178</v>
      </c>
      <c r="E1142" s="13" t="s">
        <v>2050</v>
      </c>
      <c r="F1142" s="12" t="s">
        <v>2039</v>
      </c>
      <c r="G1142" s="12" t="s">
        <v>86</v>
      </c>
      <c r="H1142" s="12" t="s">
        <v>2051</v>
      </c>
      <c r="I1142" s="12">
        <v>42.123890000000003</v>
      </c>
      <c r="J1142" s="12">
        <v>-87.092389999999995</v>
      </c>
      <c r="K1142" s="12" t="s">
        <v>103</v>
      </c>
      <c r="L1142" s="12" t="s">
        <v>28</v>
      </c>
      <c r="N1142" s="12">
        <v>9.1463414630000006</v>
      </c>
      <c r="O1142" s="12" t="s">
        <v>876</v>
      </c>
      <c r="P1142" s="12">
        <v>9.1463414630000006</v>
      </c>
      <c r="Q1142" s="12" t="s">
        <v>107</v>
      </c>
    </row>
    <row r="1143" spans="1:17" x14ac:dyDescent="0.35">
      <c r="A1143" s="12">
        <v>85</v>
      </c>
      <c r="B1143" s="12" t="s">
        <v>2037</v>
      </c>
      <c r="C1143" s="12">
        <v>2020</v>
      </c>
      <c r="D1143" s="12" t="s">
        <v>178</v>
      </c>
      <c r="E1143" s="13" t="s">
        <v>2050</v>
      </c>
      <c r="F1143" s="12" t="s">
        <v>2039</v>
      </c>
      <c r="G1143" s="12" t="s">
        <v>86</v>
      </c>
      <c r="H1143" s="12" t="s">
        <v>2051</v>
      </c>
      <c r="I1143" s="12">
        <v>42.123890000000003</v>
      </c>
      <c r="J1143" s="12">
        <v>-87.092389999999995</v>
      </c>
      <c r="K1143" s="12" t="s">
        <v>103</v>
      </c>
      <c r="L1143" s="12" t="s">
        <v>28</v>
      </c>
      <c r="N1143" s="12">
        <v>28.571428569999998</v>
      </c>
      <c r="O1143" s="12" t="s">
        <v>876</v>
      </c>
      <c r="P1143" s="12">
        <v>28.571428569999998</v>
      </c>
      <c r="Q1143" s="12" t="s">
        <v>107</v>
      </c>
    </row>
    <row r="1144" spans="1:17" x14ac:dyDescent="0.35">
      <c r="A1144" s="12">
        <v>85</v>
      </c>
      <c r="B1144" s="12" t="s">
        <v>2037</v>
      </c>
      <c r="C1144" s="12">
        <v>2020</v>
      </c>
      <c r="D1144" s="12" t="s">
        <v>178</v>
      </c>
      <c r="E1144" s="13" t="s">
        <v>2050</v>
      </c>
      <c r="F1144" s="12" t="s">
        <v>2039</v>
      </c>
      <c r="G1144" s="12" t="s">
        <v>86</v>
      </c>
      <c r="H1144" s="12" t="s">
        <v>2051</v>
      </c>
      <c r="I1144" s="12">
        <v>42.123890000000003</v>
      </c>
      <c r="J1144" s="12">
        <v>-87.092389999999995</v>
      </c>
      <c r="K1144" s="12" t="s">
        <v>103</v>
      </c>
      <c r="L1144" s="12" t="s">
        <v>28</v>
      </c>
      <c r="N1144" s="12">
        <v>73.170731709999998</v>
      </c>
      <c r="O1144" s="12" t="s">
        <v>876</v>
      </c>
      <c r="P1144" s="12">
        <v>73.170731709999998</v>
      </c>
      <c r="Q1144" s="12" t="s">
        <v>107</v>
      </c>
    </row>
    <row r="1145" spans="1:17" x14ac:dyDescent="0.35">
      <c r="A1145" s="12">
        <v>85</v>
      </c>
      <c r="B1145" s="12" t="s">
        <v>2037</v>
      </c>
      <c r="C1145" s="12">
        <v>2020</v>
      </c>
      <c r="D1145" s="12" t="s">
        <v>178</v>
      </c>
      <c r="E1145" s="13" t="s">
        <v>2050</v>
      </c>
      <c r="F1145" s="12" t="s">
        <v>2039</v>
      </c>
      <c r="G1145" s="12" t="s">
        <v>86</v>
      </c>
      <c r="H1145" s="12" t="s">
        <v>2051</v>
      </c>
      <c r="I1145" s="12">
        <v>42.123890000000003</v>
      </c>
      <c r="J1145" s="12">
        <v>-87.092389999999995</v>
      </c>
      <c r="K1145" s="12" t="s">
        <v>103</v>
      </c>
      <c r="L1145" s="12" t="s">
        <v>28</v>
      </c>
      <c r="N1145" s="12">
        <v>41.009463719999999</v>
      </c>
      <c r="O1145" s="12" t="s">
        <v>876</v>
      </c>
      <c r="P1145" s="12">
        <v>41.009463719999999</v>
      </c>
      <c r="Q1145" s="12" t="s">
        <v>107</v>
      </c>
    </row>
    <row r="1146" spans="1:17" x14ac:dyDescent="0.35">
      <c r="A1146" s="12">
        <v>85</v>
      </c>
      <c r="B1146" s="12" t="s">
        <v>2037</v>
      </c>
      <c r="C1146" s="12">
        <v>2020</v>
      </c>
      <c r="D1146" s="12" t="s">
        <v>178</v>
      </c>
      <c r="E1146" s="13" t="s">
        <v>2050</v>
      </c>
      <c r="F1146" s="12" t="s">
        <v>2039</v>
      </c>
      <c r="G1146" s="12" t="s">
        <v>86</v>
      </c>
      <c r="H1146" s="12" t="s">
        <v>2051</v>
      </c>
      <c r="I1146" s="12">
        <v>42.123890000000003</v>
      </c>
      <c r="J1146" s="12">
        <v>-87.092389999999995</v>
      </c>
      <c r="K1146" s="12" t="s">
        <v>103</v>
      </c>
      <c r="L1146" s="12" t="s">
        <v>28</v>
      </c>
      <c r="N1146" s="12">
        <v>42.345276869999999</v>
      </c>
      <c r="O1146" s="12" t="s">
        <v>876</v>
      </c>
      <c r="P1146" s="12">
        <v>42.345276869999999</v>
      </c>
      <c r="Q1146" s="12" t="s">
        <v>107</v>
      </c>
    </row>
    <row r="1147" spans="1:17" x14ac:dyDescent="0.35">
      <c r="A1147" s="12">
        <v>85</v>
      </c>
      <c r="B1147" s="12" t="s">
        <v>2037</v>
      </c>
      <c r="C1147" s="12">
        <v>2020</v>
      </c>
      <c r="D1147" s="12" t="s">
        <v>178</v>
      </c>
      <c r="E1147" s="13" t="s">
        <v>2050</v>
      </c>
      <c r="F1147" s="12" t="s">
        <v>2039</v>
      </c>
      <c r="G1147" s="12" t="s">
        <v>86</v>
      </c>
      <c r="H1147" s="12" t="s">
        <v>2051</v>
      </c>
      <c r="I1147" s="12">
        <v>42.123890000000003</v>
      </c>
      <c r="J1147" s="12">
        <v>-87.092389999999995</v>
      </c>
      <c r="K1147" s="12" t="s">
        <v>103</v>
      </c>
      <c r="L1147" s="12" t="s">
        <v>28</v>
      </c>
      <c r="N1147" s="12">
        <v>18.75</v>
      </c>
      <c r="O1147" s="12" t="s">
        <v>876</v>
      </c>
      <c r="P1147" s="12">
        <v>18.75</v>
      </c>
      <c r="Q1147" s="12" t="s">
        <v>107</v>
      </c>
    </row>
    <row r="1148" spans="1:17" x14ac:dyDescent="0.35">
      <c r="A1148" s="12">
        <v>85</v>
      </c>
      <c r="B1148" s="12" t="s">
        <v>2037</v>
      </c>
      <c r="C1148" s="12">
        <v>2020</v>
      </c>
      <c r="D1148" s="12" t="s">
        <v>178</v>
      </c>
      <c r="E1148" s="13" t="s">
        <v>2050</v>
      </c>
      <c r="F1148" s="12" t="s">
        <v>2039</v>
      </c>
      <c r="G1148" s="12" t="s">
        <v>86</v>
      </c>
      <c r="H1148" s="12" t="s">
        <v>2051</v>
      </c>
      <c r="I1148" s="12">
        <v>42.123890000000003</v>
      </c>
      <c r="J1148" s="12">
        <v>-87.092389999999995</v>
      </c>
      <c r="K1148" s="12" t="s">
        <v>103</v>
      </c>
      <c r="L1148" s="12" t="s">
        <v>28</v>
      </c>
      <c r="N1148" s="12">
        <v>41.15226337</v>
      </c>
      <c r="O1148" s="12" t="s">
        <v>876</v>
      </c>
      <c r="P1148" s="12">
        <v>41.15226337</v>
      </c>
      <c r="Q1148" s="12" t="s">
        <v>107</v>
      </c>
    </row>
    <row r="1149" spans="1:17" x14ac:dyDescent="0.35">
      <c r="A1149" s="12">
        <v>85</v>
      </c>
      <c r="B1149" s="12" t="s">
        <v>2037</v>
      </c>
      <c r="C1149" s="12">
        <v>2020</v>
      </c>
      <c r="D1149" s="12" t="s">
        <v>178</v>
      </c>
      <c r="E1149" s="13" t="s">
        <v>2050</v>
      </c>
      <c r="F1149" s="12" t="s">
        <v>2039</v>
      </c>
      <c r="G1149" s="12" t="s">
        <v>86</v>
      </c>
      <c r="H1149" s="12" t="s">
        <v>2051</v>
      </c>
      <c r="I1149" s="12">
        <v>42.123890000000003</v>
      </c>
      <c r="J1149" s="12">
        <v>-87.092389999999995</v>
      </c>
      <c r="K1149" s="12" t="s">
        <v>103</v>
      </c>
      <c r="L1149" s="12" t="s">
        <v>28</v>
      </c>
      <c r="N1149" s="12">
        <v>64.516129030000002</v>
      </c>
      <c r="O1149" s="12" t="s">
        <v>876</v>
      </c>
      <c r="P1149" s="12">
        <v>64.516129030000002</v>
      </c>
      <c r="Q1149" s="12" t="s">
        <v>107</v>
      </c>
    </row>
    <row r="1150" spans="1:17" x14ac:dyDescent="0.35">
      <c r="A1150" s="12">
        <v>85</v>
      </c>
      <c r="B1150" s="12" t="s">
        <v>2037</v>
      </c>
      <c r="C1150" s="12">
        <v>2020</v>
      </c>
      <c r="D1150" s="12" t="s">
        <v>178</v>
      </c>
      <c r="E1150" s="13" t="s">
        <v>2050</v>
      </c>
      <c r="F1150" s="12" t="s">
        <v>2039</v>
      </c>
      <c r="G1150" s="12" t="s">
        <v>86</v>
      </c>
      <c r="H1150" s="12" t="s">
        <v>2051</v>
      </c>
      <c r="I1150" s="12">
        <v>42.123890000000003</v>
      </c>
      <c r="J1150" s="12">
        <v>-87.092389999999995</v>
      </c>
      <c r="K1150" s="12" t="s">
        <v>103</v>
      </c>
      <c r="L1150" s="12" t="s">
        <v>28</v>
      </c>
      <c r="N1150" s="12">
        <v>77.611940300000001</v>
      </c>
      <c r="O1150" s="12" t="s">
        <v>876</v>
      </c>
      <c r="P1150" s="12">
        <v>77.611940300000001</v>
      </c>
      <c r="Q1150" s="12" t="s">
        <v>107</v>
      </c>
    </row>
    <row r="1151" spans="1:17" x14ac:dyDescent="0.35">
      <c r="A1151" s="12">
        <v>85</v>
      </c>
      <c r="B1151" s="12" t="s">
        <v>2037</v>
      </c>
      <c r="C1151" s="12">
        <v>2020</v>
      </c>
      <c r="D1151" s="12" t="s">
        <v>178</v>
      </c>
      <c r="E1151" s="13" t="s">
        <v>2050</v>
      </c>
      <c r="F1151" s="12" t="s">
        <v>2039</v>
      </c>
      <c r="G1151" s="12" t="s">
        <v>86</v>
      </c>
      <c r="H1151" s="12" t="s">
        <v>2051</v>
      </c>
      <c r="I1151" s="12">
        <v>42.123890000000003</v>
      </c>
      <c r="J1151" s="12">
        <v>-87.092389999999995</v>
      </c>
      <c r="K1151" s="12" t="s">
        <v>103</v>
      </c>
      <c r="L1151" s="12" t="s">
        <v>28</v>
      </c>
      <c r="N1151" s="12">
        <v>42.424242419999999</v>
      </c>
      <c r="O1151" s="12" t="s">
        <v>876</v>
      </c>
      <c r="P1151" s="12">
        <v>42.424242419999999</v>
      </c>
      <c r="Q1151" s="12" t="s">
        <v>107</v>
      </c>
    </row>
    <row r="1152" spans="1:17" x14ac:dyDescent="0.35">
      <c r="A1152" s="12">
        <v>85</v>
      </c>
      <c r="B1152" s="12" t="s">
        <v>2037</v>
      </c>
      <c r="C1152" s="12">
        <v>2020</v>
      </c>
      <c r="D1152" s="12" t="s">
        <v>178</v>
      </c>
      <c r="E1152" s="13" t="s">
        <v>2050</v>
      </c>
      <c r="F1152" s="12" t="s">
        <v>2039</v>
      </c>
      <c r="G1152" s="12" t="s">
        <v>86</v>
      </c>
      <c r="H1152" s="12" t="s">
        <v>2051</v>
      </c>
      <c r="I1152" s="12">
        <v>42.123890000000003</v>
      </c>
      <c r="J1152" s="12">
        <v>-87.092389999999995</v>
      </c>
      <c r="K1152" s="12" t="s">
        <v>103</v>
      </c>
      <c r="L1152" s="12" t="s">
        <v>28</v>
      </c>
      <c r="N1152" s="12">
        <v>113.44537819999999</v>
      </c>
      <c r="O1152" s="12" t="s">
        <v>876</v>
      </c>
      <c r="P1152" s="12">
        <v>113.44537819999999</v>
      </c>
      <c r="Q1152" s="12" t="s">
        <v>107</v>
      </c>
    </row>
    <row r="1153" spans="1:19" x14ac:dyDescent="0.35">
      <c r="A1153" s="12">
        <v>85</v>
      </c>
      <c r="B1153" s="12" t="s">
        <v>2037</v>
      </c>
      <c r="C1153" s="12">
        <v>2020</v>
      </c>
      <c r="D1153" s="12" t="s">
        <v>178</v>
      </c>
      <c r="E1153" s="13" t="s">
        <v>2050</v>
      </c>
      <c r="F1153" s="12" t="s">
        <v>2039</v>
      </c>
      <c r="G1153" s="12" t="s">
        <v>86</v>
      </c>
      <c r="H1153" s="12" t="s">
        <v>2051</v>
      </c>
      <c r="I1153" s="12">
        <v>42.123890000000003</v>
      </c>
      <c r="J1153" s="12">
        <v>-87.092389999999995</v>
      </c>
      <c r="K1153" s="12" t="s">
        <v>103</v>
      </c>
      <c r="L1153" s="12" t="s">
        <v>28</v>
      </c>
      <c r="N1153" s="12">
        <v>87.5</v>
      </c>
      <c r="O1153" s="12" t="s">
        <v>876</v>
      </c>
      <c r="P1153" s="12">
        <v>87.5</v>
      </c>
      <c r="Q1153" s="12" t="s">
        <v>107</v>
      </c>
    </row>
    <row r="1154" spans="1:19" x14ac:dyDescent="0.35">
      <c r="A1154" s="12">
        <v>85</v>
      </c>
      <c r="B1154" s="12" t="s">
        <v>2037</v>
      </c>
      <c r="C1154" s="12">
        <v>2020</v>
      </c>
      <c r="D1154" s="12" t="s">
        <v>178</v>
      </c>
      <c r="E1154" s="13" t="s">
        <v>2050</v>
      </c>
      <c r="F1154" s="12" t="s">
        <v>2039</v>
      </c>
      <c r="G1154" s="12" t="s">
        <v>86</v>
      </c>
      <c r="H1154" s="12" t="s">
        <v>2051</v>
      </c>
      <c r="I1154" s="12">
        <v>42.123890000000003</v>
      </c>
      <c r="J1154" s="12">
        <v>-87.092389999999995</v>
      </c>
      <c r="K1154" s="12" t="s">
        <v>103</v>
      </c>
      <c r="L1154" s="12" t="s">
        <v>28</v>
      </c>
      <c r="N1154" s="12">
        <v>104.37710439999999</v>
      </c>
      <c r="O1154" s="12" t="s">
        <v>876</v>
      </c>
      <c r="P1154" s="12">
        <v>104.37710439999999</v>
      </c>
      <c r="Q1154" s="12" t="s">
        <v>107</v>
      </c>
    </row>
    <row r="1155" spans="1:19" x14ac:dyDescent="0.35">
      <c r="A1155" s="12">
        <v>86</v>
      </c>
      <c r="B1155" s="12" t="s">
        <v>2076</v>
      </c>
      <c r="C1155" s="12">
        <v>2025</v>
      </c>
      <c r="D1155" s="12" t="s">
        <v>2077</v>
      </c>
      <c r="E1155" s="13" t="s">
        <v>2078</v>
      </c>
      <c r="F1155" s="12" t="s">
        <v>2079</v>
      </c>
      <c r="G1155" s="12" t="s">
        <v>54</v>
      </c>
      <c r="H1155" s="12" t="s">
        <v>2080</v>
      </c>
      <c r="I1155" s="41">
        <v>49.304997</v>
      </c>
      <c r="J1155" s="12">
        <v>-124.241559</v>
      </c>
      <c r="K1155" s="12" t="s">
        <v>138</v>
      </c>
      <c r="L1155" s="12" t="s">
        <v>163</v>
      </c>
      <c r="N1155" s="12">
        <v>77</v>
      </c>
      <c r="O1155" s="15" t="s">
        <v>2082</v>
      </c>
      <c r="P1155" s="12">
        <v>77</v>
      </c>
      <c r="Q1155" s="12" t="s">
        <v>107</v>
      </c>
      <c r="S1155" s="13"/>
    </row>
    <row r="1156" spans="1:19" x14ac:dyDescent="0.35">
      <c r="A1156" s="12">
        <v>86</v>
      </c>
      <c r="B1156" s="12" t="s">
        <v>2076</v>
      </c>
      <c r="C1156" s="12">
        <v>2025</v>
      </c>
      <c r="D1156" s="12" t="s">
        <v>2077</v>
      </c>
      <c r="E1156" s="13" t="s">
        <v>2083</v>
      </c>
      <c r="F1156" s="12" t="s">
        <v>2079</v>
      </c>
      <c r="G1156" s="12" t="s">
        <v>54</v>
      </c>
      <c r="H1156" s="12" t="s">
        <v>2080</v>
      </c>
      <c r="I1156" s="41">
        <v>49.304355000000001</v>
      </c>
      <c r="J1156" s="12">
        <v>-124.244981</v>
      </c>
      <c r="K1156" s="12" t="s">
        <v>138</v>
      </c>
      <c r="L1156" s="12" t="s">
        <v>163</v>
      </c>
      <c r="N1156" s="18">
        <v>75</v>
      </c>
      <c r="O1156" s="15" t="s">
        <v>387</v>
      </c>
      <c r="P1156" s="12">
        <v>75</v>
      </c>
      <c r="Q1156" s="12" t="s">
        <v>107</v>
      </c>
      <c r="S1156" s="13"/>
    </row>
    <row r="1157" spans="1:19" x14ac:dyDescent="0.35">
      <c r="A1157" s="12">
        <v>86</v>
      </c>
      <c r="B1157" s="12" t="s">
        <v>2076</v>
      </c>
      <c r="C1157" s="12">
        <v>2025</v>
      </c>
      <c r="D1157" s="12" t="s">
        <v>2077</v>
      </c>
      <c r="E1157" s="13" t="s">
        <v>2083</v>
      </c>
      <c r="F1157" s="12" t="s">
        <v>2079</v>
      </c>
      <c r="G1157" s="12" t="s">
        <v>54</v>
      </c>
      <c r="H1157" s="12" t="s">
        <v>2080</v>
      </c>
      <c r="I1157" s="41">
        <v>49.303866999999997</v>
      </c>
      <c r="J1157" s="12">
        <v>-124.250134</v>
      </c>
      <c r="K1157" s="12" t="s">
        <v>138</v>
      </c>
      <c r="L1157" s="12" t="s">
        <v>163</v>
      </c>
      <c r="N1157" s="18">
        <v>268</v>
      </c>
      <c r="O1157" s="15" t="s">
        <v>387</v>
      </c>
      <c r="P1157" s="12">
        <v>268</v>
      </c>
      <c r="Q1157" s="12" t="s">
        <v>107</v>
      </c>
      <c r="S1157" s="13"/>
    </row>
    <row r="1158" spans="1:19" x14ac:dyDescent="0.35">
      <c r="A1158" s="12">
        <v>86</v>
      </c>
      <c r="B1158" s="12" t="s">
        <v>2076</v>
      </c>
      <c r="C1158" s="12">
        <v>2025</v>
      </c>
      <c r="D1158" s="12" t="s">
        <v>2077</v>
      </c>
      <c r="E1158" s="13" t="s">
        <v>2083</v>
      </c>
      <c r="F1158" s="12" t="s">
        <v>2079</v>
      </c>
      <c r="G1158" s="12" t="s">
        <v>54</v>
      </c>
      <c r="H1158" s="12" t="s">
        <v>2080</v>
      </c>
      <c r="I1158" s="41">
        <v>49.305345000000003</v>
      </c>
      <c r="J1158" s="12">
        <v>-124.253726</v>
      </c>
      <c r="K1158" s="12" t="s">
        <v>138</v>
      </c>
      <c r="L1158" s="12" t="s">
        <v>163</v>
      </c>
      <c r="N1158" s="18">
        <v>203</v>
      </c>
      <c r="O1158" s="15" t="s">
        <v>387</v>
      </c>
      <c r="P1158" s="12">
        <v>203</v>
      </c>
      <c r="Q1158" s="12" t="s">
        <v>107</v>
      </c>
      <c r="S1158" s="13"/>
    </row>
    <row r="1159" spans="1:19" x14ac:dyDescent="0.35">
      <c r="A1159" s="12">
        <v>87</v>
      </c>
      <c r="B1159" s="12" t="s">
        <v>2084</v>
      </c>
      <c r="C1159" s="12">
        <v>2019</v>
      </c>
      <c r="D1159" s="12" t="s">
        <v>2085</v>
      </c>
      <c r="E1159" s="13" t="s">
        <v>2086</v>
      </c>
      <c r="F1159" s="12" t="s">
        <v>2087</v>
      </c>
      <c r="G1159" s="12" t="s">
        <v>54</v>
      </c>
      <c r="H1159" s="15" t="s">
        <v>2088</v>
      </c>
      <c r="I1159" s="28">
        <v>50.119950000000003</v>
      </c>
      <c r="J1159" s="28">
        <v>-125.227949</v>
      </c>
      <c r="K1159" s="12" t="s">
        <v>41</v>
      </c>
      <c r="L1159" s="12" t="s">
        <v>163</v>
      </c>
      <c r="M1159" s="12" t="s">
        <v>2089</v>
      </c>
      <c r="N1159" s="29">
        <v>1.7478260869565201</v>
      </c>
      <c r="O1159" s="12" t="s">
        <v>2004</v>
      </c>
      <c r="P1159" s="29">
        <v>1.7478260869565201</v>
      </c>
      <c r="Q1159" s="12" t="s">
        <v>59</v>
      </c>
    </row>
    <row r="1160" spans="1:19" x14ac:dyDescent="0.35">
      <c r="A1160" s="12">
        <v>87</v>
      </c>
      <c r="B1160" s="12" t="s">
        <v>2084</v>
      </c>
      <c r="C1160" s="12">
        <v>2019</v>
      </c>
      <c r="D1160" s="12" t="s">
        <v>2085</v>
      </c>
      <c r="E1160" s="13" t="s">
        <v>2086</v>
      </c>
      <c r="F1160" s="12" t="s">
        <v>2087</v>
      </c>
      <c r="G1160" s="12" t="s">
        <v>54</v>
      </c>
      <c r="H1160" s="15" t="s">
        <v>2091</v>
      </c>
      <c r="I1160" s="28">
        <v>50.121496</v>
      </c>
      <c r="J1160" s="28">
        <v>-125.23427100000001</v>
      </c>
      <c r="K1160" s="12" t="s">
        <v>41</v>
      </c>
      <c r="L1160" s="12" t="s">
        <v>163</v>
      </c>
      <c r="M1160" s="12" t="s">
        <v>2092</v>
      </c>
      <c r="N1160" s="29">
        <v>7.8260869565217203E-2</v>
      </c>
      <c r="O1160" s="12" t="s">
        <v>2004</v>
      </c>
      <c r="P1160" s="29">
        <v>7.8260869565217203E-2</v>
      </c>
      <c r="Q1160" s="12" t="s">
        <v>59</v>
      </c>
    </row>
    <row r="1161" spans="1:19" x14ac:dyDescent="0.35">
      <c r="A1161" s="12">
        <v>87</v>
      </c>
      <c r="B1161" s="12" t="s">
        <v>2084</v>
      </c>
      <c r="C1161" s="12">
        <v>2019</v>
      </c>
      <c r="D1161" s="12" t="s">
        <v>2085</v>
      </c>
      <c r="E1161" s="13" t="s">
        <v>2086</v>
      </c>
      <c r="F1161" s="12" t="s">
        <v>2087</v>
      </c>
      <c r="G1161" s="12" t="s">
        <v>54</v>
      </c>
      <c r="H1161" s="15" t="s">
        <v>2094</v>
      </c>
      <c r="I1161" s="28">
        <v>50.199317000000001</v>
      </c>
      <c r="J1161" s="28">
        <v>-125.06346600000001</v>
      </c>
      <c r="K1161" s="12" t="s">
        <v>41</v>
      </c>
      <c r="L1161" s="12" t="s">
        <v>163</v>
      </c>
      <c r="M1161" s="12" t="s">
        <v>2095</v>
      </c>
      <c r="N1161" s="29">
        <v>0.33913043478260801</v>
      </c>
      <c r="O1161" s="12" t="s">
        <v>2004</v>
      </c>
      <c r="P1161" s="29">
        <v>0.33913043478260801</v>
      </c>
      <c r="Q1161" s="12" t="s">
        <v>59</v>
      </c>
    </row>
    <row r="1162" spans="1:19" x14ac:dyDescent="0.35">
      <c r="A1162" s="12">
        <v>87</v>
      </c>
      <c r="B1162" s="12" t="s">
        <v>2084</v>
      </c>
      <c r="C1162" s="12">
        <v>2019</v>
      </c>
      <c r="D1162" s="12" t="s">
        <v>2085</v>
      </c>
      <c r="E1162" s="13" t="s">
        <v>2086</v>
      </c>
      <c r="F1162" s="12" t="s">
        <v>2087</v>
      </c>
      <c r="G1162" s="12" t="s">
        <v>54</v>
      </c>
      <c r="H1162" s="15" t="s">
        <v>2096</v>
      </c>
      <c r="I1162" s="28">
        <v>50.195278000000002</v>
      </c>
      <c r="J1162" s="28">
        <v>-125.066129</v>
      </c>
      <c r="K1162" s="12" t="s">
        <v>41</v>
      </c>
      <c r="L1162" s="12" t="s">
        <v>163</v>
      </c>
      <c r="M1162" s="12" t="s">
        <v>2097</v>
      </c>
      <c r="N1162" s="29">
        <v>0.46956521739130402</v>
      </c>
      <c r="O1162" s="12" t="s">
        <v>2004</v>
      </c>
      <c r="P1162" s="29">
        <v>0.46956521739130402</v>
      </c>
      <c r="Q1162" s="12" t="s">
        <v>59</v>
      </c>
    </row>
    <row r="1163" spans="1:19" x14ac:dyDescent="0.35">
      <c r="A1163" s="12">
        <v>87</v>
      </c>
      <c r="B1163" s="12" t="s">
        <v>2084</v>
      </c>
      <c r="C1163" s="12">
        <v>2019</v>
      </c>
      <c r="D1163" s="12" t="s">
        <v>2085</v>
      </c>
      <c r="E1163" s="13" t="s">
        <v>2086</v>
      </c>
      <c r="F1163" s="12" t="s">
        <v>2087</v>
      </c>
      <c r="G1163" s="12" t="s">
        <v>54</v>
      </c>
      <c r="H1163" s="12" t="s">
        <v>2099</v>
      </c>
      <c r="I1163" s="28">
        <v>50.017679999999999</v>
      </c>
      <c r="J1163" s="28">
        <v>-124.726366</v>
      </c>
      <c r="K1163" s="12" t="s">
        <v>41</v>
      </c>
      <c r="L1163" s="12" t="s">
        <v>163</v>
      </c>
      <c r="M1163" s="12" t="s">
        <v>2100</v>
      </c>
      <c r="N1163" s="29">
        <v>0.73043478260869599</v>
      </c>
      <c r="O1163" s="12" t="s">
        <v>2004</v>
      </c>
      <c r="P1163" s="29">
        <v>0.73043478260869599</v>
      </c>
      <c r="Q1163" s="12" t="s">
        <v>59</v>
      </c>
    </row>
    <row r="1164" spans="1:19" x14ac:dyDescent="0.35">
      <c r="A1164" s="12">
        <v>87</v>
      </c>
      <c r="B1164" s="12" t="s">
        <v>2084</v>
      </c>
      <c r="C1164" s="12">
        <v>2019</v>
      </c>
      <c r="D1164" s="12" t="s">
        <v>2085</v>
      </c>
      <c r="E1164" s="13" t="s">
        <v>2086</v>
      </c>
      <c r="F1164" s="12" t="s">
        <v>2087</v>
      </c>
      <c r="G1164" s="12" t="s">
        <v>54</v>
      </c>
      <c r="H1164" s="12" t="s">
        <v>2102</v>
      </c>
      <c r="I1164" s="28">
        <v>50.021819999999998</v>
      </c>
      <c r="J1164" s="28">
        <v>-124.731927</v>
      </c>
      <c r="K1164" s="12" t="s">
        <v>41</v>
      </c>
      <c r="L1164" s="12" t="s">
        <v>163</v>
      </c>
      <c r="M1164" s="12" t="s">
        <v>2103</v>
      </c>
      <c r="N1164" s="29">
        <v>1.6695652173913</v>
      </c>
      <c r="O1164" s="12" t="s">
        <v>2004</v>
      </c>
      <c r="P1164" s="29">
        <v>1.6695652173913</v>
      </c>
      <c r="Q1164" s="12" t="s">
        <v>59</v>
      </c>
    </row>
    <row r="1165" spans="1:19" x14ac:dyDescent="0.35">
      <c r="A1165" s="12">
        <v>87</v>
      </c>
      <c r="B1165" s="12" t="s">
        <v>2084</v>
      </c>
      <c r="C1165" s="12">
        <v>2019</v>
      </c>
      <c r="D1165" s="12" t="s">
        <v>2085</v>
      </c>
      <c r="E1165" s="13" t="s">
        <v>2086</v>
      </c>
      <c r="F1165" s="12" t="s">
        <v>2087</v>
      </c>
      <c r="G1165" s="12" t="s">
        <v>54</v>
      </c>
      <c r="H1165" s="12" t="s">
        <v>2105</v>
      </c>
      <c r="I1165" s="28">
        <v>49.971294</v>
      </c>
      <c r="J1165" s="28">
        <v>-124.68742</v>
      </c>
      <c r="K1165" s="12" t="s">
        <v>41</v>
      </c>
      <c r="L1165" s="12" t="s">
        <v>163</v>
      </c>
      <c r="M1165" s="12" t="s">
        <v>2106</v>
      </c>
      <c r="N1165" s="29">
        <v>0.31304347826086898</v>
      </c>
      <c r="O1165" s="12" t="s">
        <v>2004</v>
      </c>
      <c r="P1165" s="29">
        <v>0.31304347826086898</v>
      </c>
      <c r="Q1165" s="12" t="s">
        <v>59</v>
      </c>
    </row>
    <row r="1166" spans="1:19" x14ac:dyDescent="0.35">
      <c r="A1166" s="12">
        <v>87</v>
      </c>
      <c r="B1166" s="12" t="s">
        <v>2084</v>
      </c>
      <c r="C1166" s="12">
        <v>2019</v>
      </c>
      <c r="D1166" s="12" t="s">
        <v>2085</v>
      </c>
      <c r="E1166" s="13" t="s">
        <v>2086</v>
      </c>
      <c r="F1166" s="12" t="s">
        <v>2087</v>
      </c>
      <c r="G1166" s="12" t="s">
        <v>54</v>
      </c>
      <c r="H1166" s="12" t="s">
        <v>2108</v>
      </c>
      <c r="I1166" s="28">
        <v>49.965992</v>
      </c>
      <c r="J1166" s="28">
        <v>-124.683892</v>
      </c>
      <c r="K1166" s="12" t="s">
        <v>41</v>
      </c>
      <c r="L1166" s="12" t="s">
        <v>163</v>
      </c>
      <c r="M1166" s="12" t="s">
        <v>2109</v>
      </c>
      <c r="N1166" s="29">
        <v>0.182608695652174</v>
      </c>
      <c r="O1166" s="12" t="s">
        <v>2004</v>
      </c>
      <c r="P1166" s="29">
        <v>0.182608695652174</v>
      </c>
      <c r="Q1166" s="12" t="s">
        <v>59</v>
      </c>
    </row>
    <row r="1167" spans="1:19" x14ac:dyDescent="0.35">
      <c r="A1167" s="12">
        <v>87</v>
      </c>
      <c r="B1167" s="12" t="s">
        <v>2084</v>
      </c>
      <c r="C1167" s="12">
        <v>2019</v>
      </c>
      <c r="D1167" s="12" t="s">
        <v>2085</v>
      </c>
      <c r="E1167" s="13" t="s">
        <v>2086</v>
      </c>
      <c r="F1167" s="12" t="s">
        <v>2087</v>
      </c>
      <c r="G1167" s="12" t="s">
        <v>54</v>
      </c>
      <c r="H1167" s="15" t="s">
        <v>2111</v>
      </c>
      <c r="I1167" s="28">
        <v>49.504444999999997</v>
      </c>
      <c r="J1167" s="28">
        <v>-124.809876</v>
      </c>
      <c r="K1167" s="12" t="s">
        <v>41</v>
      </c>
      <c r="L1167" s="12" t="s">
        <v>163</v>
      </c>
      <c r="M1167" s="12" t="s">
        <v>2112</v>
      </c>
      <c r="N1167" s="29">
        <v>0.44347826086956499</v>
      </c>
      <c r="O1167" s="12" t="s">
        <v>2004</v>
      </c>
      <c r="P1167" s="29">
        <v>0.44347826086956499</v>
      </c>
      <c r="Q1167" s="12" t="s">
        <v>59</v>
      </c>
    </row>
    <row r="1168" spans="1:19" x14ac:dyDescent="0.35">
      <c r="A1168" s="12">
        <v>87</v>
      </c>
      <c r="B1168" s="12" t="s">
        <v>2084</v>
      </c>
      <c r="C1168" s="12">
        <v>2019</v>
      </c>
      <c r="D1168" s="12" t="s">
        <v>2085</v>
      </c>
      <c r="E1168" s="13" t="s">
        <v>2086</v>
      </c>
      <c r="F1168" s="12" t="s">
        <v>2087</v>
      </c>
      <c r="G1168" s="12" t="s">
        <v>54</v>
      </c>
      <c r="H1168" s="15" t="s">
        <v>2114</v>
      </c>
      <c r="I1168" s="28">
        <v>49.503155</v>
      </c>
      <c r="J1168" s="28">
        <v>-124.810018</v>
      </c>
      <c r="K1168" s="12" t="s">
        <v>41</v>
      </c>
      <c r="L1168" s="12" t="s">
        <v>163</v>
      </c>
      <c r="M1168" s="12" t="s">
        <v>2115</v>
      </c>
      <c r="N1168" s="29">
        <v>0.59999999999999898</v>
      </c>
      <c r="O1168" s="12" t="s">
        <v>2004</v>
      </c>
      <c r="P1168" s="29">
        <v>0.59999999999999898</v>
      </c>
      <c r="Q1168" s="12" t="s">
        <v>59</v>
      </c>
    </row>
    <row r="1169" spans="1:18" x14ac:dyDescent="0.35">
      <c r="A1169" s="12">
        <v>87</v>
      </c>
      <c r="B1169" s="12" t="s">
        <v>2084</v>
      </c>
      <c r="C1169" s="12">
        <v>2019</v>
      </c>
      <c r="D1169" s="12" t="s">
        <v>2085</v>
      </c>
      <c r="E1169" s="13" t="s">
        <v>2086</v>
      </c>
      <c r="F1169" s="12" t="s">
        <v>2087</v>
      </c>
      <c r="G1169" s="12" t="s">
        <v>54</v>
      </c>
      <c r="H1169" s="15" t="s">
        <v>2117</v>
      </c>
      <c r="I1169" s="28">
        <v>49.468730999999998</v>
      </c>
      <c r="J1169" s="28">
        <v>-124.77795</v>
      </c>
      <c r="K1169" s="12" t="s">
        <v>41</v>
      </c>
      <c r="L1169" s="12" t="s">
        <v>163</v>
      </c>
      <c r="M1169" s="12" t="s">
        <v>2118</v>
      </c>
      <c r="N1169" s="29">
        <v>0.59999999999999898</v>
      </c>
      <c r="O1169" s="12" t="s">
        <v>2004</v>
      </c>
      <c r="P1169" s="29">
        <v>0.59999999999999898</v>
      </c>
      <c r="Q1169" s="12" t="s">
        <v>59</v>
      </c>
    </row>
    <row r="1170" spans="1:18" x14ac:dyDescent="0.35">
      <c r="A1170" s="12">
        <v>87</v>
      </c>
      <c r="B1170" s="12" t="s">
        <v>2084</v>
      </c>
      <c r="C1170" s="12">
        <v>2019</v>
      </c>
      <c r="D1170" s="12" t="s">
        <v>2085</v>
      </c>
      <c r="E1170" s="13" t="s">
        <v>2086</v>
      </c>
      <c r="F1170" s="12" t="s">
        <v>2087</v>
      </c>
      <c r="G1170" s="12" t="s">
        <v>54</v>
      </c>
      <c r="H1170" s="15" t="s">
        <v>2120</v>
      </c>
      <c r="I1170" s="28">
        <v>49.468409000000001</v>
      </c>
      <c r="J1170" s="28">
        <v>-124.77866</v>
      </c>
      <c r="K1170" s="12" t="s">
        <v>41</v>
      </c>
      <c r="L1170" s="12" t="s">
        <v>163</v>
      </c>
      <c r="M1170" s="12" t="s">
        <v>2121</v>
      </c>
      <c r="N1170" s="29">
        <v>1.1739130434782601</v>
      </c>
      <c r="O1170" s="12" t="s">
        <v>2004</v>
      </c>
      <c r="P1170" s="29">
        <v>1.1739130434782601</v>
      </c>
      <c r="Q1170" s="12" t="s">
        <v>59</v>
      </c>
    </row>
    <row r="1171" spans="1:18" x14ac:dyDescent="0.35">
      <c r="A1171" s="12">
        <v>87</v>
      </c>
      <c r="B1171" s="12" t="s">
        <v>2084</v>
      </c>
      <c r="C1171" s="12">
        <v>2019</v>
      </c>
      <c r="D1171" s="12" t="s">
        <v>2085</v>
      </c>
      <c r="E1171" s="13" t="s">
        <v>2086</v>
      </c>
      <c r="F1171" s="12" t="s">
        <v>2087</v>
      </c>
      <c r="G1171" s="12" t="s">
        <v>54</v>
      </c>
      <c r="H1171" s="15" t="s">
        <v>1480</v>
      </c>
      <c r="I1171" s="28">
        <v>49.4587</v>
      </c>
      <c r="J1171" s="28">
        <v>-124.741063</v>
      </c>
      <c r="K1171" s="12" t="s">
        <v>41</v>
      </c>
      <c r="L1171" s="12" t="s">
        <v>163</v>
      </c>
      <c r="M1171" s="12" t="s">
        <v>2122</v>
      </c>
      <c r="N1171" s="29">
        <v>0.59999999999999898</v>
      </c>
      <c r="O1171" s="12" t="s">
        <v>2004</v>
      </c>
      <c r="P1171" s="29">
        <v>0.59999999999999898</v>
      </c>
      <c r="Q1171" s="12" t="s">
        <v>59</v>
      </c>
    </row>
    <row r="1172" spans="1:18" x14ac:dyDescent="0.35">
      <c r="A1172" s="12">
        <v>87</v>
      </c>
      <c r="B1172" s="12" t="s">
        <v>2084</v>
      </c>
      <c r="C1172" s="12">
        <v>2019</v>
      </c>
      <c r="D1172" s="12" t="s">
        <v>2085</v>
      </c>
      <c r="E1172" s="13" t="s">
        <v>2086</v>
      </c>
      <c r="F1172" s="12" t="s">
        <v>2087</v>
      </c>
      <c r="G1172" s="12" t="s">
        <v>54</v>
      </c>
      <c r="H1172" s="15" t="s">
        <v>2124</v>
      </c>
      <c r="I1172" s="28">
        <v>49.462705999999997</v>
      </c>
      <c r="J1172" s="28">
        <v>-124.72985199999999</v>
      </c>
      <c r="K1172" s="12" t="s">
        <v>41</v>
      </c>
      <c r="L1172" s="12" t="s">
        <v>163</v>
      </c>
      <c r="M1172" s="12" t="s">
        <v>2125</v>
      </c>
      <c r="N1172" s="29">
        <v>0.23478260869565101</v>
      </c>
      <c r="O1172" s="12" t="s">
        <v>2004</v>
      </c>
      <c r="P1172" s="29">
        <v>0.23478260869565101</v>
      </c>
      <c r="Q1172" s="12" t="s">
        <v>59</v>
      </c>
    </row>
    <row r="1173" spans="1:18" x14ac:dyDescent="0.35">
      <c r="A1173" s="12">
        <v>87</v>
      </c>
      <c r="B1173" s="12" t="s">
        <v>2084</v>
      </c>
      <c r="C1173" s="12">
        <v>2019</v>
      </c>
      <c r="D1173" s="12" t="s">
        <v>2085</v>
      </c>
      <c r="E1173" s="13" t="s">
        <v>2086</v>
      </c>
      <c r="F1173" s="12" t="s">
        <v>2087</v>
      </c>
      <c r="G1173" s="12" t="s">
        <v>54</v>
      </c>
      <c r="H1173" s="15" t="s">
        <v>2127</v>
      </c>
      <c r="I1173" s="28">
        <v>49.186892999999998</v>
      </c>
      <c r="J1173" s="28">
        <v>-125.890227</v>
      </c>
      <c r="K1173" s="12" t="s">
        <v>41</v>
      </c>
      <c r="L1173" s="12" t="s">
        <v>163</v>
      </c>
      <c r="M1173" s="12" t="s">
        <v>2128</v>
      </c>
      <c r="N1173" s="29">
        <v>7.8260869565217203E-2</v>
      </c>
      <c r="O1173" s="12" t="s">
        <v>2004</v>
      </c>
      <c r="P1173" s="29">
        <v>7.8260869565217203E-2</v>
      </c>
      <c r="Q1173" s="12" t="s">
        <v>59</v>
      </c>
    </row>
    <row r="1174" spans="1:18" x14ac:dyDescent="0.35">
      <c r="A1174" s="12">
        <v>87</v>
      </c>
      <c r="B1174" s="12" t="s">
        <v>2084</v>
      </c>
      <c r="C1174" s="12">
        <v>2019</v>
      </c>
      <c r="D1174" s="12" t="s">
        <v>2085</v>
      </c>
      <c r="E1174" s="13" t="s">
        <v>2086</v>
      </c>
      <c r="F1174" s="12" t="s">
        <v>2087</v>
      </c>
      <c r="G1174" s="12" t="s">
        <v>54</v>
      </c>
      <c r="H1174" s="15" t="s">
        <v>2130</v>
      </c>
      <c r="I1174" s="28">
        <v>49.188524999999998</v>
      </c>
      <c r="J1174" s="28">
        <v>-125.88036200000001</v>
      </c>
      <c r="K1174" s="12" t="s">
        <v>41</v>
      </c>
      <c r="L1174" s="12" t="s">
        <v>163</v>
      </c>
      <c r="M1174" s="12" t="s">
        <v>2131</v>
      </c>
      <c r="N1174" s="29">
        <v>0.52173913043478204</v>
      </c>
      <c r="O1174" s="12" t="s">
        <v>2004</v>
      </c>
      <c r="P1174" s="29">
        <v>0.52173913043478204</v>
      </c>
      <c r="Q1174" s="12" t="s">
        <v>59</v>
      </c>
    </row>
    <row r="1175" spans="1:18" x14ac:dyDescent="0.35">
      <c r="A1175" s="12">
        <v>87</v>
      </c>
      <c r="B1175" s="12" t="s">
        <v>2084</v>
      </c>
      <c r="C1175" s="12">
        <v>2019</v>
      </c>
      <c r="D1175" s="12" t="s">
        <v>2085</v>
      </c>
      <c r="E1175" s="13" t="s">
        <v>2086</v>
      </c>
      <c r="F1175" s="12" t="s">
        <v>2087</v>
      </c>
      <c r="G1175" s="12" t="s">
        <v>54</v>
      </c>
      <c r="H1175" s="15" t="s">
        <v>2088</v>
      </c>
      <c r="I1175" s="28">
        <v>50.119950000000003</v>
      </c>
      <c r="J1175" s="28">
        <v>-125.227949</v>
      </c>
      <c r="K1175" s="12" t="s">
        <v>103</v>
      </c>
      <c r="L1175" s="12" t="s">
        <v>163</v>
      </c>
      <c r="M1175" s="12" t="s">
        <v>2089</v>
      </c>
      <c r="N1175" s="29">
        <v>7.0093457943925204</v>
      </c>
      <c r="P1175" s="29">
        <v>7.0093457943925204</v>
      </c>
      <c r="Q1175" s="12" t="s">
        <v>107</v>
      </c>
      <c r="R1175" s="12" t="s">
        <v>2134</v>
      </c>
    </row>
    <row r="1176" spans="1:18" x14ac:dyDescent="0.35">
      <c r="A1176" s="12">
        <v>87</v>
      </c>
      <c r="B1176" s="12" t="s">
        <v>2084</v>
      </c>
      <c r="C1176" s="12">
        <v>2019</v>
      </c>
      <c r="D1176" s="12" t="s">
        <v>2085</v>
      </c>
      <c r="E1176" s="13" t="s">
        <v>2086</v>
      </c>
      <c r="F1176" s="12" t="s">
        <v>2087</v>
      </c>
      <c r="G1176" s="12" t="s">
        <v>54</v>
      </c>
      <c r="H1176" s="15" t="s">
        <v>2091</v>
      </c>
      <c r="I1176" s="28">
        <v>50.121496</v>
      </c>
      <c r="J1176" s="28">
        <v>-125.23427100000001</v>
      </c>
      <c r="K1176" s="12" t="s">
        <v>103</v>
      </c>
      <c r="L1176" s="12" t="s">
        <v>163</v>
      </c>
      <c r="M1176" s="12" t="s">
        <v>2092</v>
      </c>
      <c r="N1176" s="29">
        <v>8.4112149532710401</v>
      </c>
      <c r="P1176" s="29">
        <v>8.4112149532710401</v>
      </c>
      <c r="Q1176" s="12" t="s">
        <v>107</v>
      </c>
    </row>
    <row r="1177" spans="1:18" x14ac:dyDescent="0.35">
      <c r="A1177" s="12">
        <v>87</v>
      </c>
      <c r="B1177" s="12" t="s">
        <v>2084</v>
      </c>
      <c r="C1177" s="12">
        <v>2019</v>
      </c>
      <c r="D1177" s="12" t="s">
        <v>2085</v>
      </c>
      <c r="E1177" s="13" t="s">
        <v>2086</v>
      </c>
      <c r="F1177" s="12" t="s">
        <v>2087</v>
      </c>
      <c r="G1177" s="12" t="s">
        <v>54</v>
      </c>
      <c r="H1177" s="15" t="s">
        <v>2094</v>
      </c>
      <c r="I1177" s="28">
        <v>50.199317000000001</v>
      </c>
      <c r="J1177" s="28">
        <v>-125.06346600000001</v>
      </c>
      <c r="K1177" s="12" t="s">
        <v>103</v>
      </c>
      <c r="L1177" s="12" t="s">
        <v>163</v>
      </c>
      <c r="M1177" s="12" t="s">
        <v>2095</v>
      </c>
      <c r="N1177" s="29">
        <v>18.224299065420499</v>
      </c>
      <c r="P1177" s="29">
        <v>18.224299065420499</v>
      </c>
      <c r="Q1177" s="12" t="s">
        <v>107</v>
      </c>
    </row>
    <row r="1178" spans="1:18" x14ac:dyDescent="0.35">
      <c r="A1178" s="12">
        <v>87</v>
      </c>
      <c r="B1178" s="12" t="s">
        <v>2084</v>
      </c>
      <c r="C1178" s="12">
        <v>2019</v>
      </c>
      <c r="D1178" s="12" t="s">
        <v>2085</v>
      </c>
      <c r="E1178" s="13" t="s">
        <v>2086</v>
      </c>
      <c r="F1178" s="12" t="s">
        <v>2087</v>
      </c>
      <c r="G1178" s="12" t="s">
        <v>54</v>
      </c>
      <c r="H1178" s="15" t="s">
        <v>2096</v>
      </c>
      <c r="I1178" s="28">
        <v>50.195278000000002</v>
      </c>
      <c r="J1178" s="28">
        <v>-125.066129</v>
      </c>
      <c r="K1178" s="12" t="s">
        <v>103</v>
      </c>
      <c r="L1178" s="12" t="s">
        <v>163</v>
      </c>
      <c r="M1178" s="12" t="s">
        <v>2097</v>
      </c>
      <c r="N1178" s="29">
        <v>11.214953271028</v>
      </c>
      <c r="P1178" s="29">
        <v>11.214953271028</v>
      </c>
      <c r="Q1178" s="12" t="s">
        <v>107</v>
      </c>
    </row>
    <row r="1179" spans="1:18" x14ac:dyDescent="0.35">
      <c r="A1179" s="12">
        <v>87</v>
      </c>
      <c r="B1179" s="12" t="s">
        <v>2084</v>
      </c>
      <c r="C1179" s="12">
        <v>2019</v>
      </c>
      <c r="D1179" s="12" t="s">
        <v>2085</v>
      </c>
      <c r="E1179" s="13" t="s">
        <v>2086</v>
      </c>
      <c r="F1179" s="12" t="s">
        <v>2087</v>
      </c>
      <c r="G1179" s="12" t="s">
        <v>54</v>
      </c>
      <c r="H1179" s="12" t="s">
        <v>2099</v>
      </c>
      <c r="I1179" s="28">
        <v>50.017679999999999</v>
      </c>
      <c r="J1179" s="28">
        <v>-124.726366</v>
      </c>
      <c r="K1179" s="12" t="s">
        <v>103</v>
      </c>
      <c r="L1179" s="12" t="s">
        <v>163</v>
      </c>
      <c r="M1179" s="12" t="s">
        <v>2100</v>
      </c>
      <c r="N1179" s="29">
        <v>18.224299065420499</v>
      </c>
      <c r="P1179" s="29">
        <v>18.224299065420499</v>
      </c>
      <c r="Q1179" s="12" t="s">
        <v>107</v>
      </c>
    </row>
    <row r="1180" spans="1:18" x14ac:dyDescent="0.35">
      <c r="A1180" s="12">
        <v>87</v>
      </c>
      <c r="B1180" s="12" t="s">
        <v>2084</v>
      </c>
      <c r="C1180" s="12">
        <v>2019</v>
      </c>
      <c r="D1180" s="12" t="s">
        <v>2085</v>
      </c>
      <c r="E1180" s="13" t="s">
        <v>2086</v>
      </c>
      <c r="F1180" s="12" t="s">
        <v>2087</v>
      </c>
      <c r="G1180" s="12" t="s">
        <v>54</v>
      </c>
      <c r="H1180" s="12" t="s">
        <v>2102</v>
      </c>
      <c r="I1180" s="28">
        <v>50.021819999999998</v>
      </c>
      <c r="J1180" s="28">
        <v>-124.731927</v>
      </c>
      <c r="K1180" s="12" t="s">
        <v>103</v>
      </c>
      <c r="L1180" s="12" t="s">
        <v>163</v>
      </c>
      <c r="M1180" s="12" t="s">
        <v>2103</v>
      </c>
      <c r="N1180" s="29">
        <v>32.242990654205599</v>
      </c>
      <c r="P1180" s="29">
        <v>32.242990654205599</v>
      </c>
      <c r="Q1180" s="12" t="s">
        <v>107</v>
      </c>
    </row>
    <row r="1181" spans="1:18" x14ac:dyDescent="0.35">
      <c r="A1181" s="12">
        <v>87</v>
      </c>
      <c r="B1181" s="12" t="s">
        <v>2084</v>
      </c>
      <c r="C1181" s="12">
        <v>2019</v>
      </c>
      <c r="D1181" s="12" t="s">
        <v>2085</v>
      </c>
      <c r="E1181" s="13" t="s">
        <v>2086</v>
      </c>
      <c r="F1181" s="12" t="s">
        <v>2087</v>
      </c>
      <c r="G1181" s="12" t="s">
        <v>54</v>
      </c>
      <c r="H1181" s="12" t="s">
        <v>2105</v>
      </c>
      <c r="I1181" s="28">
        <v>49.971294</v>
      </c>
      <c r="J1181" s="28">
        <v>-124.68742</v>
      </c>
      <c r="K1181" s="12" t="s">
        <v>103</v>
      </c>
      <c r="L1181" s="12" t="s">
        <v>163</v>
      </c>
      <c r="M1181" s="12" t="s">
        <v>2106</v>
      </c>
      <c r="N1181" s="29">
        <v>22.429906542055999</v>
      </c>
      <c r="P1181" s="29">
        <v>22.429906542055999</v>
      </c>
      <c r="Q1181" s="12" t="s">
        <v>107</v>
      </c>
    </row>
    <row r="1182" spans="1:18" x14ac:dyDescent="0.35">
      <c r="A1182" s="12">
        <v>87</v>
      </c>
      <c r="B1182" s="12" t="s">
        <v>2084</v>
      </c>
      <c r="C1182" s="12">
        <v>2019</v>
      </c>
      <c r="D1182" s="12" t="s">
        <v>2085</v>
      </c>
      <c r="E1182" s="13" t="s">
        <v>2086</v>
      </c>
      <c r="F1182" s="12" t="s">
        <v>2087</v>
      </c>
      <c r="G1182" s="12" t="s">
        <v>54</v>
      </c>
      <c r="H1182" s="12" t="s">
        <v>2108</v>
      </c>
      <c r="I1182" s="28">
        <v>49.965992</v>
      </c>
      <c r="J1182" s="28">
        <v>-124.683892</v>
      </c>
      <c r="K1182" s="12" t="s">
        <v>103</v>
      </c>
      <c r="L1182" s="12" t="s">
        <v>163</v>
      </c>
      <c r="M1182" s="12" t="s">
        <v>2109</v>
      </c>
      <c r="N1182" s="29">
        <v>14.018691588785</v>
      </c>
      <c r="P1182" s="29">
        <v>14.018691588785</v>
      </c>
      <c r="Q1182" s="12" t="s">
        <v>107</v>
      </c>
    </row>
    <row r="1183" spans="1:18" x14ac:dyDescent="0.35">
      <c r="A1183" s="12">
        <v>87</v>
      </c>
      <c r="B1183" s="12" t="s">
        <v>2084</v>
      </c>
      <c r="C1183" s="12">
        <v>2019</v>
      </c>
      <c r="D1183" s="12" t="s">
        <v>2085</v>
      </c>
      <c r="E1183" s="13" t="s">
        <v>2086</v>
      </c>
      <c r="F1183" s="12" t="s">
        <v>2087</v>
      </c>
      <c r="G1183" s="12" t="s">
        <v>54</v>
      </c>
      <c r="H1183" s="15" t="s">
        <v>2111</v>
      </c>
      <c r="I1183" s="28">
        <v>49.504444999999997</v>
      </c>
      <c r="J1183" s="28">
        <v>-124.809876</v>
      </c>
      <c r="K1183" s="12" t="s">
        <v>103</v>
      </c>
      <c r="L1183" s="12" t="s">
        <v>163</v>
      </c>
      <c r="M1183" s="12" t="s">
        <v>2112</v>
      </c>
      <c r="N1183" s="29">
        <v>18.224299065420499</v>
      </c>
      <c r="P1183" s="29">
        <v>18.224299065420499</v>
      </c>
      <c r="Q1183" s="12" t="s">
        <v>107</v>
      </c>
    </row>
    <row r="1184" spans="1:18" x14ac:dyDescent="0.35">
      <c r="A1184" s="12">
        <v>87</v>
      </c>
      <c r="B1184" s="12" t="s">
        <v>2084</v>
      </c>
      <c r="C1184" s="12">
        <v>2019</v>
      </c>
      <c r="D1184" s="12" t="s">
        <v>2085</v>
      </c>
      <c r="E1184" s="13" t="s">
        <v>2086</v>
      </c>
      <c r="F1184" s="12" t="s">
        <v>2087</v>
      </c>
      <c r="G1184" s="12" t="s">
        <v>54</v>
      </c>
      <c r="H1184" s="15" t="s">
        <v>2114</v>
      </c>
      <c r="I1184" s="28">
        <v>49.503155</v>
      </c>
      <c r="J1184" s="28">
        <v>-124.810018</v>
      </c>
      <c r="K1184" s="12" t="s">
        <v>103</v>
      </c>
      <c r="L1184" s="12" t="s">
        <v>163</v>
      </c>
      <c r="M1184" s="12" t="s">
        <v>2115</v>
      </c>
      <c r="N1184" s="29">
        <v>19.626168224299001</v>
      </c>
      <c r="P1184" s="29">
        <v>19.626168224299001</v>
      </c>
      <c r="Q1184" s="12" t="s">
        <v>107</v>
      </c>
    </row>
    <row r="1185" spans="1:19" x14ac:dyDescent="0.35">
      <c r="A1185" s="12">
        <v>87</v>
      </c>
      <c r="B1185" s="12" t="s">
        <v>2084</v>
      </c>
      <c r="C1185" s="12">
        <v>2019</v>
      </c>
      <c r="D1185" s="12" t="s">
        <v>2085</v>
      </c>
      <c r="E1185" s="13" t="s">
        <v>2086</v>
      </c>
      <c r="F1185" s="12" t="s">
        <v>2087</v>
      </c>
      <c r="G1185" s="12" t="s">
        <v>54</v>
      </c>
      <c r="H1185" s="15" t="s">
        <v>2117</v>
      </c>
      <c r="I1185" s="28">
        <v>49.468730999999998</v>
      </c>
      <c r="J1185" s="28">
        <v>-124.77795</v>
      </c>
      <c r="K1185" s="12" t="s">
        <v>103</v>
      </c>
      <c r="L1185" s="12" t="s">
        <v>163</v>
      </c>
      <c r="M1185" s="12" t="s">
        <v>2118</v>
      </c>
      <c r="N1185" s="29">
        <v>35.046728971962601</v>
      </c>
      <c r="P1185" s="29">
        <v>35.046728971962601</v>
      </c>
      <c r="Q1185" s="12" t="s">
        <v>107</v>
      </c>
    </row>
    <row r="1186" spans="1:19" x14ac:dyDescent="0.35">
      <c r="A1186" s="12">
        <v>87</v>
      </c>
      <c r="B1186" s="12" t="s">
        <v>2084</v>
      </c>
      <c r="C1186" s="12">
        <v>2019</v>
      </c>
      <c r="D1186" s="12" t="s">
        <v>2085</v>
      </c>
      <c r="E1186" s="13" t="s">
        <v>2086</v>
      </c>
      <c r="F1186" s="12" t="s">
        <v>2087</v>
      </c>
      <c r="G1186" s="12" t="s">
        <v>54</v>
      </c>
      <c r="H1186" s="15" t="s">
        <v>2120</v>
      </c>
      <c r="I1186" s="28">
        <v>49.468409000000001</v>
      </c>
      <c r="J1186" s="28">
        <v>-124.77866</v>
      </c>
      <c r="K1186" s="12" t="s">
        <v>103</v>
      </c>
      <c r="L1186" s="12" t="s">
        <v>163</v>
      </c>
      <c r="M1186" s="12" t="s">
        <v>2121</v>
      </c>
      <c r="N1186" s="29">
        <v>19.626168224299001</v>
      </c>
      <c r="P1186" s="29">
        <v>19.626168224299001</v>
      </c>
      <c r="Q1186" s="12" t="s">
        <v>107</v>
      </c>
    </row>
    <row r="1187" spans="1:19" x14ac:dyDescent="0.35">
      <c r="A1187" s="12">
        <v>87</v>
      </c>
      <c r="B1187" s="12" t="s">
        <v>2084</v>
      </c>
      <c r="C1187" s="12">
        <v>2019</v>
      </c>
      <c r="D1187" s="12" t="s">
        <v>2085</v>
      </c>
      <c r="E1187" s="13" t="s">
        <v>2086</v>
      </c>
      <c r="F1187" s="12" t="s">
        <v>2087</v>
      </c>
      <c r="G1187" s="12" t="s">
        <v>54</v>
      </c>
      <c r="H1187" s="15" t="s">
        <v>1480</v>
      </c>
      <c r="I1187" s="28">
        <v>49.4587</v>
      </c>
      <c r="J1187" s="28">
        <v>-124.741063</v>
      </c>
      <c r="K1187" s="12" t="s">
        <v>103</v>
      </c>
      <c r="L1187" s="12" t="s">
        <v>163</v>
      </c>
      <c r="M1187" s="12" t="s">
        <v>2122</v>
      </c>
      <c r="N1187" s="29">
        <v>22.429906542055999</v>
      </c>
      <c r="P1187" s="29">
        <v>22.429906542055999</v>
      </c>
      <c r="Q1187" s="12" t="s">
        <v>107</v>
      </c>
    </row>
    <row r="1188" spans="1:19" x14ac:dyDescent="0.35">
      <c r="A1188" s="12">
        <v>87</v>
      </c>
      <c r="B1188" s="12" t="s">
        <v>2084</v>
      </c>
      <c r="C1188" s="12">
        <v>2019</v>
      </c>
      <c r="D1188" s="12" t="s">
        <v>2085</v>
      </c>
      <c r="E1188" s="13" t="s">
        <v>2086</v>
      </c>
      <c r="F1188" s="12" t="s">
        <v>2087</v>
      </c>
      <c r="G1188" s="12" t="s">
        <v>54</v>
      </c>
      <c r="H1188" s="15" t="s">
        <v>2124</v>
      </c>
      <c r="I1188" s="28">
        <v>49.462705999999997</v>
      </c>
      <c r="J1188" s="28">
        <v>-124.72985199999999</v>
      </c>
      <c r="K1188" s="12" t="s">
        <v>103</v>
      </c>
      <c r="L1188" s="12" t="s">
        <v>163</v>
      </c>
      <c r="M1188" s="12" t="s">
        <v>2125</v>
      </c>
      <c r="N1188" s="29">
        <v>15.420560747663499</v>
      </c>
      <c r="P1188" s="29">
        <v>15.420560747663499</v>
      </c>
      <c r="Q1188" s="12" t="s">
        <v>107</v>
      </c>
    </row>
    <row r="1189" spans="1:19" x14ac:dyDescent="0.35">
      <c r="A1189" s="12">
        <v>87</v>
      </c>
      <c r="B1189" s="12" t="s">
        <v>2084</v>
      </c>
      <c r="C1189" s="12">
        <v>2019</v>
      </c>
      <c r="D1189" s="12" t="s">
        <v>2085</v>
      </c>
      <c r="E1189" s="13" t="s">
        <v>2086</v>
      </c>
      <c r="F1189" s="12" t="s">
        <v>2087</v>
      </c>
      <c r="G1189" s="12" t="s">
        <v>54</v>
      </c>
      <c r="H1189" s="15" t="s">
        <v>2127</v>
      </c>
      <c r="I1189" s="28">
        <v>49.186892999999998</v>
      </c>
      <c r="J1189" s="28">
        <v>-125.890227</v>
      </c>
      <c r="K1189" s="12" t="s">
        <v>103</v>
      </c>
      <c r="L1189" s="12" t="s">
        <v>163</v>
      </c>
      <c r="M1189" s="12" t="s">
        <v>2128</v>
      </c>
      <c r="N1189" s="29">
        <v>11.214953271028</v>
      </c>
      <c r="P1189" s="29">
        <v>11.214953271028</v>
      </c>
      <c r="Q1189" s="12" t="s">
        <v>107</v>
      </c>
    </row>
    <row r="1190" spans="1:19" x14ac:dyDescent="0.35">
      <c r="A1190" s="12">
        <v>87</v>
      </c>
      <c r="B1190" s="12" t="s">
        <v>2084</v>
      </c>
      <c r="C1190" s="12">
        <v>2019</v>
      </c>
      <c r="D1190" s="12" t="s">
        <v>2085</v>
      </c>
      <c r="E1190" s="13" t="s">
        <v>2086</v>
      </c>
      <c r="F1190" s="12" t="s">
        <v>2087</v>
      </c>
      <c r="G1190" s="12" t="s">
        <v>54</v>
      </c>
      <c r="H1190" s="15" t="s">
        <v>2130</v>
      </c>
      <c r="I1190" s="28">
        <v>49.188524999999998</v>
      </c>
      <c r="J1190" s="28">
        <v>-125.88036200000001</v>
      </c>
      <c r="K1190" s="12" t="s">
        <v>103</v>
      </c>
      <c r="L1190" s="12" t="s">
        <v>163</v>
      </c>
      <c r="M1190" s="12" t="s">
        <v>2131</v>
      </c>
      <c r="N1190" s="29">
        <v>19.626168224299001</v>
      </c>
      <c r="P1190" s="29">
        <v>19.626168224299001</v>
      </c>
      <c r="Q1190" s="12" t="s">
        <v>107</v>
      </c>
    </row>
    <row r="1191" spans="1:19" x14ac:dyDescent="0.35">
      <c r="A1191" s="12">
        <v>88</v>
      </c>
      <c r="B1191" s="12" t="s">
        <v>2148</v>
      </c>
      <c r="C1191" s="12">
        <v>2025</v>
      </c>
      <c r="D1191" s="12" t="s">
        <v>1010</v>
      </c>
      <c r="E1191" s="13" t="s">
        <v>2083</v>
      </c>
      <c r="F1191" s="12" t="s">
        <v>2149</v>
      </c>
      <c r="G1191" s="12" t="s">
        <v>804</v>
      </c>
      <c r="I1191" s="41">
        <v>47.235216666666666</v>
      </c>
      <c r="J1191" s="41">
        <v>-53.371266666666664</v>
      </c>
      <c r="K1191" s="12" t="s">
        <v>1919</v>
      </c>
      <c r="L1191" s="12" t="s">
        <v>28</v>
      </c>
      <c r="N1191" s="12">
        <v>10.199999999999999</v>
      </c>
      <c r="O1191" s="12" t="s">
        <v>1898</v>
      </c>
      <c r="P1191" s="12">
        <v>10.199999999999999</v>
      </c>
      <c r="Q1191" s="12" t="s">
        <v>1506</v>
      </c>
    </row>
    <row r="1192" spans="1:19" x14ac:dyDescent="0.35">
      <c r="A1192" s="12">
        <v>88</v>
      </c>
      <c r="B1192" s="12" t="s">
        <v>2148</v>
      </c>
      <c r="C1192" s="12">
        <v>2025</v>
      </c>
      <c r="D1192" s="12" t="s">
        <v>1010</v>
      </c>
      <c r="E1192" s="13" t="s">
        <v>2083</v>
      </c>
      <c r="F1192" s="12" t="s">
        <v>2149</v>
      </c>
      <c r="G1192" s="12" t="s">
        <v>804</v>
      </c>
      <c r="I1192" s="28">
        <v>47.036966666666665</v>
      </c>
      <c r="J1192" s="28">
        <v>-52.926733333333331</v>
      </c>
      <c r="K1192" s="12" t="s">
        <v>1919</v>
      </c>
      <c r="L1192" s="12" t="s">
        <v>28</v>
      </c>
      <c r="N1192" s="12">
        <v>12.3</v>
      </c>
      <c r="O1192" s="12" t="s">
        <v>1898</v>
      </c>
      <c r="P1192" s="12">
        <v>12.3</v>
      </c>
      <c r="Q1192" s="12" t="s">
        <v>1506</v>
      </c>
    </row>
    <row r="1193" spans="1:19" x14ac:dyDescent="0.35">
      <c r="A1193" s="12">
        <v>88</v>
      </c>
      <c r="B1193" s="12" t="s">
        <v>2148</v>
      </c>
      <c r="C1193" s="12">
        <v>2025</v>
      </c>
      <c r="D1193" s="12" t="s">
        <v>1010</v>
      </c>
      <c r="E1193" s="13" t="s">
        <v>2083</v>
      </c>
      <c r="F1193" s="12" t="s">
        <v>2149</v>
      </c>
      <c r="G1193" s="12" t="s">
        <v>804</v>
      </c>
      <c r="I1193" s="28">
        <v>47.53543333333333</v>
      </c>
      <c r="J1193" s="28">
        <v>-53.869066666666669</v>
      </c>
      <c r="K1193" s="12" t="s">
        <v>1919</v>
      </c>
      <c r="L1193" s="12" t="s">
        <v>28</v>
      </c>
      <c r="N1193" s="12">
        <v>9</v>
      </c>
      <c r="O1193" s="12" t="s">
        <v>1898</v>
      </c>
      <c r="P1193" s="12">
        <v>9</v>
      </c>
      <c r="Q1193" s="12" t="s">
        <v>1506</v>
      </c>
      <c r="S1193" s="13"/>
    </row>
    <row r="1194" spans="1:19" x14ac:dyDescent="0.35">
      <c r="A1194" s="12">
        <v>88</v>
      </c>
      <c r="B1194" s="12" t="s">
        <v>2148</v>
      </c>
      <c r="C1194" s="12">
        <v>2025</v>
      </c>
      <c r="D1194" s="12" t="s">
        <v>1010</v>
      </c>
      <c r="E1194" s="13" t="s">
        <v>2083</v>
      </c>
      <c r="F1194" s="12" t="s">
        <v>2149</v>
      </c>
      <c r="G1194" s="12" t="s">
        <v>804</v>
      </c>
      <c r="I1194" s="41">
        <v>47.892616666666669</v>
      </c>
      <c r="J1194" s="28">
        <v>-54.358733333333333</v>
      </c>
      <c r="K1194" s="12" t="s">
        <v>1919</v>
      </c>
      <c r="L1194" s="12" t="s">
        <v>28</v>
      </c>
      <c r="N1194" s="12">
        <v>10.6</v>
      </c>
      <c r="O1194" s="12" t="s">
        <v>1898</v>
      </c>
      <c r="P1194" s="12">
        <v>10.6</v>
      </c>
      <c r="Q1194" s="12" t="s">
        <v>1506</v>
      </c>
      <c r="S1194" s="13"/>
    </row>
    <row r="1195" spans="1:19" x14ac:dyDescent="0.35">
      <c r="A1195" s="12">
        <v>88</v>
      </c>
      <c r="B1195" s="12" t="s">
        <v>2148</v>
      </c>
      <c r="C1195" s="12">
        <v>2025</v>
      </c>
      <c r="D1195" s="12" t="s">
        <v>1010</v>
      </c>
      <c r="E1195" s="13" t="s">
        <v>2083</v>
      </c>
      <c r="F1195" s="12" t="s">
        <v>2149</v>
      </c>
      <c r="G1195" s="12" t="s">
        <v>804</v>
      </c>
      <c r="I1195" s="41">
        <v>47.951266666666669</v>
      </c>
      <c r="J1195" s="28">
        <v>-55.589116666666669</v>
      </c>
      <c r="K1195" s="12" t="s">
        <v>1919</v>
      </c>
      <c r="L1195" s="12" t="s">
        <v>28</v>
      </c>
      <c r="N1195" s="12">
        <v>14.3</v>
      </c>
      <c r="O1195" s="12" t="s">
        <v>1898</v>
      </c>
      <c r="P1195" s="12">
        <v>14.3</v>
      </c>
      <c r="Q1195" s="12" t="s">
        <v>1506</v>
      </c>
      <c r="S1195" s="13"/>
    </row>
    <row r="1196" spans="1:19" x14ac:dyDescent="0.35">
      <c r="A1196" s="12">
        <v>88</v>
      </c>
      <c r="B1196" s="12" t="s">
        <v>2148</v>
      </c>
      <c r="C1196" s="12">
        <v>2025</v>
      </c>
      <c r="D1196" s="12" t="s">
        <v>1010</v>
      </c>
      <c r="E1196" s="13" t="s">
        <v>2083</v>
      </c>
      <c r="F1196" s="12" t="s">
        <v>2149</v>
      </c>
      <c r="G1196" s="12" t="s">
        <v>804</v>
      </c>
      <c r="I1196" s="41">
        <v>48.326000000000001</v>
      </c>
      <c r="J1196" s="28">
        <v>-55.455449999999999</v>
      </c>
      <c r="K1196" s="12" t="s">
        <v>1919</v>
      </c>
      <c r="L1196" s="12" t="s">
        <v>28</v>
      </c>
      <c r="N1196" s="12">
        <v>24.2</v>
      </c>
      <c r="O1196" s="12" t="s">
        <v>1898</v>
      </c>
      <c r="P1196" s="12">
        <v>24.2</v>
      </c>
      <c r="Q1196" s="12" t="s">
        <v>1506</v>
      </c>
      <c r="S1196" s="13"/>
    </row>
    <row r="1197" spans="1:19" x14ac:dyDescent="0.35">
      <c r="A1197" s="12">
        <v>88</v>
      </c>
      <c r="B1197" s="12" t="s">
        <v>2148</v>
      </c>
      <c r="C1197" s="12">
        <v>2025</v>
      </c>
      <c r="D1197" s="12" t="s">
        <v>1010</v>
      </c>
      <c r="E1197" s="13" t="s">
        <v>2083</v>
      </c>
      <c r="F1197" s="12" t="s">
        <v>2149</v>
      </c>
      <c r="G1197" s="12" t="s">
        <v>804</v>
      </c>
      <c r="I1197" s="41">
        <v>48.843333333333334</v>
      </c>
      <c r="J1197" s="28">
        <v>-56.38621666666667</v>
      </c>
      <c r="K1197" s="12" t="s">
        <v>1919</v>
      </c>
      <c r="L1197" s="12" t="s">
        <v>28</v>
      </c>
      <c r="N1197" s="12">
        <v>10.3</v>
      </c>
      <c r="O1197" s="12" t="s">
        <v>1898</v>
      </c>
      <c r="P1197" s="12">
        <v>10.3</v>
      </c>
      <c r="Q1197" s="12" t="s">
        <v>1506</v>
      </c>
      <c r="S1197" s="13"/>
    </row>
    <row r="1198" spans="1:19" x14ac:dyDescent="0.35">
      <c r="A1198" s="12">
        <v>88</v>
      </c>
      <c r="B1198" s="12" t="s">
        <v>2148</v>
      </c>
      <c r="C1198" s="12">
        <v>2025</v>
      </c>
      <c r="D1198" s="12" t="s">
        <v>1010</v>
      </c>
      <c r="E1198" s="13" t="s">
        <v>2083</v>
      </c>
      <c r="F1198" s="12" t="s">
        <v>2149</v>
      </c>
      <c r="G1198" s="12" t="s">
        <v>804</v>
      </c>
      <c r="I1198" s="41">
        <v>49.589633333333332</v>
      </c>
      <c r="J1198" s="28">
        <v>-56.466549999999998</v>
      </c>
      <c r="K1198" s="12" t="s">
        <v>1919</v>
      </c>
      <c r="L1198" s="12" t="s">
        <v>28</v>
      </c>
      <c r="N1198" s="12">
        <v>12.2</v>
      </c>
      <c r="O1198" s="12" t="s">
        <v>1898</v>
      </c>
      <c r="P1198" s="12">
        <v>12.2</v>
      </c>
      <c r="Q1198" s="12" t="s">
        <v>1506</v>
      </c>
      <c r="S1198" s="13"/>
    </row>
    <row r="1199" spans="1:19" x14ac:dyDescent="0.35">
      <c r="A1199" s="12">
        <v>88</v>
      </c>
      <c r="B1199" s="12" t="s">
        <v>2148</v>
      </c>
      <c r="C1199" s="12">
        <v>2025</v>
      </c>
      <c r="D1199" s="12" t="s">
        <v>1010</v>
      </c>
      <c r="E1199" s="13" t="s">
        <v>2083</v>
      </c>
      <c r="F1199" s="12" t="s">
        <v>2149</v>
      </c>
      <c r="G1199" s="12" t="s">
        <v>804</v>
      </c>
      <c r="I1199" s="41">
        <v>50.55381666666667</v>
      </c>
      <c r="J1199" s="28">
        <v>-57.165416666666665</v>
      </c>
      <c r="K1199" s="12" t="s">
        <v>1919</v>
      </c>
      <c r="L1199" s="12" t="s">
        <v>28</v>
      </c>
      <c r="N1199" s="12">
        <v>14.7</v>
      </c>
      <c r="O1199" s="12" t="s">
        <v>1898</v>
      </c>
      <c r="P1199" s="12">
        <v>14.7</v>
      </c>
      <c r="Q1199" s="12" t="s">
        <v>1506</v>
      </c>
      <c r="S1199" s="13"/>
    </row>
    <row r="1200" spans="1:19" x14ac:dyDescent="0.35">
      <c r="A1200" s="12">
        <v>88</v>
      </c>
      <c r="B1200" s="12" t="s">
        <v>2148</v>
      </c>
      <c r="C1200" s="12">
        <v>2025</v>
      </c>
      <c r="D1200" s="12" t="s">
        <v>1010</v>
      </c>
      <c r="E1200" s="13" t="s">
        <v>2083</v>
      </c>
      <c r="F1200" s="12" t="s">
        <v>2149</v>
      </c>
      <c r="G1200" s="12" t="s">
        <v>804</v>
      </c>
      <c r="I1200" s="41">
        <v>50.990333333333332</v>
      </c>
      <c r="J1200" s="28">
        <v>-56.961500000000001</v>
      </c>
      <c r="K1200" s="12" t="s">
        <v>1919</v>
      </c>
      <c r="L1200" s="12" t="s">
        <v>28</v>
      </c>
      <c r="N1200" s="12">
        <v>6.1</v>
      </c>
      <c r="O1200" s="12" t="s">
        <v>1898</v>
      </c>
      <c r="P1200" s="12">
        <v>6.1</v>
      </c>
      <c r="Q1200" s="12" t="s">
        <v>1506</v>
      </c>
      <c r="S1200" s="13"/>
    </row>
    <row r="1201" spans="1:19" s="20" customFormat="1" x14ac:dyDescent="0.35">
      <c r="A1201" s="20">
        <v>88</v>
      </c>
      <c r="B1201" s="20" t="s">
        <v>2148</v>
      </c>
      <c r="C1201" s="20">
        <v>2025</v>
      </c>
      <c r="D1201" s="20" t="s">
        <v>1010</v>
      </c>
      <c r="E1201" s="42" t="s">
        <v>2083</v>
      </c>
      <c r="F1201" s="20" t="s">
        <v>2149</v>
      </c>
      <c r="G1201" s="20" t="s">
        <v>804</v>
      </c>
      <c r="I1201" s="43">
        <v>48.462400000000002</v>
      </c>
      <c r="J1201" s="44">
        <v>-57.990416666666668</v>
      </c>
      <c r="K1201" s="20" t="s">
        <v>1919</v>
      </c>
      <c r="L1201" s="20" t="s">
        <v>28</v>
      </c>
      <c r="N1201" s="20">
        <v>12.7</v>
      </c>
      <c r="O1201" s="20" t="s">
        <v>1898</v>
      </c>
      <c r="P1201" s="20">
        <v>12.7</v>
      </c>
      <c r="Q1201" s="20" t="s">
        <v>1506</v>
      </c>
      <c r="S1201" s="42"/>
    </row>
    <row r="1202" spans="1:19" x14ac:dyDescent="0.35">
      <c r="A1202" s="12">
        <v>89</v>
      </c>
      <c r="B1202" s="12" t="s">
        <v>2178</v>
      </c>
      <c r="E1202" s="13" t="s">
        <v>2215</v>
      </c>
      <c r="F1202" s="12" t="s">
        <v>2180</v>
      </c>
      <c r="G1202" s="12" t="s">
        <v>494</v>
      </c>
      <c r="H1202" s="15" t="s">
        <v>2181</v>
      </c>
      <c r="I1202" s="28">
        <v>42.849499999999999</v>
      </c>
      <c r="J1202" s="28">
        <v>-61.636000000000003</v>
      </c>
      <c r="K1202" s="12" t="s">
        <v>1910</v>
      </c>
      <c r="L1202" s="12" t="s">
        <v>42</v>
      </c>
      <c r="N1202" s="16">
        <v>0.198406374501992</v>
      </c>
      <c r="O1202" s="12" t="s">
        <v>248</v>
      </c>
      <c r="P1202" s="12">
        <f t="shared" ref="P1202:P1213" si="25">N1202/1000</f>
        <v>1.9840637450199201E-4</v>
      </c>
      <c r="Q1202" s="12" t="s">
        <v>59</v>
      </c>
    </row>
    <row r="1203" spans="1:19" x14ac:dyDescent="0.35">
      <c r="A1203" s="12">
        <v>89</v>
      </c>
      <c r="B1203" s="12" t="s">
        <v>2178</v>
      </c>
      <c r="E1203" s="13" t="s">
        <v>2179</v>
      </c>
      <c r="F1203" s="12" t="s">
        <v>2180</v>
      </c>
      <c r="G1203" s="12" t="s">
        <v>494</v>
      </c>
      <c r="H1203" s="15" t="s">
        <v>2181</v>
      </c>
      <c r="I1203" s="28">
        <v>41.868299999999998</v>
      </c>
      <c r="J1203" s="28">
        <v>-65.353800000000007</v>
      </c>
      <c r="K1203" s="12" t="s">
        <v>1910</v>
      </c>
      <c r="L1203" s="12" t="s">
        <v>42</v>
      </c>
      <c r="M1203" s="16"/>
      <c r="N1203" s="16">
        <v>0.28207171314740997</v>
      </c>
      <c r="O1203" s="12" t="s">
        <v>248</v>
      </c>
      <c r="P1203" s="12">
        <f t="shared" si="25"/>
        <v>2.8207171314741E-4</v>
      </c>
      <c r="Q1203" s="12" t="s">
        <v>59</v>
      </c>
    </row>
    <row r="1204" spans="1:19" x14ac:dyDescent="0.35">
      <c r="A1204" s="12">
        <v>89</v>
      </c>
      <c r="B1204" s="12" t="s">
        <v>2178</v>
      </c>
      <c r="E1204" s="13" t="s">
        <v>2183</v>
      </c>
      <c r="F1204" s="12" t="s">
        <v>2180</v>
      </c>
      <c r="G1204" s="12" t="s">
        <v>494</v>
      </c>
      <c r="H1204" s="15" t="s">
        <v>2181</v>
      </c>
      <c r="I1204" s="28">
        <v>44.000399999999999</v>
      </c>
      <c r="J1204" s="28">
        <v>-59.009500000000003</v>
      </c>
      <c r="K1204" s="12" t="s">
        <v>1910</v>
      </c>
      <c r="L1204" s="12" t="s">
        <v>42</v>
      </c>
      <c r="M1204" s="16"/>
      <c r="N1204" s="16">
        <v>4.1832669322709203E-2</v>
      </c>
      <c r="O1204" s="12" t="s">
        <v>248</v>
      </c>
      <c r="P1204" s="12">
        <f t="shared" si="25"/>
        <v>4.1832669322709204E-5</v>
      </c>
      <c r="Q1204" s="12" t="s">
        <v>59</v>
      </c>
    </row>
    <row r="1205" spans="1:19" x14ac:dyDescent="0.35">
      <c r="A1205" s="12">
        <v>89</v>
      </c>
      <c r="B1205" s="12" t="s">
        <v>2178</v>
      </c>
      <c r="E1205" s="13" t="s">
        <v>2184</v>
      </c>
      <c r="F1205" s="12" t="s">
        <v>2180</v>
      </c>
      <c r="G1205" s="12" t="s">
        <v>494</v>
      </c>
      <c r="H1205" s="15" t="s">
        <v>2181</v>
      </c>
      <c r="I1205" s="28">
        <v>43.889499999999998</v>
      </c>
      <c r="J1205" s="28">
        <v>-62.889899999999997</v>
      </c>
      <c r="K1205" s="12" t="s">
        <v>1910</v>
      </c>
      <c r="L1205" s="12" t="s">
        <v>42</v>
      </c>
      <c r="M1205" s="16"/>
      <c r="N1205" s="16">
        <v>0</v>
      </c>
      <c r="O1205" s="12" t="s">
        <v>248</v>
      </c>
      <c r="P1205" s="12">
        <f t="shared" si="25"/>
        <v>0</v>
      </c>
      <c r="Q1205" s="12" t="s">
        <v>59</v>
      </c>
    </row>
    <row r="1206" spans="1:19" x14ac:dyDescent="0.35">
      <c r="A1206" s="12">
        <v>89</v>
      </c>
      <c r="B1206" s="12" t="s">
        <v>2178</v>
      </c>
      <c r="E1206" s="13" t="s">
        <v>2185</v>
      </c>
      <c r="F1206" s="12" t="s">
        <v>2180</v>
      </c>
      <c r="G1206" s="12" t="s">
        <v>494</v>
      </c>
      <c r="H1206" s="15" t="s">
        <v>2181</v>
      </c>
      <c r="I1206" s="28">
        <v>43.479199999999999</v>
      </c>
      <c r="J1206" s="28">
        <v>-62.448300000000003</v>
      </c>
      <c r="K1206" s="12" t="s">
        <v>1910</v>
      </c>
      <c r="L1206" s="12" t="s">
        <v>42</v>
      </c>
      <c r="M1206" s="16"/>
      <c r="N1206" s="16">
        <v>9.5022624434389601E-3</v>
      </c>
      <c r="O1206" s="12" t="s">
        <v>248</v>
      </c>
      <c r="P1206" s="12">
        <f t="shared" si="25"/>
        <v>9.5022624434389595E-6</v>
      </c>
      <c r="Q1206" s="12" t="s">
        <v>59</v>
      </c>
    </row>
    <row r="1207" spans="1:19" x14ac:dyDescent="0.35">
      <c r="A1207" s="12">
        <v>89</v>
      </c>
      <c r="B1207" s="12" t="s">
        <v>2178</v>
      </c>
      <c r="E1207" s="13" t="s">
        <v>2186</v>
      </c>
      <c r="F1207" s="12" t="s">
        <v>2180</v>
      </c>
      <c r="G1207" s="12" t="s">
        <v>494</v>
      </c>
      <c r="H1207" s="15" t="s">
        <v>2181</v>
      </c>
      <c r="I1207" s="28">
        <v>42.734400000000001</v>
      </c>
      <c r="J1207" s="28">
        <v>-61.611800000000002</v>
      </c>
      <c r="K1207" s="12" t="s">
        <v>1910</v>
      </c>
      <c r="L1207" s="12" t="s">
        <v>42</v>
      </c>
      <c r="M1207" s="16"/>
      <c r="N1207" s="16">
        <v>8.1447963800905104E-3</v>
      </c>
      <c r="O1207" s="12" t="s">
        <v>248</v>
      </c>
      <c r="P1207" s="12">
        <f t="shared" si="25"/>
        <v>8.1447963800905101E-6</v>
      </c>
      <c r="Q1207" s="12" t="s">
        <v>59</v>
      </c>
    </row>
    <row r="1208" spans="1:19" x14ac:dyDescent="0.35">
      <c r="A1208" s="12">
        <v>89</v>
      </c>
      <c r="B1208" s="12" t="s">
        <v>2178</v>
      </c>
      <c r="E1208" s="13" t="s">
        <v>2187</v>
      </c>
      <c r="F1208" s="12" t="s">
        <v>2180</v>
      </c>
      <c r="G1208" s="12" t="s">
        <v>494</v>
      </c>
      <c r="H1208" s="15" t="s">
        <v>2181</v>
      </c>
      <c r="I1208" s="28">
        <v>44.721899999999998</v>
      </c>
      <c r="J1208" s="28">
        <v>-57.645499999999998</v>
      </c>
      <c r="K1208" s="12" t="s">
        <v>1910</v>
      </c>
      <c r="L1208" s="12" t="s">
        <v>42</v>
      </c>
      <c r="M1208" s="16"/>
      <c r="N1208" s="16">
        <v>0</v>
      </c>
      <c r="O1208" s="12" t="s">
        <v>248</v>
      </c>
      <c r="P1208" s="12">
        <f t="shared" si="25"/>
        <v>0</v>
      </c>
      <c r="Q1208" s="12" t="s">
        <v>59</v>
      </c>
    </row>
    <row r="1209" spans="1:19" x14ac:dyDescent="0.35">
      <c r="A1209" s="12">
        <v>89</v>
      </c>
      <c r="B1209" s="12" t="s">
        <v>2178</v>
      </c>
      <c r="E1209" s="13" t="s">
        <v>2188</v>
      </c>
      <c r="F1209" s="12" t="s">
        <v>2180</v>
      </c>
      <c r="G1209" s="12" t="s">
        <v>494</v>
      </c>
      <c r="H1209" s="15" t="s">
        <v>2181</v>
      </c>
      <c r="I1209" s="28">
        <v>43.6905</v>
      </c>
      <c r="J1209" s="28">
        <v>-66.841999999999999</v>
      </c>
      <c r="K1209" s="12" t="s">
        <v>1910</v>
      </c>
      <c r="L1209" s="12" t="s">
        <v>42</v>
      </c>
      <c r="M1209" s="16"/>
      <c r="N1209" s="16">
        <v>0</v>
      </c>
      <c r="O1209" s="12" t="s">
        <v>248</v>
      </c>
      <c r="P1209" s="12">
        <f t="shared" si="25"/>
        <v>0</v>
      </c>
      <c r="Q1209" s="12" t="s">
        <v>59</v>
      </c>
    </row>
    <row r="1210" spans="1:19" x14ac:dyDescent="0.35">
      <c r="A1210" s="12">
        <v>89</v>
      </c>
      <c r="B1210" s="12" t="s">
        <v>2178</v>
      </c>
      <c r="E1210" s="13" t="s">
        <v>2189</v>
      </c>
      <c r="F1210" s="12" t="s">
        <v>2180</v>
      </c>
      <c r="G1210" s="12" t="s">
        <v>494</v>
      </c>
      <c r="H1210" s="15" t="s">
        <v>2181</v>
      </c>
      <c r="I1210" s="28">
        <v>44.273200000000003</v>
      </c>
      <c r="J1210" s="28">
        <v>-63.326999999999998</v>
      </c>
      <c r="K1210" s="12" t="s">
        <v>1910</v>
      </c>
      <c r="L1210" s="12" t="s">
        <v>42</v>
      </c>
      <c r="M1210" s="16"/>
      <c r="N1210" s="16">
        <v>0</v>
      </c>
      <c r="O1210" s="12" t="s">
        <v>248</v>
      </c>
      <c r="P1210" s="12">
        <f t="shared" si="25"/>
        <v>0</v>
      </c>
      <c r="Q1210" s="12" t="s">
        <v>59</v>
      </c>
    </row>
    <row r="1211" spans="1:19" x14ac:dyDescent="0.35">
      <c r="A1211" s="12">
        <v>89</v>
      </c>
      <c r="B1211" s="12" t="s">
        <v>2178</v>
      </c>
      <c r="E1211" s="13" t="s">
        <v>2190</v>
      </c>
      <c r="F1211" s="12" t="s">
        <v>2180</v>
      </c>
      <c r="G1211" s="12" t="s">
        <v>804</v>
      </c>
      <c r="H1211" s="12" t="s">
        <v>2191</v>
      </c>
      <c r="I1211" s="28">
        <v>46.999000000000002</v>
      </c>
      <c r="J1211" s="28">
        <v>-52.832999999999998</v>
      </c>
      <c r="K1211" s="12" t="s">
        <v>1910</v>
      </c>
      <c r="L1211" s="12" t="s">
        <v>42</v>
      </c>
      <c r="M1211" s="16"/>
      <c r="N1211" s="16">
        <v>0</v>
      </c>
      <c r="O1211" s="12" t="s">
        <v>248</v>
      </c>
      <c r="P1211" s="12">
        <f t="shared" si="25"/>
        <v>0</v>
      </c>
      <c r="Q1211" s="12" t="s">
        <v>59</v>
      </c>
    </row>
    <row r="1212" spans="1:19" x14ac:dyDescent="0.35">
      <c r="A1212" s="12">
        <v>89</v>
      </c>
      <c r="B1212" s="12" t="s">
        <v>2178</v>
      </c>
      <c r="E1212" s="13" t="s">
        <v>2192</v>
      </c>
      <c r="F1212" s="12" t="s">
        <v>2180</v>
      </c>
      <c r="G1212" s="12" t="s">
        <v>804</v>
      </c>
      <c r="H1212" s="12" t="s">
        <v>2191</v>
      </c>
      <c r="I1212" s="28">
        <v>46.994999999999997</v>
      </c>
      <c r="J1212" s="28">
        <v>-50.003999999999998</v>
      </c>
      <c r="K1212" s="12" t="s">
        <v>1910</v>
      </c>
      <c r="L1212" s="12" t="s">
        <v>42</v>
      </c>
      <c r="M1212" s="16"/>
      <c r="N1212" s="16">
        <v>0</v>
      </c>
      <c r="O1212" s="12" t="s">
        <v>248</v>
      </c>
      <c r="P1212" s="12">
        <f t="shared" si="25"/>
        <v>0</v>
      </c>
      <c r="Q1212" s="12" t="s">
        <v>59</v>
      </c>
    </row>
    <row r="1213" spans="1:19" x14ac:dyDescent="0.35">
      <c r="A1213" s="12">
        <v>89</v>
      </c>
      <c r="B1213" s="12" t="s">
        <v>2178</v>
      </c>
      <c r="E1213" s="13" t="s">
        <v>2193</v>
      </c>
      <c r="F1213" s="12" t="s">
        <v>2180</v>
      </c>
      <c r="G1213" s="12" t="s">
        <v>804</v>
      </c>
      <c r="H1213" s="12" t="s">
        <v>2191</v>
      </c>
      <c r="I1213" s="28">
        <v>46.999000000000002</v>
      </c>
      <c r="J1213" s="28">
        <v>-47.015999999999998</v>
      </c>
      <c r="K1213" s="12" t="s">
        <v>1910</v>
      </c>
      <c r="L1213" s="12" t="s">
        <v>42</v>
      </c>
      <c r="M1213" s="16"/>
      <c r="N1213" s="16">
        <v>0</v>
      </c>
      <c r="O1213" s="12" t="s">
        <v>248</v>
      </c>
      <c r="P1213" s="12">
        <f t="shared" si="25"/>
        <v>0</v>
      </c>
      <c r="Q1213" s="12" t="s">
        <v>59</v>
      </c>
    </row>
    <row r="1214" spans="1:19" x14ac:dyDescent="0.35">
      <c r="A1214" s="12">
        <v>90</v>
      </c>
      <c r="B1214" s="12" t="s">
        <v>2151</v>
      </c>
      <c r="C1214" s="12">
        <v>2021</v>
      </c>
      <c r="D1214" s="12" t="s">
        <v>2152</v>
      </c>
      <c r="E1214" s="13" t="s">
        <v>2153</v>
      </c>
      <c r="F1214" s="12" t="s">
        <v>2154</v>
      </c>
      <c r="G1214" s="12" t="s">
        <v>54</v>
      </c>
      <c r="H1214" s="12" t="s">
        <v>2155</v>
      </c>
      <c r="I1214" s="28">
        <v>48.627012000000001</v>
      </c>
      <c r="J1214" s="28">
        <v>-123.471304</v>
      </c>
      <c r="K1214" s="12" t="s">
        <v>1910</v>
      </c>
      <c r="L1214" s="12" t="s">
        <v>42</v>
      </c>
      <c r="N1214" s="12">
        <f>8.64*10^(-5)</f>
        <v>8.6400000000000013E-5</v>
      </c>
      <c r="O1214" s="12" t="s">
        <v>59</v>
      </c>
      <c r="P1214" s="12">
        <f>8.64*10^(-5)</f>
        <v>8.6400000000000013E-5</v>
      </c>
      <c r="Q1214" s="12" t="s">
        <v>59</v>
      </c>
    </row>
    <row r="1215" spans="1:19" x14ac:dyDescent="0.35">
      <c r="A1215" s="12">
        <v>90</v>
      </c>
      <c r="B1215" s="12" t="s">
        <v>2151</v>
      </c>
      <c r="C1215" s="12">
        <v>2021</v>
      </c>
      <c r="D1215" s="12" t="s">
        <v>2152</v>
      </c>
      <c r="E1215" s="13" t="s">
        <v>2157</v>
      </c>
      <c r="F1215" s="12" t="s">
        <v>2154</v>
      </c>
      <c r="G1215" s="12" t="s">
        <v>54</v>
      </c>
      <c r="H1215" s="12" t="s">
        <v>2155</v>
      </c>
      <c r="I1215" s="28">
        <v>48.627012000000001</v>
      </c>
      <c r="J1215" s="28">
        <v>-123.471304</v>
      </c>
      <c r="K1215" s="12" t="s">
        <v>1910</v>
      </c>
      <c r="L1215" s="12" t="s">
        <v>42</v>
      </c>
      <c r="N1215" s="12">
        <v>2</v>
      </c>
      <c r="O1215" s="12" t="s">
        <v>59</v>
      </c>
      <c r="P1215" s="12">
        <v>2</v>
      </c>
      <c r="Q1215" s="12" t="s">
        <v>59</v>
      </c>
      <c r="S1215" s="13"/>
    </row>
    <row r="1216" spans="1:19" x14ac:dyDescent="0.35">
      <c r="A1216" s="12">
        <v>90</v>
      </c>
      <c r="B1216" s="12" t="s">
        <v>2151</v>
      </c>
      <c r="C1216" s="12">
        <v>2021</v>
      </c>
      <c r="D1216" s="12" t="s">
        <v>2152</v>
      </c>
      <c r="E1216" s="13" t="s">
        <v>2159</v>
      </c>
      <c r="F1216" s="12" t="s">
        <v>2154</v>
      </c>
      <c r="G1216" s="12" t="s">
        <v>54</v>
      </c>
      <c r="H1216" s="12" t="s">
        <v>2160</v>
      </c>
      <c r="I1216" s="41">
        <v>48.986756</v>
      </c>
      <c r="J1216" s="28">
        <v>-123.761042</v>
      </c>
      <c r="K1216" s="12" t="s">
        <v>1910</v>
      </c>
      <c r="L1216" s="12" t="s">
        <v>42</v>
      </c>
      <c r="N1216" s="12">
        <f>5.59*10^(-5)</f>
        <v>5.5900000000000004E-5</v>
      </c>
      <c r="O1216" s="12" t="s">
        <v>59</v>
      </c>
      <c r="P1216" s="12">
        <f>5.59*10^(-5)</f>
        <v>5.5900000000000004E-5</v>
      </c>
      <c r="Q1216" s="12" t="s">
        <v>59</v>
      </c>
      <c r="S1216" s="13"/>
    </row>
    <row r="1217" spans="1:19" x14ac:dyDescent="0.35">
      <c r="A1217" s="12">
        <v>90</v>
      </c>
      <c r="B1217" s="12" t="s">
        <v>2151</v>
      </c>
      <c r="C1217" s="12">
        <v>2021</v>
      </c>
      <c r="D1217" s="12" t="s">
        <v>2152</v>
      </c>
      <c r="E1217" s="13" t="s">
        <v>2161</v>
      </c>
      <c r="F1217" s="12" t="s">
        <v>2154</v>
      </c>
      <c r="G1217" s="12" t="s">
        <v>54</v>
      </c>
      <c r="H1217" s="12" t="s">
        <v>2160</v>
      </c>
      <c r="I1217" s="41">
        <v>48.986756</v>
      </c>
      <c r="J1217" s="28">
        <v>-123.761042</v>
      </c>
      <c r="K1217" s="12" t="s">
        <v>1910</v>
      </c>
      <c r="L1217" s="12" t="s">
        <v>42</v>
      </c>
      <c r="N1217" s="12">
        <v>1.22</v>
      </c>
      <c r="O1217" s="12" t="s">
        <v>59</v>
      </c>
      <c r="P1217" s="12">
        <v>1.22</v>
      </c>
      <c r="Q1217" s="12" t="s">
        <v>59</v>
      </c>
      <c r="S1217" s="13"/>
    </row>
    <row r="1218" spans="1:19" x14ac:dyDescent="0.35">
      <c r="A1218" s="12">
        <v>90</v>
      </c>
      <c r="B1218" s="12" t="s">
        <v>2151</v>
      </c>
      <c r="C1218" s="12">
        <v>2021</v>
      </c>
      <c r="D1218" s="12" t="s">
        <v>2152</v>
      </c>
      <c r="E1218" s="13" t="s">
        <v>2162</v>
      </c>
      <c r="F1218" s="12" t="s">
        <v>2154</v>
      </c>
      <c r="G1218" s="12" t="s">
        <v>54</v>
      </c>
      <c r="H1218" s="12" t="s">
        <v>2163</v>
      </c>
      <c r="I1218" s="28">
        <v>48.41751</v>
      </c>
      <c r="J1218" s="41">
        <v>-123.38887099999999</v>
      </c>
      <c r="K1218" s="12" t="s">
        <v>1910</v>
      </c>
      <c r="L1218" s="12" t="s">
        <v>42</v>
      </c>
      <c r="N1218" s="12">
        <f>3.25*10^(-5)</f>
        <v>3.2500000000000004E-5</v>
      </c>
      <c r="O1218" s="12" t="s">
        <v>59</v>
      </c>
      <c r="P1218" s="12">
        <f>3.25*10^(-5)</f>
        <v>3.2500000000000004E-5</v>
      </c>
      <c r="Q1218" s="12" t="s">
        <v>59</v>
      </c>
      <c r="S1218" s="13"/>
    </row>
    <row r="1219" spans="1:19" x14ac:dyDescent="0.35">
      <c r="A1219" s="12">
        <v>90</v>
      </c>
      <c r="B1219" s="12" t="s">
        <v>2151</v>
      </c>
      <c r="C1219" s="12">
        <v>2021</v>
      </c>
      <c r="D1219" s="12" t="s">
        <v>2152</v>
      </c>
      <c r="E1219" s="13" t="s">
        <v>2164</v>
      </c>
      <c r="F1219" s="12" t="s">
        <v>2154</v>
      </c>
      <c r="G1219" s="12" t="s">
        <v>54</v>
      </c>
      <c r="H1219" s="12" t="s">
        <v>2163</v>
      </c>
      <c r="I1219" s="28">
        <v>48.41751</v>
      </c>
      <c r="J1219" s="41">
        <v>-123.38887099999999</v>
      </c>
      <c r="K1219" s="12" t="s">
        <v>1910</v>
      </c>
      <c r="L1219" s="12" t="s">
        <v>42</v>
      </c>
      <c r="N1219" s="12">
        <v>2.4</v>
      </c>
      <c r="O1219" s="12" t="s">
        <v>59</v>
      </c>
      <c r="P1219" s="12">
        <v>2.4</v>
      </c>
      <c r="Q1219" s="12" t="s">
        <v>59</v>
      </c>
      <c r="S1219" s="13"/>
    </row>
    <row r="1220" spans="1:19" x14ac:dyDescent="0.35">
      <c r="A1220" s="12">
        <v>91</v>
      </c>
      <c r="B1220" s="12" t="s">
        <v>2165</v>
      </c>
      <c r="C1220" s="12">
        <v>2021</v>
      </c>
      <c r="D1220" s="12" t="s">
        <v>1010</v>
      </c>
      <c r="E1220" s="13" t="s">
        <v>2166</v>
      </c>
      <c r="F1220" s="12" t="s">
        <v>2167</v>
      </c>
      <c r="G1220" s="12" t="s">
        <v>25</v>
      </c>
      <c r="H1220" s="12" t="s">
        <v>2168</v>
      </c>
      <c r="I1220" s="45">
        <v>63.646880000000003</v>
      </c>
      <c r="J1220" s="45">
        <v>-68.522099999999995</v>
      </c>
      <c r="K1220" s="12" t="s">
        <v>1910</v>
      </c>
      <c r="L1220" s="12" t="s">
        <v>42</v>
      </c>
      <c r="N1220" s="46">
        <v>1.83E-2</v>
      </c>
      <c r="O1220" s="12" t="s">
        <v>144</v>
      </c>
      <c r="P1220" s="46">
        <v>1.83E-2</v>
      </c>
      <c r="Q1220" s="12" t="s">
        <v>144</v>
      </c>
      <c r="S1220" s="13" t="s">
        <v>2170</v>
      </c>
    </row>
    <row r="1221" spans="1:19" x14ac:dyDescent="0.35">
      <c r="A1221" s="12">
        <v>91</v>
      </c>
      <c r="B1221" s="12" t="s">
        <v>2165</v>
      </c>
      <c r="C1221" s="12">
        <v>2021</v>
      </c>
      <c r="D1221" s="12" t="s">
        <v>1010</v>
      </c>
      <c r="E1221" s="13" t="s">
        <v>2166</v>
      </c>
      <c r="F1221" s="12" t="s">
        <v>2167</v>
      </c>
      <c r="G1221" s="12" t="s">
        <v>25</v>
      </c>
      <c r="H1221" s="12" t="s">
        <v>2168</v>
      </c>
      <c r="I1221" s="45">
        <v>63.675699999999999</v>
      </c>
      <c r="J1221" s="45">
        <v>-68.534099999999995</v>
      </c>
      <c r="K1221" s="12" t="s">
        <v>1910</v>
      </c>
      <c r="L1221" s="12" t="s">
        <v>42</v>
      </c>
      <c r="N1221" s="46">
        <v>1.409E-2</v>
      </c>
      <c r="O1221" s="12" t="s">
        <v>144</v>
      </c>
      <c r="P1221" s="46">
        <v>1.409E-2</v>
      </c>
      <c r="Q1221" s="12" t="s">
        <v>144</v>
      </c>
      <c r="S1221" s="13"/>
    </row>
    <row r="1222" spans="1:19" x14ac:dyDescent="0.35">
      <c r="A1222" s="12">
        <v>91</v>
      </c>
      <c r="B1222" s="12" t="s">
        <v>2165</v>
      </c>
      <c r="C1222" s="12">
        <v>2021</v>
      </c>
      <c r="D1222" s="12" t="s">
        <v>1010</v>
      </c>
      <c r="E1222" s="13" t="s">
        <v>2166</v>
      </c>
      <c r="F1222" s="12" t="s">
        <v>2167</v>
      </c>
      <c r="G1222" s="12" t="s">
        <v>25</v>
      </c>
      <c r="H1222" s="12" t="s">
        <v>2168</v>
      </c>
      <c r="I1222" s="45">
        <v>63.670169999999999</v>
      </c>
      <c r="J1222" s="45">
        <v>-68.598100000000002</v>
      </c>
      <c r="K1222" s="12" t="s">
        <v>1910</v>
      </c>
      <c r="L1222" s="12" t="s">
        <v>42</v>
      </c>
      <c r="N1222" s="46">
        <v>2.0660000000000001E-2</v>
      </c>
      <c r="O1222" s="12" t="s">
        <v>144</v>
      </c>
      <c r="P1222" s="46">
        <v>2.0660000000000001E-2</v>
      </c>
      <c r="Q1222" s="12" t="s">
        <v>144</v>
      </c>
      <c r="S1222" s="13"/>
    </row>
    <row r="1223" spans="1:19" x14ac:dyDescent="0.35">
      <c r="A1223" s="12">
        <v>91</v>
      </c>
      <c r="B1223" s="12" t="s">
        <v>2165</v>
      </c>
      <c r="C1223" s="12">
        <v>2021</v>
      </c>
      <c r="D1223" s="12" t="s">
        <v>1010</v>
      </c>
      <c r="E1223" s="13" t="s">
        <v>2166</v>
      </c>
      <c r="F1223" s="12" t="s">
        <v>2167</v>
      </c>
      <c r="G1223" s="12" t="s">
        <v>25</v>
      </c>
      <c r="H1223" s="12" t="s">
        <v>2168</v>
      </c>
      <c r="I1223" s="45">
        <v>63.641919999999999</v>
      </c>
      <c r="J1223" s="45">
        <v>-68.586600000000004</v>
      </c>
      <c r="K1223" s="12" t="s">
        <v>1910</v>
      </c>
      <c r="L1223" s="12" t="s">
        <v>42</v>
      </c>
      <c r="N1223" s="46">
        <v>1.1220000000000001E-2</v>
      </c>
      <c r="O1223" s="12" t="s">
        <v>144</v>
      </c>
      <c r="P1223" s="46">
        <v>1.1220000000000001E-2</v>
      </c>
      <c r="Q1223" s="12" t="s">
        <v>144</v>
      </c>
      <c r="S1223" s="13"/>
    </row>
    <row r="1224" spans="1:19" x14ac:dyDescent="0.35">
      <c r="A1224" s="12">
        <v>91</v>
      </c>
      <c r="B1224" s="12" t="s">
        <v>2165</v>
      </c>
      <c r="C1224" s="12">
        <v>2021</v>
      </c>
      <c r="D1224" s="12" t="s">
        <v>1010</v>
      </c>
      <c r="E1224" s="13" t="s">
        <v>2166</v>
      </c>
      <c r="F1224" s="12" t="s">
        <v>2167</v>
      </c>
      <c r="G1224" s="12" t="s">
        <v>25</v>
      </c>
      <c r="H1224" s="12" t="s">
        <v>2168</v>
      </c>
      <c r="I1224" s="45">
        <v>63.132599999999996</v>
      </c>
      <c r="J1224" s="45">
        <v>-67.440700000000007</v>
      </c>
      <c r="K1224" s="12" t="s">
        <v>1910</v>
      </c>
      <c r="L1224" s="12" t="s">
        <v>42</v>
      </c>
      <c r="N1224" s="46">
        <v>4.973E-3</v>
      </c>
      <c r="O1224" s="12" t="s">
        <v>144</v>
      </c>
      <c r="P1224" s="46">
        <v>4.973E-3</v>
      </c>
      <c r="Q1224" s="12" t="s">
        <v>144</v>
      </c>
      <c r="S1224" s="13"/>
    </row>
    <row r="1225" spans="1:19" x14ac:dyDescent="0.35">
      <c r="A1225" s="12">
        <v>91</v>
      </c>
      <c r="B1225" s="12" t="s">
        <v>2165</v>
      </c>
      <c r="C1225" s="12">
        <v>2021</v>
      </c>
      <c r="D1225" s="12" t="s">
        <v>1010</v>
      </c>
      <c r="E1225" s="13" t="s">
        <v>2166</v>
      </c>
      <c r="F1225" s="12" t="s">
        <v>2167</v>
      </c>
      <c r="G1225" s="12" t="s">
        <v>25</v>
      </c>
      <c r="H1225" s="12" t="s">
        <v>2168</v>
      </c>
      <c r="I1225" s="45">
        <v>62.687359999999998</v>
      </c>
      <c r="J1225" s="45">
        <v>-66.770899999999997</v>
      </c>
      <c r="K1225" s="12" t="s">
        <v>1910</v>
      </c>
      <c r="L1225" s="12" t="s">
        <v>42</v>
      </c>
      <c r="N1225" s="46">
        <v>2.928E-2</v>
      </c>
      <c r="O1225" s="12" t="s">
        <v>144</v>
      </c>
      <c r="P1225" s="46">
        <v>2.928E-2</v>
      </c>
      <c r="Q1225" s="12" t="s">
        <v>144</v>
      </c>
      <c r="S1225" s="13"/>
    </row>
    <row r="1226" spans="1:19" x14ac:dyDescent="0.35">
      <c r="A1226" s="12">
        <v>91</v>
      </c>
      <c r="B1226" s="12" t="s">
        <v>2165</v>
      </c>
      <c r="C1226" s="12">
        <v>2021</v>
      </c>
      <c r="D1226" s="12" t="s">
        <v>1010</v>
      </c>
      <c r="E1226" s="13" t="s">
        <v>2166</v>
      </c>
      <c r="F1226" s="12" t="s">
        <v>2167</v>
      </c>
      <c r="G1226" s="12" t="s">
        <v>25</v>
      </c>
      <c r="H1226" s="12" t="s">
        <v>2168</v>
      </c>
      <c r="I1226" s="45">
        <v>62.431049999999999</v>
      </c>
      <c r="J1226" s="45">
        <v>-65.894999999999996</v>
      </c>
      <c r="K1226" s="12" t="s">
        <v>1910</v>
      </c>
      <c r="L1226" s="12" t="s">
        <v>42</v>
      </c>
      <c r="N1226" s="46">
        <v>1.056E-2</v>
      </c>
      <c r="O1226" s="12" t="s">
        <v>144</v>
      </c>
      <c r="P1226" s="46">
        <v>1.056E-2</v>
      </c>
      <c r="Q1226" s="12" t="s">
        <v>144</v>
      </c>
      <c r="S1226" s="13"/>
    </row>
    <row r="1227" spans="1:19" x14ac:dyDescent="0.35">
      <c r="A1227" s="12">
        <v>91</v>
      </c>
      <c r="B1227" s="12" t="s">
        <v>2165</v>
      </c>
      <c r="C1227" s="12">
        <v>2021</v>
      </c>
      <c r="D1227" s="12" t="s">
        <v>1010</v>
      </c>
      <c r="E1227" s="13" t="s">
        <v>2166</v>
      </c>
      <c r="F1227" s="12" t="s">
        <v>2167</v>
      </c>
      <c r="G1227" s="12" t="s">
        <v>25</v>
      </c>
      <c r="H1227" s="12" t="s">
        <v>2168</v>
      </c>
      <c r="I1227" s="45">
        <v>62.431319999999999</v>
      </c>
      <c r="J1227" s="45">
        <v>-65.897599999999997</v>
      </c>
      <c r="K1227" s="12" t="s">
        <v>1910</v>
      </c>
      <c r="L1227" s="12" t="s">
        <v>42</v>
      </c>
      <c r="N1227" s="46">
        <v>5.3080000000000002E-3</v>
      </c>
      <c r="O1227" s="12" t="s">
        <v>144</v>
      </c>
      <c r="P1227" s="46">
        <v>5.3080000000000002E-3</v>
      </c>
      <c r="Q1227" s="12" t="s">
        <v>144</v>
      </c>
      <c r="S1227" s="13"/>
    </row>
    <row r="1228" spans="1:19" x14ac:dyDescent="0.35">
      <c r="A1228" s="12">
        <v>92</v>
      </c>
      <c r="B1228" s="12" t="s">
        <v>2171</v>
      </c>
      <c r="C1228" s="12">
        <v>2022</v>
      </c>
      <c r="D1228" s="12" t="s">
        <v>2172</v>
      </c>
      <c r="E1228" s="13" t="s">
        <v>2173</v>
      </c>
      <c r="F1228" s="12" t="s">
        <v>2174</v>
      </c>
      <c r="G1228" s="12" t="s">
        <v>54</v>
      </c>
      <c r="H1228" s="12" t="s">
        <v>2175</v>
      </c>
      <c r="I1228" s="47">
        <v>49.654222222222224</v>
      </c>
      <c r="J1228" s="47">
        <v>-124.92655555555557</v>
      </c>
      <c r="K1228" s="12" t="s">
        <v>1910</v>
      </c>
      <c r="L1228" s="12" t="s">
        <v>163</v>
      </c>
      <c r="N1228" s="12">
        <v>0.49273858921161801</v>
      </c>
      <c r="O1228" s="12" t="s">
        <v>59</v>
      </c>
      <c r="P1228" s="12">
        <v>0.49273858921161801</v>
      </c>
      <c r="Q1228" s="12" t="s">
        <v>59</v>
      </c>
      <c r="R1228" s="12" t="s">
        <v>2176</v>
      </c>
      <c r="S1228" s="13" t="s">
        <v>2177</v>
      </c>
    </row>
    <row r="1229" spans="1:19" x14ac:dyDescent="0.35">
      <c r="A1229" s="12">
        <v>92</v>
      </c>
      <c r="B1229" s="12" t="s">
        <v>2171</v>
      </c>
      <c r="C1229" s="12">
        <v>2022</v>
      </c>
      <c r="D1229" s="12" t="s">
        <v>2172</v>
      </c>
      <c r="E1229" s="13" t="s">
        <v>2173</v>
      </c>
      <c r="F1229" s="12" t="s">
        <v>2174</v>
      </c>
      <c r="G1229" s="12" t="s">
        <v>54</v>
      </c>
      <c r="H1229" s="12" t="s">
        <v>2175</v>
      </c>
      <c r="I1229" s="47">
        <v>49.636583333333334</v>
      </c>
      <c r="J1229" s="47">
        <v>-124.8935</v>
      </c>
      <c r="K1229" s="12" t="s">
        <v>1910</v>
      </c>
      <c r="L1229" s="12" t="s">
        <v>163</v>
      </c>
      <c r="N1229" s="12">
        <v>0.57053941908713601</v>
      </c>
      <c r="O1229" s="12" t="s">
        <v>59</v>
      </c>
      <c r="P1229" s="12">
        <v>0.57053941908713601</v>
      </c>
      <c r="Q1229" s="12" t="s">
        <v>59</v>
      </c>
      <c r="R1229" s="12" t="s">
        <v>2176</v>
      </c>
      <c r="S1229" s="13"/>
    </row>
    <row r="1230" spans="1:19" x14ac:dyDescent="0.35">
      <c r="A1230" s="12">
        <v>92</v>
      </c>
      <c r="B1230" s="12" t="s">
        <v>2171</v>
      </c>
      <c r="C1230" s="12">
        <v>2022</v>
      </c>
      <c r="D1230" s="12" t="s">
        <v>2172</v>
      </c>
      <c r="E1230" s="13" t="s">
        <v>2173</v>
      </c>
      <c r="F1230" s="12" t="s">
        <v>2174</v>
      </c>
      <c r="G1230" s="12" t="s">
        <v>54</v>
      </c>
      <c r="H1230" s="12" t="s">
        <v>2175</v>
      </c>
      <c r="I1230" s="47">
        <v>49.601611111111112</v>
      </c>
      <c r="J1230" s="47">
        <v>-124.84163888888888</v>
      </c>
      <c r="K1230" s="12" t="s">
        <v>1910</v>
      </c>
      <c r="L1230" s="12" t="s">
        <v>163</v>
      </c>
      <c r="N1230" s="12">
        <v>0.63278008298755095</v>
      </c>
      <c r="O1230" s="12" t="s">
        <v>59</v>
      </c>
      <c r="P1230" s="12">
        <v>0.63278008298755095</v>
      </c>
      <c r="Q1230" s="12" t="s">
        <v>59</v>
      </c>
      <c r="R1230" s="12" t="s">
        <v>2176</v>
      </c>
      <c r="S1230" s="13"/>
    </row>
    <row r="1231" spans="1:19" x14ac:dyDescent="0.35">
      <c r="A1231" s="12">
        <v>92</v>
      </c>
      <c r="B1231" s="12" t="s">
        <v>2171</v>
      </c>
      <c r="C1231" s="12">
        <v>2022</v>
      </c>
      <c r="D1231" s="12" t="s">
        <v>2172</v>
      </c>
      <c r="E1231" s="13" t="s">
        <v>2173</v>
      </c>
      <c r="F1231" s="12" t="s">
        <v>2174</v>
      </c>
      <c r="G1231" s="12" t="s">
        <v>54</v>
      </c>
      <c r="H1231" s="12" t="s">
        <v>2175</v>
      </c>
      <c r="I1231" s="47">
        <v>49.596055555555559</v>
      </c>
      <c r="J1231" s="47">
        <v>-124.86402777777778</v>
      </c>
      <c r="K1231" s="12" t="s">
        <v>1910</v>
      </c>
      <c r="L1231" s="12" t="s">
        <v>163</v>
      </c>
      <c r="N1231" s="12">
        <v>0.67946058091286199</v>
      </c>
      <c r="O1231" s="12" t="s">
        <v>59</v>
      </c>
      <c r="P1231" s="12">
        <v>0.67946058091286199</v>
      </c>
      <c r="Q1231" s="12" t="s">
        <v>59</v>
      </c>
      <c r="R1231" s="12" t="s">
        <v>2176</v>
      </c>
      <c r="S1231" s="13"/>
    </row>
    <row r="1232" spans="1:19" x14ac:dyDescent="0.35">
      <c r="A1232" s="12">
        <v>92</v>
      </c>
      <c r="B1232" s="12" t="s">
        <v>2171</v>
      </c>
      <c r="C1232" s="12">
        <v>2022</v>
      </c>
      <c r="D1232" s="12" t="s">
        <v>2172</v>
      </c>
      <c r="E1232" s="13" t="s">
        <v>2173</v>
      </c>
      <c r="F1232" s="12" t="s">
        <v>2174</v>
      </c>
      <c r="G1232" s="12" t="s">
        <v>54</v>
      </c>
      <c r="H1232" s="12" t="s">
        <v>2175</v>
      </c>
      <c r="I1232" s="47">
        <v>49.536361111111113</v>
      </c>
      <c r="J1232" s="47">
        <v>-124.84358333333333</v>
      </c>
      <c r="K1232" s="12" t="s">
        <v>1910</v>
      </c>
      <c r="L1232" s="12" t="s">
        <v>163</v>
      </c>
      <c r="N1232" s="12">
        <v>0.352697095435684</v>
      </c>
      <c r="O1232" s="12" t="s">
        <v>59</v>
      </c>
      <c r="P1232" s="12">
        <v>0.352697095435684</v>
      </c>
      <c r="Q1232" s="12" t="s">
        <v>59</v>
      </c>
      <c r="R1232" s="12" t="s">
        <v>2176</v>
      </c>
      <c r="S1232" s="48"/>
    </row>
    <row r="1233" spans="1:18" x14ac:dyDescent="0.35">
      <c r="A1233" s="12">
        <v>92</v>
      </c>
      <c r="B1233" s="12" t="s">
        <v>2171</v>
      </c>
      <c r="C1233" s="12">
        <v>2022</v>
      </c>
      <c r="D1233" s="12" t="s">
        <v>2172</v>
      </c>
      <c r="E1233" s="13" t="s">
        <v>2173</v>
      </c>
      <c r="F1233" s="12" t="s">
        <v>2174</v>
      </c>
      <c r="G1233" s="12" t="s">
        <v>54</v>
      </c>
      <c r="H1233" s="12" t="s">
        <v>2175</v>
      </c>
      <c r="I1233" s="47">
        <v>49.483166666666669</v>
      </c>
      <c r="J1233" s="47">
        <v>-124.77877777777778</v>
      </c>
      <c r="K1233" s="12" t="s">
        <v>1910</v>
      </c>
      <c r="L1233" s="12" t="s">
        <v>163</v>
      </c>
      <c r="N1233" s="12">
        <v>0.352697095435684</v>
      </c>
      <c r="O1233" s="12" t="s">
        <v>59</v>
      </c>
      <c r="P1233" s="12">
        <v>0.352697095435684</v>
      </c>
      <c r="Q1233" s="12" t="s">
        <v>59</v>
      </c>
      <c r="R1233" s="12" t="s">
        <v>2176</v>
      </c>
    </row>
    <row r="1234" spans="1:18" x14ac:dyDescent="0.35">
      <c r="A1234" s="12">
        <v>92</v>
      </c>
      <c r="B1234" s="12" t="s">
        <v>2171</v>
      </c>
      <c r="C1234" s="12">
        <v>2022</v>
      </c>
      <c r="D1234" s="12" t="s">
        <v>2172</v>
      </c>
      <c r="E1234" s="13" t="s">
        <v>2173</v>
      </c>
      <c r="F1234" s="12" t="s">
        <v>2174</v>
      </c>
      <c r="G1234" s="12" t="s">
        <v>54</v>
      </c>
      <c r="H1234" s="12" t="s">
        <v>2175</v>
      </c>
      <c r="I1234" s="47">
        <v>49.475305555555558</v>
      </c>
      <c r="J1234" s="47">
        <v>-124.74836111111111</v>
      </c>
      <c r="K1234" s="12" t="s">
        <v>1910</v>
      </c>
      <c r="L1234" s="12" t="s">
        <v>163</v>
      </c>
      <c r="N1234" s="12">
        <v>0.66908713692945998</v>
      </c>
      <c r="O1234" s="12" t="s">
        <v>59</v>
      </c>
      <c r="P1234" s="12">
        <v>0.66908713692945998</v>
      </c>
      <c r="Q1234" s="12" t="s">
        <v>59</v>
      </c>
      <c r="R1234" s="12" t="s">
        <v>2176</v>
      </c>
    </row>
    <row r="1235" spans="1:18" x14ac:dyDescent="0.35">
      <c r="A1235" s="12">
        <v>92</v>
      </c>
      <c r="B1235" s="12" t="s">
        <v>2171</v>
      </c>
      <c r="C1235" s="12">
        <v>2022</v>
      </c>
      <c r="D1235" s="12" t="s">
        <v>2172</v>
      </c>
      <c r="E1235" s="13" t="s">
        <v>2173</v>
      </c>
      <c r="F1235" s="12" t="s">
        <v>2174</v>
      </c>
      <c r="G1235" s="12" t="s">
        <v>54</v>
      </c>
      <c r="H1235" s="12" t="s">
        <v>2175</v>
      </c>
      <c r="I1235" s="47">
        <v>49.479277777777781</v>
      </c>
      <c r="J1235" s="47">
        <v>-124.71580555555556</v>
      </c>
      <c r="K1235" s="12" t="s">
        <v>1910</v>
      </c>
      <c r="L1235" s="12" t="s">
        <v>163</v>
      </c>
      <c r="N1235" s="12">
        <v>0.50829875518672096</v>
      </c>
      <c r="O1235" s="12" t="s">
        <v>59</v>
      </c>
      <c r="P1235" s="12">
        <v>0.50829875518672096</v>
      </c>
      <c r="Q1235" s="12" t="s">
        <v>59</v>
      </c>
      <c r="R1235" s="12" t="s">
        <v>2176</v>
      </c>
    </row>
    <row r="1236" spans="1:18" x14ac:dyDescent="0.35">
      <c r="A1236" s="12">
        <v>92</v>
      </c>
      <c r="B1236" s="12" t="s">
        <v>2171</v>
      </c>
      <c r="C1236" s="12">
        <v>2022</v>
      </c>
      <c r="D1236" s="12" t="s">
        <v>2172</v>
      </c>
      <c r="E1236" s="13" t="s">
        <v>2173</v>
      </c>
      <c r="F1236" s="12" t="s">
        <v>2174</v>
      </c>
      <c r="G1236" s="12" t="s">
        <v>54</v>
      </c>
      <c r="H1236" s="12" t="s">
        <v>2175</v>
      </c>
      <c r="I1236" s="47">
        <v>49.479277777777781</v>
      </c>
      <c r="J1236" s="47">
        <v>-124.71580555555556</v>
      </c>
      <c r="K1236" s="12" t="s">
        <v>1910</v>
      </c>
      <c r="L1236" s="12" t="s">
        <v>163</v>
      </c>
      <c r="N1236" s="12">
        <v>0.53423236514522798</v>
      </c>
      <c r="O1236" s="12" t="s">
        <v>59</v>
      </c>
      <c r="P1236" s="12">
        <v>0.53423236514522798</v>
      </c>
      <c r="Q1236" s="12" t="s">
        <v>59</v>
      </c>
      <c r="R1236" s="12" t="s">
        <v>2176</v>
      </c>
    </row>
    <row r="1237" spans="1:18" x14ac:dyDescent="0.35">
      <c r="A1237" s="12">
        <v>92</v>
      </c>
      <c r="B1237" s="12" t="s">
        <v>2171</v>
      </c>
      <c r="C1237" s="12">
        <v>2022</v>
      </c>
      <c r="D1237" s="12" t="s">
        <v>2172</v>
      </c>
      <c r="E1237" s="13" t="s">
        <v>2173</v>
      </c>
      <c r="F1237" s="12" t="s">
        <v>2174</v>
      </c>
      <c r="G1237" s="12" t="s">
        <v>54</v>
      </c>
      <c r="H1237" s="12" t="s">
        <v>2175</v>
      </c>
      <c r="I1237" s="47">
        <v>49.507638888888891</v>
      </c>
      <c r="J1237" s="47">
        <v>-124.71633333333334</v>
      </c>
      <c r="K1237" s="12" t="s">
        <v>1910</v>
      </c>
      <c r="L1237" s="12" t="s">
        <v>163</v>
      </c>
      <c r="N1237" s="12">
        <v>0.68464730290456399</v>
      </c>
      <c r="O1237" s="12" t="s">
        <v>59</v>
      </c>
      <c r="P1237" s="12">
        <v>0.68464730290456399</v>
      </c>
      <c r="Q1237" s="12" t="s">
        <v>59</v>
      </c>
      <c r="R1237" s="12" t="s">
        <v>2176</v>
      </c>
    </row>
    <row r="1238" spans="1:18" x14ac:dyDescent="0.35">
      <c r="A1238" s="12">
        <v>92</v>
      </c>
      <c r="B1238" s="12" t="s">
        <v>2171</v>
      </c>
      <c r="C1238" s="12">
        <v>2022</v>
      </c>
      <c r="D1238" s="12" t="s">
        <v>2172</v>
      </c>
      <c r="E1238" s="13" t="s">
        <v>2173</v>
      </c>
      <c r="F1238" s="12" t="s">
        <v>2174</v>
      </c>
      <c r="G1238" s="12" t="s">
        <v>54</v>
      </c>
      <c r="H1238" s="12" t="s">
        <v>2175</v>
      </c>
      <c r="I1238" s="47">
        <v>49.589000000000006</v>
      </c>
      <c r="J1238" s="47">
        <v>-124.792</v>
      </c>
      <c r="K1238" s="12" t="s">
        <v>1910</v>
      </c>
      <c r="L1238" s="12" t="s">
        <v>163</v>
      </c>
      <c r="N1238" s="12">
        <v>0.554979253112033</v>
      </c>
      <c r="O1238" s="12" t="s">
        <v>59</v>
      </c>
      <c r="P1238" s="12">
        <v>0.554979253112033</v>
      </c>
      <c r="Q1238" s="12" t="s">
        <v>59</v>
      </c>
      <c r="R1238" s="12" t="s">
        <v>2176</v>
      </c>
    </row>
    <row r="1239" spans="1:18" x14ac:dyDescent="0.35">
      <c r="M1239" s="16"/>
    </row>
  </sheetData>
  <autoFilter ref="A1:XEE1238" xr:uid="{60E697EF-0CA7-478F-AF2B-BD2CF36393B3}">
    <sortState xmlns:xlrd2="http://schemas.microsoft.com/office/spreadsheetml/2017/richdata2" ref="A2:AR1238">
      <sortCondition ref="A1:A1238"/>
    </sortState>
  </autoFilter>
  <phoneticPr fontId="8" type="noConversion"/>
  <dataValidations count="3">
    <dataValidation type="list" allowBlank="1" showInputMessage="1" showErrorMessage="1" sqref="O691 O694 O655:O663 O666 O669 O671 O674 O676 O680:O681 O685:O686 O688 O697:O729 Q2:Q279 Q962:Q973 O367:O470 Q823:Q864 O848:O852 O986:O1049 O891:O956 Q891:Q956 Q655:Q802 Q977:Q1215 Q808:Q814 O1208:O1215 Q281:Q649" xr:uid="{7AC058BE-DB69-42BE-AB6A-B157253A79A4}">
      <formula1>"µg/L,ng/g,particles/L,particles/Km2,items/m2,particles/Kg dw, particles/Kg ww, particles/m2/day"</formula1>
    </dataValidation>
    <dataValidation type="list" allowBlank="1" showInputMessage="1" showErrorMessage="1" sqref="K26:K28 BO228 CU228 DK228 EA228 EQ228 FG228 FW228 GM228 HC228 HS228 II228 IY228 JO228 KE228 KU228 LK228 MA228 MQ228 NG228 NW228 OM228 PC228 PS228 QI228 QY228 RO228 SE228 SU228 TK228 UA228 UQ228 VG228 VW228 WM228 XC228 XS228 YI228 YY228 ZO228 AAE228 AAU228 ABK228 ACA228 ACQ228 ADG228 ADW228 AEM228 AFC228 AFS228 AGI228 AGY228 AHO228 AIE228 AIU228 AJK228 AKA228 AKQ228 ALG228 ALW228 AMM228 ANC228 ANS228 AOI228 AOY228 APO228 AQE228 AQU228 ARK228 ASA228 ASQ228 ATG228 ATW228 AUM228 AVC228 AVS228 AWI228 AWY228 AXO228 AYE228 AYU228 AZK228 BAA228 BAQ228 BBG228 BBW228 BCM228 BDC228 BDS228 BEI228 BEY228 BFO228 BGE228 BGU228 BHK228 BIA228 BIQ228 BJG228 BJW228 BKM228 BLC228 BLS228 BMI228 BMY228 BNO228 BOE228 BOU228 BPK228 BQA228 BQQ228 BRG228 BRW228 BSM228 BTC228 BTS228 BUI228 BUY228 BVO228 BWE228 BWU228 BXK228 BYA228 BYQ228 BZG228 BZW228 CAM228 CBC228 CBS228 CCI228 CCY228 CDO228 CEE228 CEU228 CFK228 CGA228 CGQ228 CHG228 CHW228 CIM228 CJC228 CJS228 CKI228 CKY228 CLO228 CME228 CMU228 CNK228 COA228 COQ228 CPG228 CPW228 CQM228 CRC228 CRS228 CSI228 CSY228 CTO228 CUE228 CUU228 CVK228 CWA228 CWQ228 CXG228 CXW228 CYM228 CZC228 CZS228 DAI228 DAY228 DBO228 DCE228 DCU228 DDK228 DEA228 DEQ228 DFG228 DFW228 DGM228 DHC228 DHS228 DII228 DIY228 DJO228 DKE228 DKU228 DLK228 DMA228 DMQ228 DNG228 DNW228 DOM228 DPC228 DPS228 DQI228 DQY228 DRO228 DSE228 DSU228 DTK228 DUA228 DUQ228 DVG228 DVW228 DWM228 DXC228 DXS228 DYI228 DYY228 DZO228 EAE228 EAU228 EBK228 ECA228 ECQ228 EDG228 EDW228 EEM228 EFC228 EFS228 EGI228 EGY228 EHO228 EIE228 EIU228 EJK228 EKA228 EKQ228 ELG228 ELW228 EMM228 ENC228 ENS228 EOI228 EOY228 EPO228 EQE228 EQU228 ERK228 ESA228 ESQ228 ETG228 ETW228 EUM228 EVC228 EVS228 EWI228 EWY228 EXO228 EYE228 EYU228 EZK228 FAA228 FAQ228 FBG228 FBW228 FCM228 FDC228 FDS228 FEI228 FEY228 FFO228 FGE228 FGU228 FHK228 FIA228 FIQ228 FJG228 FJW228 FKM228 FLC228 FLS228 FMI228 FMY228 FNO228 FOE228 FOU228 FPK228 FQA228 FQQ228 FRG228 FRW228 FSM228 FTC228 FTS228 FUI228 FUY228 FVO228 FWE228 FWU228 FXK228 FYA228 FYQ228 FZG228 FZW228 GAM228 GBC228 GBS228 GCI228 GCY228 GDO228 GEE228 GEU228 GFK228 GGA228 GGQ228 GHG228 GHW228 GIM228 GJC228 GJS228 GKI228 GKY228 GLO228 GME228 GMU228 GNK228 GOA228 GOQ228 GPG228 GPW228 GQM228 GRC228 GRS228 GSI228 GSY228 GTO228 GUE228 GUU228 GVK228 GWA228 GWQ228 GXG228 GXW228 GYM228 GZC228 GZS228 HAI228 HAY228 HBO228 HCE228 HCU228 HDK228 HEA228 HEQ228 HFG228 HFW228 HGM228 HHC228 HHS228 HII228 HIY228 HJO228 HKE228 HKU228 HLK228 HMA228 HMQ228 HNG228 HNW228 HOM228 HPC228 HPS228 HQI228 HQY228 HRO228 HSE228 HSU228 HTK228 HUA228 HUQ228 HVG228 HVW228 HWM228 HXC228 HXS228 HYI228 HYY228 HZO228 IAE228 IAU228 IBK228 ICA228 ICQ228 IDG228 IDW228 IEM228 IFC228 IFS228 IGI228 IGY228 IHO228 IIE228 IIU228 IJK228 IKA228 IKQ228 ILG228 ILW228 IMM228 INC228 INS228 IOI228 IOY228 IPO228 IQE228 IQU228 IRK228 ISA228 ISQ228 ITG228 ITW228 IUM228 IVC228 IVS228 IWI228 IWY228 IXO228 IYE228 IYU228 IZK228 JAA228 JAQ228 JBG228 JBW228 JCM228 JDC228 JDS228 JEI228 JEY228 JFO228 JGE228 JGU228 JHK228 JIA228 JIQ228 JJG228 JJW228 JKM228 JLC228 JLS228 JMI228 JMY228 JNO228 JOE228 JOU228 JPK228 JQA228 JQQ228 JRG228 JRW228 JSM228 JTC228 JTS228 JUI228 JUY228 JVO228 JWE228 JWU228 JXK228 JYA228 JYQ228 JZG228 JZW228 KAM228 KBC228 KBS228 KCI228 KCY228 KDO228 KEE228 KEU228 KFK228 KGA228 KGQ228 KHG228 KHW228 KIM228 KJC228 KJS228 KKI228 KKY228 KLO228 KME228 KMU228 KNK228 KOA228 KOQ228 KPG228 KPW228 KQM228 KRC228 KRS228 KSI228 KSY228 KTO228 KUE228 KUU228 KVK228 KWA228 KWQ228 KXG228 KXW228 KYM228 KZC228 KZS228 LAI228 LAY228 LBO228 LCE228 LCU228 LDK228 LEA228 LEQ228 LFG228 LFW228 LGM228 LHC228 LHS228 LII228 LIY228 LJO228 LKE228 LKU228 LLK228 LMA228 LMQ228 LNG228 LNW228 LOM228 LPC228 LPS228 LQI228 LQY228 LRO228 LSE228 LSU228 LTK228 LUA228 LUQ228 LVG228 LVW228 LWM228 LXC228 LXS228 LYI228 LYY228 LZO228 MAE228 MAU228 MBK228 MCA228 MCQ228 MDG228 MDW228 MEM228 MFC228 MFS228 MGI228 MGY228 MHO228 MIE228 MIU228 MJK228 MKA228 MKQ228 MLG228 MLW228 MMM228 MNC228 MNS228 MOI228 MOY228 MPO228 MQE228 MQU228 MRK228 MSA228 MSQ228 MTG228 MTW228 MUM228 MVC228 MVS228 MWI228 MWY228 MXO228 MYE228 MYU228 MZK228 NAA228 NAQ228 NBG228 NBW228 NCM228 NDC228 NDS228 NEI228 NEY228 NFO228 NGE228 NGU228 NHK228 NIA228 NIQ228 NJG228 NJW228 NKM228 NLC228 NLS228 NMI228 NMY228 NNO228 NOE228 NOU228 NPK228 NQA228 NQQ228 NRG228 NRW228 NSM228 NTC228 NTS228 NUI228 NUY228 NVO228 NWE228 NWU228 NXK228 NYA228 NYQ228 NZG228 NZW228 OAM228 OBC228 OBS228 OCI228 OCY228 ODO228 OEE228 OEU228 OFK228 OGA228 OGQ228 OHG228 OHW228 OIM228 OJC228 OJS228 OKI228 OKY228 OLO228 OME228 OMU228 ONK228 OOA228 OOQ228 OPG228 OPW228 OQM228 ORC228 ORS228 OSI228 OSY228 OTO228 OUE228 OUU228 OVK228 OWA228 OWQ228 OXG228 OXW228 OYM228 OZC228 OZS228 PAI228 PAY228 PBO228 PCE228 PCU228 PDK228 PEA228 PEQ228 PFG228 PFW228 PGM228 PHC228 PHS228 PII228 PIY228 PJO228 PKE228 PKU228 PLK228 PMA228 PMQ228 PNG228 PNW228 POM228 PPC228 PPS228 PQI228 PQY228 PRO228 PSE228 PSU228 PTK228 PUA228 PUQ228 PVG228 PVW228 PWM228 PXC228 PXS228 PYI228 PYY228 PZO228 QAE228 QAU228 QBK228 QCA228 QCQ228 QDG228 QDW228 QEM228 QFC228 QFS228 QGI228 QGY228 QHO228 QIE228 QIU228 QJK228 QKA228 QKQ228 QLG228 QLW228 QMM228 QNC228 QNS228 QOI228 QOY228 QPO228 QQE228 QQU228 QRK228 QSA228 QSQ228 QTG228 QTW228 QUM228 QVC228 QVS228 QWI228 QWY228 QXO228 QYE228 QYU228 QZK228 RAA228 RAQ228 RBG228 RBW228 RCM228 RDC228 RDS228 REI228 REY228 RFO228 RGE228 RGU228 RHK228 RIA228 RIQ228 RJG228 RJW228 RKM228 RLC228 RLS228 RMI228 RMY228 RNO228 ROE228 ROU228 RPK228 RQA228 RQQ228 RRG228 RRW228 RSM228 RTC228 RTS228 RUI228 RUY228 RVO228 RWE228 RWU228 RXK228 RYA228 RYQ228 RZG228 RZW228 SAM228 SBC228 SBS228 SCI228 SCY228 SDO228 SEE228 SEU228 SFK228 SGA228 SGQ228 SHG228 SHW228 SIM228 SJC228 SJS228 SKI228 SKY228 SLO228 SME228 SMU228 SNK228 SOA228 SOQ228 SPG228 SPW228 SQM228 SRC228 SRS228 SSI228 SSY228 STO228 SUE228 SUU228 SVK228 SWA228 SWQ228 SXG228 SXW228 SYM228 SZC228 SZS228 TAI228 TAY228 TBO228 TCE228 TCU228 TDK228 TEA228 TEQ228 TFG228 TFW228 TGM228 THC228 THS228 TII228 TIY228 TJO228 TKE228 TKU228 TLK228 TMA228 TMQ228 TNG228 TNW228 TOM228 TPC228 TPS228 TQI228 TQY228 TRO228 TSE228 TSU228 TTK228 TUA228 TUQ228 TVG228 TVW228 TWM228 TXC228 TXS228 TYI228 TYY228 TZO228 UAE228 UAU228 UBK228 UCA228 UCQ228 UDG228 UDW228 UEM228 UFC228 UFS228 UGI228 UGY228 UHO228 UIE228 UIU228 UJK228 UKA228 UKQ228 ULG228 ULW228 UMM228 UNC228 UNS228 UOI228 UOY228 UPO228 UQE228 UQU228 URK228 USA228 USQ228 UTG228 UTW228 UUM228 UVC228 UVS228 UWI228 UWY228 UXO228 UYE228 UYU228 UZK228 VAA228 VAQ228 VBG228 VBW228 VCM228 VDC228 VDS228 VEI228 VEY228 VFO228 VGE228 VGU228 VHK228 VIA228 VIQ228 VJG228 VJW228 VKM228 VLC228 VLS228 VMI228 VMY228 VNO228 VOE228 VOU228 VPK228 VQA228 VQQ228 VRG228 VRW228 VSM228 VTC228 VTS228 VUI228 VUY228 VVO228 VWE228 VWU228 VXK228 VYA228 VYQ228 VZG228 VZW228 WAM228 WBC228 WBS228 WCI228 WCY228 WDO228 WEE228 WEU228 WFK228 WGA228 WGQ228 WHG228 WHW228 WIM228 WJC228 WJS228 WKI228 WKY228 WLO228 WME228 WMU228 WNK228 WOA228 WOQ228 WPG228 WPW228 WQM228 WRC228 WRS228 WSI228 WSY228 WTO228 WUE228 WUU228 WVK228 WWA228 WWQ228 WXG228 WXW228 WYM228 WZC228 WZS228 XAI228 XAY228 XBO228 XCE228 XCU228 XDK228 XEA228 S228 CE228 AI228 AY228" xr:uid="{0A4835A5-F973-433B-98E6-967F6BCC98EE}">
      <formula1>"Water, Sediment, Organism, Combination, Other"</formula1>
    </dataValidation>
    <dataValidation type="list" allowBlank="1" showInputMessage="1" showErrorMessage="1" sqref="G697:G729 AW228 BM228 DI228 DY228 EO228 FE228 FU228 GK228 HA228 HQ228 IG228 IW228 JM228 KC228 KS228 LI228 LY228 MO228 NE228 NU228 OK228 PA228 PQ228 QG228 QW228 RM228 SC228 SS228 TI228 TY228 UO228 VE228 VU228 WK228 XA228 XQ228 YG228 YW228 ZM228 AAC228 AAS228 ABI228 ABY228 ACO228 ADE228 ADU228 AEK228 AFA228 AFQ228 AGG228 AGW228 AHM228 AIC228 AIS228 AJI228 AJY228 AKO228 ALE228 ALU228 AMK228 ANA228 ANQ228 AOG228 AOW228 APM228 AQC228 AQS228 ARI228 ARY228 ASO228 ATE228 ATU228 AUK228 AVA228 AVQ228 AWG228 AWW228 AXM228 AYC228 AYS228 AZI228 AZY228 BAO228 BBE228 BBU228 BCK228 BDA228 BDQ228 BEG228 BEW228 BFM228 BGC228 BGS228 BHI228 BHY228 BIO228 BJE228 BJU228 BKK228 BLA228 BLQ228 BMG228 BMW228 BNM228 BOC228 BOS228 BPI228 BPY228 BQO228 BRE228 BRU228 BSK228 BTA228 BTQ228 BUG228 BUW228 BVM228 BWC228 BWS228 BXI228 BXY228 BYO228 BZE228 BZU228 CAK228 CBA228 CBQ228 CCG228 CCW228 CDM228 CEC228 CES228 CFI228 CFY228 CGO228 CHE228 CHU228 CIK228 CJA228 CJQ228 CKG228 CKW228 CLM228 CMC228 CMS228 CNI228 CNY228 COO228 CPE228 CPU228 CQK228 CRA228 CRQ228 CSG228 CSW228 CTM228 CUC228 CUS228 CVI228 CVY228 CWO228 CXE228 CXU228 CYK228 CZA228 CZQ228 DAG228 DAW228 DBM228 DCC228 DCS228 DDI228 DDY228 DEO228 DFE228 DFU228 DGK228 DHA228 DHQ228 DIG228 DIW228 DJM228 DKC228 DKS228 DLI228 DLY228 DMO228 DNE228 DNU228 DOK228 DPA228 DPQ228 DQG228 DQW228 DRM228 DSC228 DSS228 DTI228 DTY228 DUO228 DVE228 DVU228 DWK228 DXA228 DXQ228 DYG228 DYW228 DZM228 EAC228 EAS228 EBI228 EBY228 ECO228 EDE228 EDU228 EEK228 EFA228 EFQ228 EGG228 EGW228 EHM228 EIC228 EIS228 EJI228 EJY228 EKO228 ELE228 ELU228 EMK228 ENA228 ENQ228 EOG228 EOW228 EPM228 EQC228 EQS228 ERI228 ERY228 ESO228 ETE228 ETU228 EUK228 EVA228 EVQ228 EWG228 EWW228 EXM228 EYC228 EYS228 EZI228 EZY228 FAO228 FBE228 FBU228 FCK228 FDA228 FDQ228 FEG228 FEW228 FFM228 FGC228 FGS228 FHI228 FHY228 FIO228 FJE228 FJU228 FKK228 FLA228 FLQ228 FMG228 FMW228 FNM228 FOC228 FOS228 FPI228 FPY228 FQO228 FRE228 FRU228 FSK228 FTA228 FTQ228 FUG228 FUW228 FVM228 FWC228 FWS228 FXI228 FXY228 FYO228 FZE228 FZU228 GAK228 GBA228 GBQ228 GCG228 GCW228 GDM228 GEC228 GES228 GFI228 GFY228 GGO228 GHE228 GHU228 GIK228 GJA228 GJQ228 GKG228 GKW228 GLM228 GMC228 GMS228 GNI228 GNY228 GOO228 GPE228 GPU228 GQK228 GRA228 GRQ228 GSG228 GSW228 GTM228 GUC228 GUS228 GVI228 GVY228 GWO228 GXE228 GXU228 GYK228 GZA228 GZQ228 HAG228 HAW228 HBM228 HCC228 HCS228 HDI228 HDY228 HEO228 HFE228 HFU228 HGK228 HHA228 HHQ228 HIG228 HIW228 HJM228 HKC228 HKS228 HLI228 HLY228 HMO228 HNE228 HNU228 HOK228 HPA228 HPQ228 HQG228 HQW228 HRM228 HSC228 HSS228 HTI228 HTY228 HUO228 HVE228 HVU228 HWK228 HXA228 HXQ228 HYG228 HYW228 HZM228 IAC228 IAS228 IBI228 IBY228 ICO228 IDE228 IDU228 IEK228 IFA228 IFQ228 IGG228 IGW228 IHM228 IIC228 IIS228 IJI228 IJY228 IKO228 ILE228 ILU228 IMK228 INA228 INQ228 IOG228 IOW228 IPM228 IQC228 IQS228 IRI228 IRY228 ISO228 ITE228 ITU228 IUK228 IVA228 IVQ228 IWG228 IWW228 IXM228 IYC228 IYS228 IZI228 IZY228 JAO228 JBE228 JBU228 JCK228 JDA228 JDQ228 JEG228 JEW228 JFM228 JGC228 JGS228 JHI228 JHY228 JIO228 JJE228 JJU228 JKK228 JLA228 JLQ228 JMG228 JMW228 JNM228 JOC228 JOS228 JPI228 JPY228 JQO228 JRE228 JRU228 JSK228 JTA228 JTQ228 JUG228 JUW228 JVM228 JWC228 JWS228 JXI228 JXY228 JYO228 JZE228 JZU228 KAK228 KBA228 KBQ228 KCG228 KCW228 KDM228 KEC228 KES228 KFI228 KFY228 KGO228 KHE228 KHU228 KIK228 KJA228 KJQ228 KKG228 KKW228 KLM228 KMC228 KMS228 KNI228 KNY228 KOO228 KPE228 KPU228 KQK228 KRA228 KRQ228 KSG228 KSW228 KTM228 KUC228 KUS228 KVI228 KVY228 KWO228 KXE228 KXU228 KYK228 KZA228 KZQ228 LAG228 LAW228 LBM228 LCC228 LCS228 LDI228 LDY228 LEO228 LFE228 LFU228 LGK228 LHA228 LHQ228 LIG228 LIW228 LJM228 LKC228 LKS228 LLI228 LLY228 LMO228 LNE228 LNU228 LOK228 LPA228 LPQ228 LQG228 LQW228 LRM228 LSC228 LSS228 LTI228 LTY228 LUO228 LVE228 LVU228 LWK228 LXA228 LXQ228 LYG228 LYW228 LZM228 MAC228 MAS228 MBI228 MBY228 MCO228 MDE228 MDU228 MEK228 MFA228 MFQ228 MGG228 MGW228 MHM228 MIC228 MIS228 MJI228 MJY228 MKO228 MLE228 MLU228 MMK228 MNA228 MNQ228 MOG228 MOW228 MPM228 MQC228 MQS228 MRI228 MRY228 MSO228 MTE228 MTU228 MUK228 MVA228 MVQ228 MWG228 MWW228 MXM228 MYC228 MYS228 MZI228 MZY228 NAO228 NBE228 NBU228 NCK228 NDA228 NDQ228 NEG228 NEW228 NFM228 NGC228 NGS228 NHI228 NHY228 NIO228 NJE228 NJU228 NKK228 NLA228 NLQ228 NMG228 NMW228 NNM228 NOC228 NOS228 NPI228 NPY228 NQO228 NRE228 NRU228 NSK228 NTA228 NTQ228 NUG228 NUW228 NVM228 NWC228 NWS228 NXI228 NXY228 NYO228 NZE228 NZU228 OAK228 OBA228 OBQ228 OCG228 OCW228 ODM228 OEC228 OES228 OFI228 OFY228 OGO228 OHE228 OHU228 OIK228 OJA228 OJQ228 OKG228 OKW228 OLM228 OMC228 OMS228 ONI228 ONY228 OOO228 OPE228 OPU228 OQK228 ORA228 ORQ228 OSG228 OSW228 OTM228 OUC228 OUS228 OVI228 OVY228 OWO228 OXE228 OXU228 OYK228 OZA228 OZQ228 PAG228 PAW228 PBM228 PCC228 PCS228 PDI228 PDY228 PEO228 PFE228 PFU228 PGK228 PHA228 PHQ228 PIG228 PIW228 PJM228 PKC228 PKS228 PLI228 PLY228 PMO228 PNE228 PNU228 POK228 PPA228 PPQ228 PQG228 PQW228 PRM228 PSC228 PSS228 PTI228 PTY228 PUO228 PVE228 PVU228 PWK228 PXA228 PXQ228 PYG228 PYW228 PZM228 QAC228 QAS228 QBI228 QBY228 QCO228 QDE228 QDU228 QEK228 QFA228 QFQ228 QGG228 QGW228 QHM228 QIC228 QIS228 QJI228 QJY228 QKO228 QLE228 QLU228 QMK228 QNA228 QNQ228 QOG228 QOW228 QPM228 QQC228 QQS228 QRI228 QRY228 QSO228 QTE228 QTU228 QUK228 QVA228 QVQ228 QWG228 QWW228 QXM228 QYC228 QYS228 QZI228 QZY228 RAO228 RBE228 RBU228 RCK228 RDA228 RDQ228 REG228 REW228 RFM228 RGC228 RGS228 RHI228 RHY228 RIO228 RJE228 RJU228 RKK228 RLA228 RLQ228 RMG228 RMW228 RNM228 ROC228 ROS228 RPI228 RPY228 RQO228 RRE228 RRU228 RSK228 RTA228 RTQ228 RUG228 RUW228 RVM228 RWC228 RWS228 RXI228 RXY228 RYO228 RZE228 RZU228 SAK228 SBA228 SBQ228 SCG228 SCW228 SDM228 SEC228 SES228 SFI228 SFY228 SGO228 SHE228 SHU228 SIK228 SJA228 SJQ228 SKG228 SKW228 SLM228 SMC228 SMS228 SNI228 SNY228 SOO228 SPE228 SPU228 SQK228 SRA228 SRQ228 SSG228 SSW228 STM228 SUC228 SUS228 SVI228 SVY228 SWO228 SXE228 SXU228 SYK228 SZA228 SZQ228 TAG228 TAW228 TBM228 TCC228 TCS228 TDI228 TDY228 TEO228 TFE228 TFU228 TGK228 THA228 THQ228 TIG228 TIW228 TJM228 TKC228 TKS228 TLI228 TLY228 TMO228 TNE228 TNU228 TOK228 TPA228 TPQ228 TQG228 TQW228 TRM228 TSC228 TSS228 TTI228 TTY228 TUO228 TVE228 TVU228 TWK228 TXA228 TXQ228 TYG228 TYW228 TZM228 UAC228 UAS228 UBI228 UBY228 UCO228 UDE228 UDU228 UEK228 UFA228 UFQ228 UGG228 UGW228 UHM228 UIC228 UIS228 UJI228 UJY228 UKO228 ULE228 ULU228 UMK228 UNA228 UNQ228 UOG228 UOW228 UPM228 UQC228 UQS228 URI228 URY228 USO228 UTE228 UTU228 UUK228 UVA228 UVQ228 UWG228 UWW228 UXM228 UYC228 UYS228 UZI228 UZY228 VAO228 VBE228 VBU228 VCK228 VDA228 VDQ228 VEG228 VEW228 VFM228 VGC228 VGS228 VHI228 VHY228 VIO228 VJE228 VJU228 VKK228 VLA228 VLQ228 VMG228 VMW228 VNM228 VOC228 VOS228 VPI228 VPY228 VQO228 VRE228 VRU228 VSK228 VTA228 VTQ228 VUG228 VUW228 VVM228 VWC228 VWS228 VXI228 VXY228 VYO228 VZE228 VZU228 WAK228 WBA228 WBQ228 WCG228 WCW228 WDM228 WEC228 WES228 WFI228 WFY228 WGO228 WHE228 WHU228 WIK228 WJA228 WJQ228 WKG228 WKW228 WLM228 WMC228 WMS228 WNI228 WNY228 WOO228 WPE228 WPU228 WQK228 WRA228 WRQ228 WSG228 WSW228 WTM228 WUC228 WUS228 WVI228 WVY228 WWO228 WXE228 WXU228 WYK228 WZA228 WZQ228 XAG228 XAW228 XBM228 XCC228 XCS228 XDI228 XDY228 CC228 CS228 AG228 G1040:G1049 G891:G956 G2:G649 G852:G855 G1052 G1227:G1238 G1100:G1105 G1108:G1111 G1120:G1201" xr:uid="{70E8EA08-A636-40FC-8933-9DAC2F643BB6}">
      <formula1>"Arctic, Alberta, British Columbia, Manitoba, New Brunswick, Newfoundland and Labrador, Nova Scotia, Ontario, Prince Edward Island, Quebec, Saskatchewan, Northwest Territories, Nunavut, Yukon"</formula1>
    </dataValidation>
  </dataValidations>
  <hyperlinks>
    <hyperlink ref="E756" r:id="rId1" xr:uid="{7BEF1C4D-0212-4A05-B4D9-E49AFC26B537}"/>
    <hyperlink ref="E2" r:id="rId2" xr:uid="{F686302E-4DD5-44FD-9242-E70AC8843565}"/>
    <hyperlink ref="E723" r:id="rId3" xr:uid="{57204DCB-0052-4967-832D-F0D25D53953A}"/>
    <hyperlink ref="E3" r:id="rId4" xr:uid="{139365C9-1EB5-4010-814A-B4729AF5C76B}"/>
    <hyperlink ref="E4" r:id="rId5" xr:uid="{E78CED49-D493-4058-8F24-16528005AD89}"/>
    <hyperlink ref="E5" r:id="rId6" xr:uid="{FB6D786E-4F24-413C-8530-F5C4B1A076B3}"/>
    <hyperlink ref="E6" r:id="rId7" xr:uid="{182E3960-92EC-4A25-9E2D-F44DDD36629E}"/>
    <hyperlink ref="E965" r:id="rId8" display="https://doi.org/10.1139/FACETS-2019-0042" xr:uid="{10A6C631-122F-477E-A302-2BE640D518B9}"/>
    <hyperlink ref="E966" r:id="rId9" display="https://doi.org/10.1139/FACETS-2019-0042" xr:uid="{130C37C7-E834-46C4-8333-309C34E98FC9}"/>
    <hyperlink ref="E967" r:id="rId10" display="https://doi.org/10.1139/FACETS-2019-0042" xr:uid="{59CCC82C-E85D-4889-BA25-ED2494BAB80C}"/>
    <hyperlink ref="E968" r:id="rId11" display="https://doi.org/10.1139/FACETS-2019-0042" xr:uid="{D6E947DD-A066-4B54-A51E-884C803B90D6}"/>
    <hyperlink ref="E969" r:id="rId12" display="https://doi.org/10.1139/FACETS-2019-0042" xr:uid="{552CBF88-E7AC-4F04-A601-012282BCAAEE}"/>
    <hyperlink ref="E970" r:id="rId13" display="https://doi.org/10.1139/FACETS-2019-0042" xr:uid="{45AAA689-3E81-4479-B2C6-6F6891FE9F40}"/>
    <hyperlink ref="E971" r:id="rId14" display="https://doi.org/10.1139/FACETS-2019-0042" xr:uid="{DC5427B1-2AA3-4D42-9A00-EA41BA5FB869}"/>
    <hyperlink ref="E972" r:id="rId15" display="https://doi.org/10.1139/FACETS-2019-0042" xr:uid="{347C3AD7-BF59-47C6-8F01-75F183A71F07}"/>
    <hyperlink ref="E973" r:id="rId16" display="https://doi.org/10.1139/FACETS-2019-0042" xr:uid="{B2362001-8DAE-4BB4-847E-3B18E1FFE326}"/>
    <hyperlink ref="E974" r:id="rId17" display="https://doi.org/10.1139/FACETS-2019-0042" xr:uid="{7FD84D3D-0BF4-4533-9C35-F55E812DFBAE}"/>
    <hyperlink ref="E975" r:id="rId18" display="https://doi.org/10.1139/FACETS-2019-0042" xr:uid="{DBDE413B-12CB-4509-89C5-99316345FF15}"/>
    <hyperlink ref="E976" r:id="rId19" display="https://doi.org/10.1139/FACETS-2019-0042" xr:uid="{2E9F500E-6165-46A4-848C-01BDC19526AF}"/>
    <hyperlink ref="E977" r:id="rId20" display="https://doi.org/10.1139/FACETS-2019-0042" xr:uid="{C49DD51D-2A82-4E6C-A5C7-7E718802DDCE}"/>
    <hyperlink ref="E978" r:id="rId21" display="https://doi.org/10.1139/FACETS-2019-0042" xr:uid="{10C8B653-EB35-4749-802A-8436F1019851}"/>
    <hyperlink ref="E979" r:id="rId22" display="https://doi.org/10.1139/FACETS-2019-0042" xr:uid="{D65FFCE9-4178-48B3-9116-3FC20D4A2B2B}"/>
    <hyperlink ref="E980" r:id="rId23" display="https://doi.org/10.1139/FACETS-2019-0042" xr:uid="{A03FC9AA-7DFD-4A3F-91CA-FE8F9F3740A6}"/>
    <hyperlink ref="E981" r:id="rId24" display="https://doi.org/10.1139/FACETS-2019-0042" xr:uid="{89881DD7-73E3-4FB8-A6C9-B3D98BC9CFB7}"/>
    <hyperlink ref="E982" r:id="rId25" display="https://doi.org/10.1139/FACETS-2019-0042" xr:uid="{59FBFD64-9313-4203-9509-ED4CEB01740A}"/>
    <hyperlink ref="E983" r:id="rId26" display="https://doi.org/10.1139/FACETS-2019-0042" xr:uid="{AF6C315D-A8B9-4C53-A0DE-B9713644754C}"/>
    <hyperlink ref="E984" r:id="rId27" display="https://doi.org/10.1139/FACETS-2019-0042" xr:uid="{33C251DC-9EC6-45FA-8722-323C8C31C3E6}"/>
    <hyperlink ref="E985" r:id="rId28" display="https://doi.org/10.1139/FACETS-2019-0042" xr:uid="{8578881B-C51F-4BE1-8B91-A7838AC0763F}"/>
    <hyperlink ref="E986" r:id="rId29" display="https://doi.org/10.1139/FACETS-2019-0042" xr:uid="{52D026D7-51CE-49E5-9796-CAC526632086}"/>
    <hyperlink ref="E987" r:id="rId30" display="https://doi.org/10.1139/FACETS-2019-0042" xr:uid="{6382104E-C1D6-46F9-8A96-B594BD036FE5}"/>
    <hyperlink ref="E988" r:id="rId31" display="https://doi.org/10.1139/FACETS-2019-0042" xr:uid="{BB81B8BE-96C8-4E5E-BC9A-A8F63E44A84D}"/>
    <hyperlink ref="E989" r:id="rId32" display="https://doi.org/10.1139/FACETS-2019-0042" xr:uid="{BB23FD00-5B3E-428A-9756-6DD928DC4C48}"/>
    <hyperlink ref="E990" r:id="rId33" display="https://doi.org/10.1139/FACETS-2019-0042" xr:uid="{C2428B60-DDB0-4001-BD45-FCA8BC7316F9}"/>
    <hyperlink ref="E991" r:id="rId34" display="https://doi.org/10.1139/FACETS-2019-0042" xr:uid="{B60F2EC2-2EED-4F00-BD06-F23516BEDA81}"/>
    <hyperlink ref="E992" r:id="rId35" display="https://doi.org/10.1139/FACETS-2019-0042" xr:uid="{30FBB7F7-D891-4AFD-AF14-4CB79B1C1FA6}"/>
    <hyperlink ref="E993" r:id="rId36" display="https://doi.org/10.1139/FACETS-2019-0042" xr:uid="{C328632A-283C-4DBF-93C4-5F52DDE224E2}"/>
    <hyperlink ref="E994" r:id="rId37" display="https://doi.org/10.1139/FACETS-2019-0042" xr:uid="{BCA3B60F-2E68-4709-8B81-15F95568BD00}"/>
    <hyperlink ref="E995" r:id="rId38" display="https://doi.org/10.1139/FACETS-2019-0042" xr:uid="{CAD75916-5FEB-4B96-9C7E-59032745DCAA}"/>
    <hyperlink ref="E996" r:id="rId39" display="https://doi.org/10.1139/FACETS-2019-0042" xr:uid="{ADDF88B9-D5BE-4CAE-BF99-1822AAC21478}"/>
    <hyperlink ref="E997" r:id="rId40" display="https://doi.org/10.1139/FACETS-2019-0042" xr:uid="{F1A93410-E611-455A-937E-588B6D815663}"/>
    <hyperlink ref="E998" r:id="rId41" display="https://doi.org/10.1139/FACETS-2019-0042" xr:uid="{3A46E0B8-5377-42AD-ACF9-D602B14A1B64}"/>
    <hyperlink ref="E999" r:id="rId42" display="https://doi.org/10.1139/FACETS-2019-0042" xr:uid="{A1D71F27-72FE-4B05-8796-785FBC22F9B3}"/>
    <hyperlink ref="E1000" r:id="rId43" display="https://doi.org/10.1139/FACETS-2019-0042" xr:uid="{7191C9C0-77DF-42A2-8277-DC026E821C68}"/>
    <hyperlink ref="E1001" r:id="rId44" display="https://doi.org/10.1139/FACETS-2019-0042" xr:uid="{DACAA609-0825-429C-B296-C5809F0969E2}"/>
    <hyperlink ref="E1002" r:id="rId45" display="https://doi.org/10.1139/FACETS-2019-0042" xr:uid="{52E5DA74-BA86-446D-8627-349BCF914ED6}"/>
    <hyperlink ref="E1003" r:id="rId46" display="https://doi.org/10.1139/FACETS-2019-0042" xr:uid="{AF2A1B56-A1AE-416B-B510-C621A72AC2D8}"/>
    <hyperlink ref="E1004" r:id="rId47" display="https://doi.org/10.1139/FACETS-2019-0042" xr:uid="{8AB0C12B-C66F-48BA-B860-8B2C2902CC7B}"/>
    <hyperlink ref="E1005" r:id="rId48" display="https://doi.org/10.1139/FACETS-2019-0042" xr:uid="{C2287E03-2CB2-4F4A-90EE-97B2CE62A3EB}"/>
    <hyperlink ref="E1006" r:id="rId49" display="https://doi.org/10.1139/FACETS-2019-0042" xr:uid="{5E5D41FB-0C47-4411-AAB7-3C2F9C460C1E}"/>
    <hyperlink ref="E1007" r:id="rId50" xr:uid="{E2C87AF8-D2B5-4F92-BEDC-79E4D408CB20}"/>
    <hyperlink ref="E1008" r:id="rId51" xr:uid="{8F6245EF-A5AD-447F-8001-4CF3E1FB3959}"/>
    <hyperlink ref="E1009" r:id="rId52" xr:uid="{D8E531EF-E106-44F1-BF5B-C1B401F22C41}"/>
    <hyperlink ref="E1010" r:id="rId53" xr:uid="{0BA5A3FD-5BC7-4C08-B836-B55ED7736161}"/>
    <hyperlink ref="E1011" r:id="rId54" xr:uid="{59A75964-E40A-419B-86E7-08306A129DD5}"/>
    <hyperlink ref="E1012" r:id="rId55" xr:uid="{26965BF3-F426-453C-9737-F16048C90CA1}"/>
    <hyperlink ref="E1013" r:id="rId56" xr:uid="{EF8FC525-232E-4931-8FB7-333530F0A977}"/>
    <hyperlink ref="E1014" r:id="rId57" xr:uid="{C60E57A5-43A4-4DCC-B8A4-869A49A8EFA4}"/>
    <hyperlink ref="E1015" r:id="rId58" xr:uid="{875C594D-E5D9-4035-8F41-E8D2F5EE5A42}"/>
    <hyperlink ref="E1016" r:id="rId59" xr:uid="{145657F4-2693-4838-9B36-A9B37998FD0C}"/>
    <hyperlink ref="E1017" r:id="rId60" xr:uid="{76563709-1F6E-4FEE-B9CF-11433DCD0A6A}"/>
    <hyperlink ref="E1018" r:id="rId61" xr:uid="{DED9E9FF-3BD5-4233-AB80-2B4C2883B38F}"/>
    <hyperlink ref="E1019" r:id="rId62" xr:uid="{63A84E3C-85F4-4E42-B2C5-B4552480D71F}"/>
    <hyperlink ref="E1020" r:id="rId63" xr:uid="{90520FF5-632E-4D90-8802-BA712D0251D3}"/>
    <hyperlink ref="E1021" r:id="rId64" xr:uid="{3C866294-8935-45F2-953F-82E072382924}"/>
    <hyperlink ref="E1022" r:id="rId65" xr:uid="{22261212-D08D-4916-AC96-D3A0016F0BA5}"/>
    <hyperlink ref="E1023" r:id="rId66" xr:uid="{E946CD67-0286-4E65-87D5-D2D33DC559BB}"/>
    <hyperlink ref="E1024" r:id="rId67" xr:uid="{9AAD12F1-4361-4F4C-9E80-5A9866ECFD26}"/>
    <hyperlink ref="E1025" r:id="rId68" xr:uid="{7996C812-48DC-4CC6-8E42-0BA83380FD69}"/>
    <hyperlink ref="E1026" r:id="rId69" xr:uid="{677A68E0-98F7-48AF-909E-1769BF117FA0}"/>
    <hyperlink ref="E1027" r:id="rId70" xr:uid="{1EF887E0-00C9-4D90-9CB7-996C423B7EDB}"/>
    <hyperlink ref="E1038" r:id="rId71" xr:uid="{3178D34C-B8AF-4D3F-9FD5-41D1CD848879}"/>
    <hyperlink ref="E1039" r:id="rId72" xr:uid="{3CF1D69E-6DC1-4B08-B49D-7AA26FE80296}"/>
    <hyperlink ref="E1040" r:id="rId73" xr:uid="{66CB3D36-B212-4C76-8409-497372C65304}"/>
    <hyperlink ref="E1041" r:id="rId74" xr:uid="{B26FCFDE-2B20-4A04-82A9-F9FC03A84BA7}"/>
    <hyperlink ref="E1042" r:id="rId75" xr:uid="{20A8F6CB-1108-4ABB-9725-8D6F64C3DF48}"/>
    <hyperlink ref="E1043" r:id="rId76" xr:uid="{37297531-AB7D-4FEC-8E61-EDD299830950}"/>
    <hyperlink ref="E1044" r:id="rId77" xr:uid="{194A182F-20AF-4D07-B985-D61158A0678A}"/>
    <hyperlink ref="E1045" r:id="rId78" xr:uid="{46493668-8E25-4149-8C3F-AEAD66F13622}"/>
    <hyperlink ref="E1046" r:id="rId79" xr:uid="{96BD2D16-C7BE-4688-8343-426D6A4FB12E}"/>
    <hyperlink ref="E1047" r:id="rId80" xr:uid="{A6E5E60D-CBCB-4C66-AD39-20FEF81168CA}"/>
    <hyperlink ref="E1048" r:id="rId81" xr:uid="{13CDE93B-62F0-488C-AD84-B079FE4AC42B}"/>
    <hyperlink ref="E1049" r:id="rId82" xr:uid="{3DF0BF35-23A5-4EC7-A017-B307EFC996B0}"/>
    <hyperlink ref="E51" r:id="rId83" xr:uid="{D79CB3BB-7215-4366-B771-F7A0F0EFC30A}"/>
    <hyperlink ref="E78" r:id="rId84" xr:uid="{D5C74BFB-7A9C-441E-B098-74C577AFF8CB}"/>
    <hyperlink ref="E123" r:id="rId85" xr:uid="{A583FD69-74A1-4E71-B672-64B081E37CE6}"/>
    <hyperlink ref="E305" r:id="rId86" xr:uid="{E09DB452-AF9C-47E7-B9F7-D537378F96FD}"/>
    <hyperlink ref="E848" r:id="rId87" xr:uid="{0E888673-2B06-4A50-97F2-E243638233AD}"/>
    <hyperlink ref="E124" r:id="rId88" xr:uid="{9F392E63-BF05-46DA-BADD-F62727412E09}"/>
    <hyperlink ref="E125" r:id="rId89" xr:uid="{1520B871-E370-43DC-A152-3967B5C22DF4}"/>
    <hyperlink ref="E126" r:id="rId90" xr:uid="{6B119ECA-B141-4D0D-8BA6-488E63BA03D2}"/>
    <hyperlink ref="E127" r:id="rId91" xr:uid="{076F2F88-BEE1-42BB-A4C8-FC2018D5BB44}"/>
    <hyperlink ref="E128" r:id="rId92" xr:uid="{D736C1A2-837D-47F6-82D3-16C63D08729F}"/>
    <hyperlink ref="E129" r:id="rId93" xr:uid="{3165688C-1D33-4EAC-BFC8-F1891AC19E16}"/>
    <hyperlink ref="E130" r:id="rId94" xr:uid="{BF1BEC0F-6C36-45A9-92BA-3EC66537CFAE}"/>
    <hyperlink ref="E131" r:id="rId95" xr:uid="{E5E9ADC6-0C28-4A06-A67D-332210062F87}"/>
    <hyperlink ref="E132" r:id="rId96" xr:uid="{C51F6AB7-E9B0-4D54-82AF-712BBCCA6DC2}"/>
    <hyperlink ref="E133" r:id="rId97" xr:uid="{FA8067DC-E2FF-4ABC-B2A3-D853F6FCBBEF}"/>
    <hyperlink ref="E134" r:id="rId98" xr:uid="{4601C40C-665F-4CCC-B6F6-B55E85A7D7B2}"/>
    <hyperlink ref="E135" r:id="rId99" xr:uid="{271EC5D3-E884-4CB6-AB3C-0C80CF0110C5}"/>
    <hyperlink ref="E136" r:id="rId100" xr:uid="{DAB4264C-8D01-4F8B-9C45-E0FBF4771139}"/>
    <hyperlink ref="E137" r:id="rId101" xr:uid="{70814FAB-CC24-4A68-A19B-497040FE3E17}"/>
    <hyperlink ref="E138" r:id="rId102" xr:uid="{7E59CC4D-41FC-457F-98C3-394D4EC3959C}"/>
    <hyperlink ref="E139" r:id="rId103" xr:uid="{0195FF45-D739-4512-8BB2-03055E1B13A3}"/>
    <hyperlink ref="E140" r:id="rId104" xr:uid="{0228E9C8-E3A4-4773-BAE9-F4481E18AB7D}"/>
    <hyperlink ref="E141" r:id="rId105" xr:uid="{FC89791A-6D46-4047-989A-86B76DBCAFF7}"/>
    <hyperlink ref="E142" r:id="rId106" xr:uid="{6AF58A16-748A-46AF-89A3-501506C0A6C6}"/>
    <hyperlink ref="E143" r:id="rId107" xr:uid="{82A7ED32-F182-4C59-B131-DA7531BDA106}"/>
    <hyperlink ref="E144" r:id="rId108" xr:uid="{0D72DC5C-CD81-4107-A971-C447FC761F0C}"/>
    <hyperlink ref="E145" r:id="rId109" xr:uid="{9DE694E9-7232-4208-BEAB-11389C41A515}"/>
    <hyperlink ref="E146" r:id="rId110" xr:uid="{C34F3616-5D70-4A2B-9E1D-7BB0567E9B9A}"/>
    <hyperlink ref="E147" r:id="rId111" xr:uid="{CBD39974-D045-4D43-B4C4-80D149503978}"/>
    <hyperlink ref="E148" r:id="rId112" xr:uid="{1C149C94-E54E-4C97-B970-39CE2213F114}"/>
    <hyperlink ref="E149" r:id="rId113" xr:uid="{1EB38DF3-F9E1-48B7-9CE1-879B8AEFD4F6}"/>
    <hyperlink ref="E150" r:id="rId114" xr:uid="{A5B45AC0-0081-4273-AF29-32181867E0EA}"/>
    <hyperlink ref="E151" r:id="rId115" xr:uid="{05DF2385-38EF-4B73-9266-5E357EFEAE03}"/>
    <hyperlink ref="E152" r:id="rId116" xr:uid="{369FC85F-5F1F-469C-9A02-8E71E98D8A81}"/>
    <hyperlink ref="E153" r:id="rId117" xr:uid="{D8E1391C-5BF9-4FD6-A695-5D93AE9D9853}"/>
    <hyperlink ref="E154" r:id="rId118" xr:uid="{6AEFD7C7-A055-4B29-9EE2-D09875D14D51}"/>
    <hyperlink ref="E155" r:id="rId119" xr:uid="{6C3D477A-F921-4473-981D-20F8097F7527}"/>
    <hyperlink ref="E156" r:id="rId120" xr:uid="{4B21156E-02F5-403D-B5E2-4FE087973C11}"/>
    <hyperlink ref="E157" r:id="rId121" xr:uid="{CAFF3A2E-2A9B-4DEB-8099-DD4C92938DD7}"/>
    <hyperlink ref="E158" r:id="rId122" xr:uid="{2789D6C1-7D44-497B-BE59-41F4527BE759}"/>
    <hyperlink ref="E159" r:id="rId123" xr:uid="{77D44354-32FB-4813-86DD-1492FB742595}"/>
    <hyperlink ref="E160" r:id="rId124" xr:uid="{466FDAE2-4227-45DA-BDA5-277ABBE43B60}"/>
    <hyperlink ref="E161" r:id="rId125" xr:uid="{9866A5B1-69D4-4ED4-9C44-61674EFB65AA}"/>
    <hyperlink ref="E162" r:id="rId126" xr:uid="{C87BEFEA-3AFA-4C93-B025-62150AD085C4}"/>
    <hyperlink ref="E163" r:id="rId127" xr:uid="{5869B8BB-55E5-4D2E-A677-6E492DED160D}"/>
    <hyperlink ref="E164" r:id="rId128" xr:uid="{5DA9B01C-4E62-4194-A986-8792EC963750}"/>
    <hyperlink ref="E165" r:id="rId129" xr:uid="{A4A53956-9EC8-461B-A759-48E66F613E01}"/>
    <hyperlink ref="E166" r:id="rId130" xr:uid="{8DC5A3D7-6509-47DF-B550-B7549B6C1A61}"/>
    <hyperlink ref="E167" r:id="rId131" xr:uid="{AEE1E34A-3A45-4280-96A0-1A7232206C35}"/>
    <hyperlink ref="E168" r:id="rId132" xr:uid="{1C5F246B-C2D3-41AD-9A32-16C45959EF9E}"/>
    <hyperlink ref="E169" r:id="rId133" xr:uid="{463EFAB4-901A-49A9-B536-0AB5E919287B}"/>
    <hyperlink ref="E170" r:id="rId134" xr:uid="{FCADEAF0-28CE-46AB-B541-81C3C587D567}"/>
    <hyperlink ref="E171" r:id="rId135" xr:uid="{D14E75CD-2A6B-43D4-8271-F0053385A5B0}"/>
    <hyperlink ref="E172" r:id="rId136" xr:uid="{3E4337C7-FF05-444C-86FD-5BB7BDEAC752}"/>
    <hyperlink ref="E173" r:id="rId137" xr:uid="{9522C5B8-14E3-461B-B58F-EC6A3A632622}"/>
    <hyperlink ref="E174" r:id="rId138" xr:uid="{C0E6B128-7D00-4789-B826-346BD1E25601}"/>
    <hyperlink ref="E175" r:id="rId139" xr:uid="{C4C7D1EA-FAC1-4451-B663-C538E7051C93}"/>
    <hyperlink ref="E176" r:id="rId140" xr:uid="{38656466-9B52-436E-8824-AFDBE2A49C50}"/>
    <hyperlink ref="E177" r:id="rId141" xr:uid="{EBF5E5EC-D55D-4952-ABE1-1165109F574A}"/>
    <hyperlink ref="E178" r:id="rId142" xr:uid="{AD22A9D6-16C9-4CF8-B909-CFC9DEA2706C}"/>
    <hyperlink ref="E179" r:id="rId143" xr:uid="{7332411F-05B1-4DE5-8CAE-3A3608CC4290}"/>
    <hyperlink ref="E180" r:id="rId144" xr:uid="{A57550DE-9BD1-4957-97CC-16A7F2735053}"/>
    <hyperlink ref="E181" r:id="rId145" xr:uid="{DD8F85BC-B95B-4A00-AC23-B5C53EDBAC2B}"/>
    <hyperlink ref="E182" r:id="rId146" xr:uid="{5F9D054F-45FE-4535-80FD-52D7F3D0813D}"/>
    <hyperlink ref="E183" r:id="rId147" xr:uid="{A9F2EDD4-E7FE-4E4D-B785-8FC4D8BE8DD0}"/>
    <hyperlink ref="E184" r:id="rId148" xr:uid="{81DDC97F-DC6C-4571-B562-CEB3EE96E3F3}"/>
    <hyperlink ref="E185" r:id="rId149" xr:uid="{52BBB03A-1EF3-4822-9FFF-A047E9E1F131}"/>
    <hyperlink ref="E186" r:id="rId150" xr:uid="{822D4120-5671-4805-A7E2-A9CF0EC921C5}"/>
    <hyperlink ref="E187" r:id="rId151" xr:uid="{4B435B91-0284-4B8B-9E87-12FEA4CDDD79}"/>
    <hyperlink ref="E188" r:id="rId152" xr:uid="{ADEBB5A7-76D3-4B93-BF78-1D0698AE4BB3}"/>
    <hyperlink ref="E306" r:id="rId153" xr:uid="{7CF3757C-6BC2-483C-B142-09E967BBB32D}"/>
    <hyperlink ref="E307" r:id="rId154" xr:uid="{38C6241F-1BA8-4DA5-B1D6-56785B1D056C}"/>
    <hyperlink ref="E308" r:id="rId155" xr:uid="{E6BAEFB8-C428-47FD-A028-D391B4861B5B}"/>
    <hyperlink ref="E309" r:id="rId156" xr:uid="{DA9FA84A-AEA5-4D24-9962-20989D0FF318}"/>
    <hyperlink ref="E310" r:id="rId157" xr:uid="{75291893-C649-4BBA-BF7D-3104F4961F3A}"/>
    <hyperlink ref="E311" r:id="rId158" xr:uid="{ACE5E4B5-FA18-430D-A52F-0C93E0767557}"/>
    <hyperlink ref="E312" r:id="rId159" xr:uid="{02CA7C80-343B-40D1-8BB5-8A3056726788}"/>
    <hyperlink ref="E313" r:id="rId160" xr:uid="{700A9B62-9FCC-414C-8681-6E3BD49BC021}"/>
    <hyperlink ref="E314" r:id="rId161" xr:uid="{1CBD474C-2AB1-4FCE-83C0-AB40CC267E5D}"/>
    <hyperlink ref="E315" r:id="rId162" xr:uid="{DE38B2B9-2042-4454-A3DA-B8BD6D3160E3}"/>
    <hyperlink ref="E316" r:id="rId163" xr:uid="{77AAFD4D-C331-426E-9B4B-462C3E48E63D}"/>
    <hyperlink ref="E317" r:id="rId164" xr:uid="{5F3D71FE-10CD-4892-9DC7-5F64DB2D8929}"/>
    <hyperlink ref="E318" r:id="rId165" xr:uid="{A042F598-5C08-436A-BE8B-A5BBFD2A7EDD}"/>
    <hyperlink ref="E319" r:id="rId166" xr:uid="{09B7EF64-8881-4116-AB1B-510AE20DED2D}"/>
    <hyperlink ref="E320" r:id="rId167" xr:uid="{7ABB17CF-D1CF-4D9D-8889-43D78A25D411}"/>
    <hyperlink ref="E329" r:id="rId168" xr:uid="{4016ECE3-74B9-4F95-98C9-3748DE575D1F}"/>
    <hyperlink ref="E330" r:id="rId169" xr:uid="{4C72BDEA-AD00-4588-A207-ECF2FF960BA1}"/>
    <hyperlink ref="E331" r:id="rId170" xr:uid="{9704E1F9-EF2E-4919-B0C8-EA627026CFCD}"/>
    <hyperlink ref="E332" r:id="rId171" xr:uid="{184572B4-184B-4036-A7BE-C947CB26589C}"/>
    <hyperlink ref="E333" r:id="rId172" xr:uid="{DC8808F2-02C2-4F78-AF2F-0C538B5DBDF4}"/>
    <hyperlink ref="E334" r:id="rId173" xr:uid="{3F13E61C-6C1D-48C9-BCDE-DE0C8A6A4137}"/>
    <hyperlink ref="E335" r:id="rId174" xr:uid="{D005DA6F-15D4-4A5B-9D22-07F11C70D3E2}"/>
    <hyperlink ref="E336" r:id="rId175" xr:uid="{2E8A0F4E-B9DA-4793-9BC8-79BB061C16F3}"/>
    <hyperlink ref="E337" r:id="rId176" xr:uid="{01BF50AD-AE13-41D1-BB6B-09FFA2A0CAD2}"/>
    <hyperlink ref="E338" r:id="rId177" xr:uid="{21C22061-CB55-4B6F-8F82-069B63E83286}"/>
    <hyperlink ref="E339" r:id="rId178" xr:uid="{6E5E2DAF-1A87-4728-B4A5-2321E458BE9E}"/>
    <hyperlink ref="E340" r:id="rId179" xr:uid="{0E3E9350-E19D-4736-A323-1F17F3F06497}"/>
    <hyperlink ref="E341" r:id="rId180" xr:uid="{EF6CBC5F-AAD0-4016-BDEF-2D990BB38992}"/>
    <hyperlink ref="E342" r:id="rId181" xr:uid="{EF4F5EFF-BD6B-494E-9E2C-4BE0D4833BE0}"/>
    <hyperlink ref="E343" r:id="rId182" xr:uid="{0F9578E5-A7AA-42DD-8878-AAFD7BFAFCD6}"/>
    <hyperlink ref="E344" r:id="rId183" xr:uid="{3D43F053-C83E-4C0E-BF56-D6BF3B003E03}"/>
    <hyperlink ref="E321" r:id="rId184" xr:uid="{14FA1EFD-9882-46A7-9851-AC26142974E2}"/>
    <hyperlink ref="E322" r:id="rId185" xr:uid="{C674ECFF-2A64-4CE6-91F7-823E7B18A85E}"/>
    <hyperlink ref="E323" r:id="rId186" xr:uid="{12BC2416-B246-43DF-9474-06A437661670}"/>
    <hyperlink ref="E324" r:id="rId187" xr:uid="{C328A016-7247-4872-9E94-065E724F7851}"/>
    <hyperlink ref="E325" r:id="rId188" xr:uid="{C7F6B943-3D8A-4253-A41A-503ACE55BF8B}"/>
    <hyperlink ref="E326" r:id="rId189" xr:uid="{C78ACCC0-74C9-40BE-9E03-103F87976311}"/>
    <hyperlink ref="E327" r:id="rId190" xr:uid="{0190F77E-569B-462F-8CE2-EBA6C2279C1C}"/>
    <hyperlink ref="E328" r:id="rId191" xr:uid="{95C01A48-FCDF-411F-95FD-3A8052C339D2}"/>
    <hyperlink ref="E345" r:id="rId192" xr:uid="{DDD96574-ABEB-4995-AA84-93A421C9E380}"/>
    <hyperlink ref="E346" r:id="rId193" xr:uid="{5D1C92D0-6D67-4198-BC25-6F9908D673E1}"/>
    <hyperlink ref="E347" r:id="rId194" xr:uid="{1A84A43E-CF11-4137-8098-E05DE64E3461}"/>
    <hyperlink ref="E348" r:id="rId195" xr:uid="{432554A7-C58E-40C5-B4E9-039BD5229190}"/>
    <hyperlink ref="E349" r:id="rId196" xr:uid="{41BED3DE-77F7-4B0F-A9F6-EBA350C361B7}"/>
    <hyperlink ref="E350" r:id="rId197" xr:uid="{4F183F52-7A57-4C09-8CB3-630F73B5D647}"/>
    <hyperlink ref="E351" r:id="rId198" xr:uid="{81F53CE6-BBCF-498C-AB54-FFC4E5374F4F}"/>
    <hyperlink ref="E352" r:id="rId199" xr:uid="{2535452C-C664-4F99-80F8-368F0DD895B8}"/>
    <hyperlink ref="E79" r:id="rId200" xr:uid="{5AF28B7C-BC53-45E7-8896-EFECE85A4A88}"/>
    <hyperlink ref="E80" r:id="rId201" xr:uid="{0EB036A2-7E5D-4CD5-88EC-136F85AC7E49}"/>
    <hyperlink ref="E81" r:id="rId202" xr:uid="{CBFABD7C-6F9F-4CC3-9CE3-5D1ADBC8AA02}"/>
    <hyperlink ref="E82" r:id="rId203" xr:uid="{CB29E01B-BBED-41FF-BBA1-4413269C1BB6}"/>
    <hyperlink ref="E83" r:id="rId204" xr:uid="{6E872086-02CD-4CCE-8334-FB1406D8545C}"/>
    <hyperlink ref="E84" r:id="rId205" xr:uid="{5B10B191-0A5E-4D79-96D3-738F8D5F1C5E}"/>
    <hyperlink ref="E85" r:id="rId206" xr:uid="{FDFCBFB4-C1A4-4246-8AD6-008C7FDB1952}"/>
    <hyperlink ref="E86" r:id="rId207" xr:uid="{23DEC756-C976-4E36-B5E9-6000D9B7ABF0}"/>
    <hyperlink ref="E849" r:id="rId208" xr:uid="{2CBF1C5D-55AF-4DF4-A759-220E100BAFFA}"/>
    <hyperlink ref="E717" r:id="rId209" xr:uid="{77B0B430-6604-4FF5-A014-D6ED17B3EF4E}"/>
    <hyperlink ref="E52" r:id="rId210" xr:uid="{5CC49585-F1EC-412E-AA59-3D875DBEFDE2}"/>
    <hyperlink ref="E53" r:id="rId211" xr:uid="{53B4E21B-442E-42FB-BBD5-A5AC96642724}"/>
    <hyperlink ref="E54" r:id="rId212" xr:uid="{B17B5E2E-3812-4A5F-9154-E4C2C36BA91D}"/>
    <hyperlink ref="E55" r:id="rId213" xr:uid="{C72277E9-E886-4D21-AE00-836A76685684}"/>
    <hyperlink ref="E56" r:id="rId214" xr:uid="{5B997D14-D1A3-41F8-A127-1E156E700096}"/>
    <hyperlink ref="E57" r:id="rId215" xr:uid="{664C811B-85F1-4EE9-A730-81D4D1EAFE71}"/>
    <hyperlink ref="E297" r:id="rId216" xr:uid="{0A4F16BA-540B-44D0-BC8B-43D6A403F03B}"/>
    <hyperlink ref="E425" r:id="rId217" xr:uid="{5DD28876-6D4D-4842-8716-F10859AF2781}"/>
    <hyperlink ref="E514" r:id="rId218" xr:uid="{D9D44E42-3CC2-4083-A043-0865DA4DE153}"/>
    <hyperlink ref="E298" r:id="rId219" xr:uid="{BF27921D-B0B5-4CCA-A1D3-824B8D3DA768}"/>
    <hyperlink ref="E299" r:id="rId220" xr:uid="{0F5B36D5-1CB6-4C30-9485-E26863696ECA}"/>
    <hyperlink ref="E300" r:id="rId221" xr:uid="{8712184A-C9DF-4DFC-B122-A24DE74125A9}"/>
    <hyperlink ref="E301" r:id="rId222" xr:uid="{A9D3305F-4476-4ECD-BBAB-9139CE6703FF}"/>
    <hyperlink ref="E302" r:id="rId223" xr:uid="{4BF6AECC-9B8A-4722-9DBF-ECAAEB90E78E}"/>
    <hyperlink ref="E303" r:id="rId224" xr:uid="{CEC33563-27ED-43ED-A31A-9D92D2A72897}"/>
    <hyperlink ref="E426" r:id="rId225" xr:uid="{A71C2CF4-1A89-40B9-B31E-538BDCDCB8CE}"/>
    <hyperlink ref="E427" r:id="rId226" xr:uid="{44D1BCF0-2D16-4FC0-ACC5-0086BAE44690}"/>
    <hyperlink ref="E429" r:id="rId227" xr:uid="{BD4423E9-B5E1-42C4-B1CD-6763ED6B9312}"/>
    <hyperlink ref="E431" r:id="rId228" xr:uid="{9AC4C7D8-9075-4C6C-9079-AE5EF6AA8D37}"/>
    <hyperlink ref="E433" r:id="rId229" xr:uid="{AD5E57A0-4729-457F-9BC2-F49A5C9DF8B1}"/>
    <hyperlink ref="E435" r:id="rId230" xr:uid="{BF7DE6C6-C30A-42C5-8403-32DA10A04BAC}"/>
    <hyperlink ref="E437" r:id="rId231" xr:uid="{1C6AD2E0-6ADB-4D82-BE48-4844E43F9EBA}"/>
    <hyperlink ref="E428" r:id="rId232" xr:uid="{B5579109-1D30-48E7-8943-C578534B5F06}"/>
    <hyperlink ref="E430" r:id="rId233" xr:uid="{F1C3CA3A-F257-4634-86B2-EDD6EBBBC455}"/>
    <hyperlink ref="E432" r:id="rId234" xr:uid="{3F77A975-B563-4AB1-8ED2-6C870CA35120}"/>
    <hyperlink ref="E434" r:id="rId235" xr:uid="{AE0C14E0-6371-4B86-BD14-4445764A3D2D}"/>
    <hyperlink ref="E436" r:id="rId236" xr:uid="{E290B81A-882C-4876-A543-209CC3006AEA}"/>
    <hyperlink ref="E438" r:id="rId237" xr:uid="{21409CAD-26B1-4137-9C5A-09F3F33B59A2}"/>
    <hyperlink ref="E439" r:id="rId238" xr:uid="{EACA7A49-D48F-4D8A-B15F-A5D09E0E6123}"/>
    <hyperlink ref="E440" r:id="rId239" xr:uid="{B54CACB5-9ED1-4F63-9801-F3D21D3388EC}"/>
    <hyperlink ref="E441" r:id="rId240" xr:uid="{21D9216F-9857-4935-8128-23ABA87BA62B}"/>
    <hyperlink ref="E442" r:id="rId241" xr:uid="{78257DC6-A80B-482A-8516-E3862CD40422}"/>
    <hyperlink ref="E443" r:id="rId242" xr:uid="{AEC9A318-06A8-4F3A-8705-06D09A355EFC}"/>
    <hyperlink ref="E444" r:id="rId243" xr:uid="{CAAE32DE-DD7A-4E33-BC84-44A7EF4A5066}"/>
    <hyperlink ref="E445" r:id="rId244" xr:uid="{1AA66C50-C0C3-4582-BEFB-D3D044267813}"/>
    <hyperlink ref="E446" r:id="rId245" xr:uid="{37F02094-A857-4BB2-A5D8-0AE130301636}"/>
    <hyperlink ref="E447" r:id="rId246" xr:uid="{F4BED3C6-E432-4E39-8C87-2DA7B55C6B5E}"/>
    <hyperlink ref="E527" r:id="rId247" xr:uid="{CB66D3C3-4999-4811-8531-F902A5C43839}"/>
    <hyperlink ref="E528" r:id="rId248" xr:uid="{74B45DC3-2D71-45C7-9B66-35F960424243}"/>
    <hyperlink ref="E87" r:id="rId249" xr:uid="{B7219743-81A4-42F0-B591-B378B5AF8470}"/>
    <hyperlink ref="E88" r:id="rId250" xr:uid="{F6DB04DB-B723-446C-AFF2-D8C02F6C511F}"/>
    <hyperlink ref="E89" r:id="rId251" xr:uid="{96173AC2-B30C-40D3-81BE-5359CEB6B7D4}"/>
    <hyperlink ref="E90" r:id="rId252" xr:uid="{6918961E-2F75-426F-8D9B-916AD2936DEF}"/>
    <hyperlink ref="E91" r:id="rId253" xr:uid="{E55314BA-7693-40ED-8920-9EBCA629804D}"/>
    <hyperlink ref="E486" r:id="rId254" xr:uid="{B16F6A4F-919E-4979-B239-2C6F9EF94602}"/>
    <hyperlink ref="E487" r:id="rId255" xr:uid="{4E1D1034-7DCD-44F3-8F89-A697D9518B54}"/>
    <hyperlink ref="E488" r:id="rId256" xr:uid="{4773614F-EFE0-4D5C-B102-764F9C55D4ED}"/>
    <hyperlink ref="E489" r:id="rId257" xr:uid="{551180CD-B911-4857-9041-8F1C9E9C8303}"/>
    <hyperlink ref="E856" r:id="rId258" xr:uid="{BB984F54-3345-44A1-AE56-D9C61AD73FFA}"/>
    <hyperlink ref="E857" r:id="rId259" xr:uid="{AE60B10A-3D65-4723-9CD5-6041D96AE829}"/>
    <hyperlink ref="E858" r:id="rId260" xr:uid="{E83AF586-AE22-4ED5-9695-B49B8F689A13}"/>
    <hyperlink ref="E859" r:id="rId261" xr:uid="{F2B90D69-7EB4-4576-9C10-13252492C091}"/>
    <hyperlink ref="E860" r:id="rId262" xr:uid="{08CFED4A-0BE0-4D2D-B959-FA5965919F1D}"/>
    <hyperlink ref="E515" r:id="rId263" xr:uid="{EE98DCC6-9971-48FE-BA25-6E1C194E58D2}"/>
    <hyperlink ref="E516" r:id="rId264" xr:uid="{367FE237-403F-4B4F-8885-D1E153050AA3}"/>
    <hyperlink ref="E517" r:id="rId265" xr:uid="{7FE7059D-9594-4FD2-BB0D-AB2269F9130B}"/>
    <hyperlink ref="E518" r:id="rId266" xr:uid="{135F56C1-7575-4D6F-806A-4A47E1BBCB44}"/>
    <hyperlink ref="E519" r:id="rId267" xr:uid="{893F4B76-A4FC-4133-BD00-F1284496B4EF}"/>
    <hyperlink ref="E520" r:id="rId268" xr:uid="{1B39CE2D-7761-4B88-85FB-E6B48E1F48B9}"/>
    <hyperlink ref="E521" r:id="rId269" xr:uid="{D3CD07B3-6C0D-45D8-A3C3-9A46EF1ABD0D}"/>
    <hyperlink ref="E522" r:id="rId270" xr:uid="{39B828BD-14B2-425A-A2C6-D3747140AE1C}"/>
    <hyperlink ref="E523" r:id="rId271" xr:uid="{B01770C8-997B-4033-9D9A-1B45E4FF6416}"/>
    <hyperlink ref="E524" r:id="rId272" xr:uid="{E0637C58-8374-4EFB-AE5E-F324D4369AFE}"/>
    <hyperlink ref="E525" r:id="rId273" xr:uid="{CD6C7F37-462D-4F5A-A3C4-244E823166F6}"/>
    <hyperlink ref="E526" r:id="rId274" xr:uid="{48DC544A-CF11-48C1-9D9A-6DF28BD8349F}"/>
    <hyperlink ref="E770" r:id="rId275" xr:uid="{C1FABB5C-EC94-4F5E-A1F5-9747932E120A}"/>
    <hyperlink ref="E771" r:id="rId276" xr:uid="{1C5F5BC1-E758-4FE4-A29D-28D62155F6A3}"/>
    <hyperlink ref="E772" r:id="rId277" xr:uid="{163CAE6C-CC7C-445D-8D0B-14EEC1CB6910}"/>
    <hyperlink ref="E773" r:id="rId278" xr:uid="{C4639723-F2AD-4F23-843A-9159C4308701}"/>
    <hyperlink ref="E774" r:id="rId279" xr:uid="{02944C7F-FBB4-450F-BD49-5F918BC185CA}"/>
    <hyperlink ref="E775" r:id="rId280" xr:uid="{9D1E2E66-61A0-489C-ABBE-FF4FBC7BC25D}"/>
    <hyperlink ref="E776" r:id="rId281" xr:uid="{1FE02B27-73CD-4265-A88E-E5CFD26F6D84}"/>
    <hyperlink ref="E777" r:id="rId282" xr:uid="{52497629-72F9-44C1-B8B0-D8F075256D93}"/>
    <hyperlink ref="E778" r:id="rId283" xr:uid="{A025C087-ACF8-4E22-9088-3858B6998837}"/>
    <hyperlink ref="E779" r:id="rId284" xr:uid="{92F5CACC-FC5C-466F-BE98-A96D46100840}"/>
    <hyperlink ref="E780" r:id="rId285" xr:uid="{46B46FBA-DCF5-4B5D-BB46-90E88C26228D}"/>
    <hyperlink ref="E781" r:id="rId286" xr:uid="{C1E31386-EC81-4DFF-9AF1-20A06798A507}"/>
    <hyperlink ref="E782" r:id="rId287" xr:uid="{A99EFB41-ECB0-4D87-B8C1-E8ED0898234D}"/>
    <hyperlink ref="E783" r:id="rId288" xr:uid="{EE093D6C-BD09-45D1-9FD1-946DA191C7B8}"/>
    <hyperlink ref="E784" r:id="rId289" xr:uid="{C6516BDF-C767-4A1E-BFD8-61F562281956}"/>
    <hyperlink ref="E785" r:id="rId290" xr:uid="{B951063E-7977-4719-896C-E74D5DAF91CE}"/>
    <hyperlink ref="E786" r:id="rId291" xr:uid="{5583BBDA-5E63-4DB7-A80F-F84E6302DD9E}"/>
    <hyperlink ref="E787" r:id="rId292" xr:uid="{8FB28F35-BE88-4EFC-B4AA-2CF05F385A89}"/>
    <hyperlink ref="E788" r:id="rId293" xr:uid="{7DF04430-E24F-48E7-8CB0-0A84514113B1}"/>
    <hyperlink ref="E789" r:id="rId294" xr:uid="{347F05C7-0640-4466-BF15-D0F0E5BE6A05}"/>
    <hyperlink ref="E790" r:id="rId295" xr:uid="{9D33CB2D-D7C0-406F-B1E7-E47736FFAF28}"/>
    <hyperlink ref="E791" r:id="rId296" xr:uid="{8C66AD11-7A49-4F2A-98EA-ABEC8D965484}"/>
    <hyperlink ref="E792" r:id="rId297" xr:uid="{A8D534FD-A8BF-4D2D-89ED-6698DCEC46EB}"/>
    <hyperlink ref="E793" r:id="rId298" xr:uid="{9DBFE531-BC95-4482-A1A5-07D6AE47C834}"/>
    <hyperlink ref="E794" r:id="rId299" xr:uid="{59A153DA-98C6-4BB3-A246-1EE243DB5CAB}"/>
    <hyperlink ref="E795" r:id="rId300" xr:uid="{97A6182D-ACEA-42FD-B8D4-25BBE77C8169}"/>
    <hyperlink ref="E796" r:id="rId301" xr:uid="{58DF911B-EAE5-4C2D-B58B-5F608DD2C779}"/>
    <hyperlink ref="E797" r:id="rId302" xr:uid="{DDC0D1E9-E883-4004-8523-4CAE2ADDBF9E}"/>
    <hyperlink ref="E798" r:id="rId303" xr:uid="{07EC3E64-CB99-439E-87E4-FC840651111B}"/>
    <hyperlink ref="E799" r:id="rId304" xr:uid="{4CDB669B-0243-4CBC-B7D2-3A4560568CAF}"/>
    <hyperlink ref="E800" r:id="rId305" xr:uid="{07BECB3D-6CF9-4B4E-A369-B266E1BC1E29}"/>
    <hyperlink ref="E801" r:id="rId306" xr:uid="{0F9067C4-07A0-4621-9D06-41DC6F6A1F3E}"/>
    <hyperlink ref="E802" r:id="rId307" xr:uid="{F072E55D-6232-496E-A357-64148111204A}"/>
    <hyperlink ref="E803" r:id="rId308" xr:uid="{0D117E16-B422-4A21-8A87-38C65949DEFD}"/>
    <hyperlink ref="E804" r:id="rId309" xr:uid="{0549F561-FD07-4469-958D-1DBF837912A0}"/>
    <hyperlink ref="E805" r:id="rId310" xr:uid="{3A5A25D7-F981-438D-973B-E990D06D89B6}"/>
    <hyperlink ref="E1028" r:id="rId311" display="https://doi.org/10.1139/cjfas-2014-0281 " xr:uid="{F1D545DB-CE9A-4DC4-A9F9-BA60D4722E68}"/>
    <hyperlink ref="E1029" r:id="rId312" display="https://doi.org/10.1139/cjfas-2014-0281 " xr:uid="{68BD8CB9-496A-4E12-B651-8A31C1301B61}"/>
    <hyperlink ref="E1030" r:id="rId313" display="https://doi.org/10.1139/cjfas-2014-0281 " xr:uid="{A36F5BE9-F8A2-407D-8DEF-E0CE16D3A510}"/>
    <hyperlink ref="E1031" r:id="rId314" display="https://doi.org/10.1139/cjfas-2014-0281 " xr:uid="{0D369BBB-7498-4893-BFA5-EFE8601C5EF7}"/>
    <hyperlink ref="E1032" r:id="rId315" display="https://doi.org/10.1139/cjfas-2014-0281 " xr:uid="{7A76B7B8-D4C4-4C40-8206-1FA3319925F5}"/>
    <hyperlink ref="E1033" r:id="rId316" display="https://doi.org/10.1139/cjfas-2014-0281 " xr:uid="{BA3547CA-205E-4C2C-BF49-79512A1A6CFC}"/>
    <hyperlink ref="E1034" r:id="rId317" display="https://doi.org/10.1139/cjfas-2014-0281 " xr:uid="{F96FAAD7-BBFC-4E50-9EF0-4674A6B41511}"/>
    <hyperlink ref="E1035" r:id="rId318" display="https://doi.org/10.1139/cjfas-2014-0281 " xr:uid="{5A8BDE6A-F4B4-436F-B4A2-6564956B5E61}"/>
    <hyperlink ref="E1037" r:id="rId319" display="https://doi.org/10.1139/cjfas-2014-0281 " xr:uid="{A6EB229A-0F94-47E4-94B5-1DE9B832FEF0}"/>
    <hyperlink ref="E1036" r:id="rId320" display="https://doi.org/10.1139/cjfas-2014-0281 " xr:uid="{977F248F-A9EE-4428-8696-12836C30D07B}"/>
    <hyperlink ref="E865" r:id="rId321" xr:uid="{9E6D5F6F-EFDB-4219-B425-5BA4266301DB}"/>
    <hyperlink ref="E866" r:id="rId322" xr:uid="{3AC877F7-9F42-4EDD-9C82-A0F5EC96F5B3}"/>
    <hyperlink ref="E867" r:id="rId323" xr:uid="{704AE868-966C-4F92-A578-655CBD2D6EC4}"/>
    <hyperlink ref="E868" r:id="rId324" xr:uid="{4855A87B-3331-435E-A22C-C0E26AF540B8}"/>
    <hyperlink ref="E869" r:id="rId325" xr:uid="{BA2D173D-2972-490B-9953-A52740D9D21B}"/>
    <hyperlink ref="E870" r:id="rId326" xr:uid="{C344A2EA-EB82-48B6-9AC2-A7562BB3B0BD}"/>
    <hyperlink ref="E871" r:id="rId327" xr:uid="{DA86DC9E-32A6-43D1-BDC5-4E0684A2AB6E}"/>
    <hyperlink ref="E872" r:id="rId328" xr:uid="{B8132240-64E6-45F2-86E1-35F163BB6367}"/>
    <hyperlink ref="E874" r:id="rId329" xr:uid="{21DB3C45-0CB1-48B9-A759-02572489A782}"/>
    <hyperlink ref="E873" r:id="rId330" xr:uid="{DE881768-0A2D-4947-B2FC-3D63C2573ACF}"/>
    <hyperlink ref="E891" r:id="rId331" display="https://doi.org/10.1139/facets-2022-0104" xr:uid="{A41458F8-0F84-45C2-A412-8E4FABE112CE}"/>
    <hyperlink ref="E892" r:id="rId332" display="https://doi.org/10.1139/facets-2022-0104" xr:uid="{C768A8D6-CB6E-49BF-B43E-0099E6B7AEBF}"/>
    <hyperlink ref="E893" r:id="rId333" display="https://doi.org/10.1139/facets-2022-0104" xr:uid="{0F2C9DDA-4249-4918-9FFD-D23291EA8BE5}"/>
    <hyperlink ref="E894" r:id="rId334" display="https://doi.org/10.1139/facets-2022-0104" xr:uid="{F75F6183-177C-4774-9388-CA4C29029FB3}"/>
    <hyperlink ref="E895" r:id="rId335" display="https://doi.org/10.1139/facets-2022-0104" xr:uid="{A53515EB-16E9-49BF-9C71-8940596709DA}"/>
    <hyperlink ref="E896" r:id="rId336" display="https://doi.org/10.1139/facets-2022-0104" xr:uid="{934C6AEF-6692-4C71-9F1C-BF04D5390742}"/>
    <hyperlink ref="E897" r:id="rId337" display="https://doi.org/10.1139/facets-2022-0104" xr:uid="{A7753664-2888-49F2-B69F-1E20A6D56691}"/>
    <hyperlink ref="E898" r:id="rId338" display="https://doi.org/10.1139/facets-2022-0104" xr:uid="{D0B22FA6-2076-4AEC-BF53-86138E1E4E93}"/>
    <hyperlink ref="E899" r:id="rId339" display="https://doi.org/10.1139/facets-2022-0104" xr:uid="{3E5D8640-CD43-4B6D-8B73-CA095E82E36C}"/>
    <hyperlink ref="E900" r:id="rId340" display="https://doi.org/10.1139/facets-2022-0104" xr:uid="{57131692-E007-4A10-BC2D-8BF97FDC0996}"/>
    <hyperlink ref="E901" r:id="rId341" display="https://doi.org/10.1139/facets-2022-0104" xr:uid="{C0D5F75C-F35D-4C78-B6FA-BE30378B1077}"/>
    <hyperlink ref="E902" r:id="rId342" display="https://doi.org/10.1139/facets-2022-0104" xr:uid="{748B2291-4CA6-4DFC-9A87-4757A9EFAFB5}"/>
    <hyperlink ref="E903" r:id="rId343" display="https://doi.org/10.1139/facets-2022-0104" xr:uid="{0709901F-9DA8-48F2-B33C-522CB4F92903}"/>
    <hyperlink ref="E904" r:id="rId344" display="https://doi.org/10.1139/facets-2022-0104" xr:uid="{4B0E6707-153C-4C4E-A6BC-6E8722818BFB}"/>
    <hyperlink ref="E905" r:id="rId345" display="https://doi.org/10.1139/facets-2022-0104" xr:uid="{90468EA5-8CCC-41DE-9D90-DE7FA7BD9361}"/>
    <hyperlink ref="E906" r:id="rId346" display="https://doi.org/10.1139/facets-2022-0104" xr:uid="{5430AC4A-290B-4D4C-8040-4C8C7F3C48BE}"/>
    <hyperlink ref="E907" r:id="rId347" display="https://doi.org/10.1139/facets-2022-0104" xr:uid="{370552D6-C5C3-41C0-A8EC-FAACD5CEBB55}"/>
    <hyperlink ref="E908" r:id="rId348" display="https://doi.org/10.1139/facets-2022-0104" xr:uid="{ABCA04A5-0789-4371-9883-C0C990912B9D}"/>
    <hyperlink ref="E909" r:id="rId349" display="https://doi.org/10.1139/facets-2022-0104" xr:uid="{7897DBB8-A2B7-4C73-82DC-E17B8E9238C7}"/>
    <hyperlink ref="E910" r:id="rId350" display="https://doi.org/10.1139/facets-2022-0104" xr:uid="{8674128D-0DC8-43EA-80D9-4B64F056D04B}"/>
    <hyperlink ref="E911" r:id="rId351" display="https://doi.org/10.1139/facets-2022-0104" xr:uid="{3E396631-4C94-40B2-8F34-26AAD20CA12B}"/>
    <hyperlink ref="E912" r:id="rId352" display="https://doi.org/10.1139/facets-2022-0104" xr:uid="{160D638A-3E3B-431C-8AB6-B6635138B014}"/>
    <hyperlink ref="E913" r:id="rId353" display="https://doi.org/10.1139/facets-2022-0104" xr:uid="{FF433C91-B0B7-4265-8B86-EBD8A519627F}"/>
    <hyperlink ref="E914" r:id="rId354" display="https://doi.org/10.1139/facets-2022-0104" xr:uid="{3440EB13-3553-4658-887A-7BAD9FD2E483}"/>
    <hyperlink ref="E915" r:id="rId355" display="https://doi.org/10.1139/facets-2022-0104" xr:uid="{C3D54ECB-310D-4AF7-AA79-72E555F28A83}"/>
    <hyperlink ref="E916" r:id="rId356" display="https://doi.org/10.1139/facets-2022-0104" xr:uid="{574BBD52-CC9B-496A-A038-AD9A54793C0A}"/>
    <hyperlink ref="E917" r:id="rId357" display="https://doi.org/10.1139/facets-2022-0104" xr:uid="{7706AD7B-D002-4530-8307-9A036AE41FE2}"/>
    <hyperlink ref="E918" r:id="rId358" display="https://doi.org/10.1139/facets-2022-0104" xr:uid="{D9FBED25-9E32-4656-BC44-1D682279E642}"/>
    <hyperlink ref="E919" r:id="rId359" display="https://doi.org/10.1139/facets-2022-0104" xr:uid="{50E2A12F-D0FD-4249-991B-FEE34DA55785}"/>
    <hyperlink ref="E920" r:id="rId360" display="https://doi.org/10.1139/facets-2022-0104" xr:uid="{3380F6BE-E459-4595-AD90-DD232EFC6FD8}"/>
    <hyperlink ref="E921" r:id="rId361" display="https://doi.org/10.1139/facets-2022-0104" xr:uid="{DCD1CE1F-BF56-44B0-AD91-E631633F37C2}"/>
    <hyperlink ref="E922" r:id="rId362" display="https://doi.org/10.1139/facets-2022-0104" xr:uid="{7BEE5B06-5968-4264-8D87-310CD1849969}"/>
    <hyperlink ref="E923" r:id="rId363" display="https://doi.org/10.1139/facets-2022-0104" xr:uid="{9ACAAED8-72B4-43D5-80C1-A64A6C586E7B}"/>
    <hyperlink ref="E924" r:id="rId364" display="https://doi.org/10.1139/facets-2022-0104" xr:uid="{FFCF0A29-E946-43B3-A012-6CBE277C9E7E}"/>
    <hyperlink ref="E925" r:id="rId365" display="https://doi.org/10.1139/facets-2022-0104" xr:uid="{A6372C51-C403-4D27-AFC7-E0710229D25D}"/>
    <hyperlink ref="E926" r:id="rId366" display="https://doi.org/10.1139/facets-2022-0104" xr:uid="{9DD4D17D-F077-4188-B362-C9240A9CAC3F}"/>
    <hyperlink ref="E927" r:id="rId367" display="https://doi.org/10.1139/facets-2022-0104" xr:uid="{459D2D01-0C2A-4E13-AFD5-A4C6C16F3890}"/>
    <hyperlink ref="E928" r:id="rId368" display="https://doi.org/10.1139/facets-2022-0104" xr:uid="{E7DB5EAC-DD2D-42CF-9858-242732A428DA}"/>
    <hyperlink ref="E929" r:id="rId369" display="https://doi.org/10.1139/facets-2022-0104" xr:uid="{B277597D-A24D-46E5-913E-39638735AB11}"/>
    <hyperlink ref="E930" r:id="rId370" display="https://doi.org/10.1139/facets-2022-0104" xr:uid="{07C57AC8-029F-4C6C-B6FA-9312E600AC92}"/>
    <hyperlink ref="E931" r:id="rId371" display="https://doi.org/10.1139/facets-2022-0104" xr:uid="{FCFF1450-7C7D-4642-B4B2-E9A3A38B7C2C}"/>
    <hyperlink ref="E932" r:id="rId372" display="https://doi.org/10.1139/facets-2022-0104" xr:uid="{CC04396E-3D35-4621-B6A5-F1C99AB3CDFA}"/>
    <hyperlink ref="E933" r:id="rId373" display="https://doi.org/10.1139/facets-2022-0104" xr:uid="{AD4F64FD-E927-482E-B0CE-08C565CB4B08}"/>
    <hyperlink ref="E934" r:id="rId374" display="https://doi.org/10.1139/facets-2022-0104" xr:uid="{C9635BAA-82A0-4BD8-800D-EFBBE27DB817}"/>
    <hyperlink ref="E935" r:id="rId375" display="https://doi.org/10.1139/facets-2022-0104" xr:uid="{4108EB51-6A75-4A36-99E7-66B489C903C7}"/>
    <hyperlink ref="E936" r:id="rId376" display="https://doi.org/10.1139/facets-2022-0104" xr:uid="{555CF318-2209-44D8-968B-EB5832D7F5E1}"/>
    <hyperlink ref="E937" r:id="rId377" display="https://doi.org/10.1139/facets-2022-0104" xr:uid="{634650ED-1281-4CF6-AE96-F2085B79092F}"/>
    <hyperlink ref="E938" r:id="rId378" display="https://doi.org/10.1139/facets-2022-0104" xr:uid="{71113F1B-4158-42A3-8B31-E01AA8A04D84}"/>
    <hyperlink ref="E939" r:id="rId379" display="https://doi.org/10.1139/facets-2022-0104" xr:uid="{89B411F5-F216-464A-936D-154D6D081967}"/>
    <hyperlink ref="E940" r:id="rId380" display="https://doi.org/10.1139/facets-2022-0104" xr:uid="{6070F041-67E2-466B-BB3C-B39804223C97}"/>
    <hyperlink ref="E941" r:id="rId381" display="https://doi.org/10.1139/facets-2022-0104" xr:uid="{935ED13D-457F-42A4-BAB9-B824A7D00B24}"/>
    <hyperlink ref="E942" r:id="rId382" display="https://doi.org/10.1139/facets-2022-0104" xr:uid="{96A2F807-BD71-49E4-B668-FC95F2DE2BD9}"/>
    <hyperlink ref="E943" r:id="rId383" display="https://doi.org/10.1139/facets-2022-0104" xr:uid="{8ABE1E27-8259-45E3-BD61-BC8BBF79A34B}"/>
    <hyperlink ref="E944" r:id="rId384" display="https://doi.org/10.1139/facets-2022-0104" xr:uid="{1396F2C6-84CB-43AE-8B85-18CBDDBDE13D}"/>
    <hyperlink ref="E945" r:id="rId385" display="https://doi.org/10.1139/facets-2022-0104" xr:uid="{C520616C-A22E-40E7-A065-D5ADC2B38751}"/>
    <hyperlink ref="E946" r:id="rId386" display="https://doi.org/10.1139/facets-2022-0104" xr:uid="{93AA4492-3D70-4EC8-A4D2-15E3E47FD4AD}"/>
    <hyperlink ref="E947" r:id="rId387" display="https://doi.org/10.1139/facets-2022-0104" xr:uid="{22EE63FA-0551-43FC-AF84-5D572F55C18A}"/>
    <hyperlink ref="E948" r:id="rId388" display="https://doi.org/10.1139/facets-2022-0104" xr:uid="{4E4C59AB-FB3F-46C6-8FBD-1BF2599C59E2}"/>
    <hyperlink ref="E949" r:id="rId389" display="https://doi.org/10.1139/facets-2022-0104" xr:uid="{790847FF-164B-4D79-9988-7C4B03819AE9}"/>
    <hyperlink ref="E950" r:id="rId390" display="https://doi.org/10.1139/facets-2022-0104" xr:uid="{90497BB3-7A78-43B1-B750-65537B052952}"/>
    <hyperlink ref="E951" r:id="rId391" display="https://doi.org/10.1139/facets-2022-0104" xr:uid="{8C0D9E59-B0A2-4836-A757-DCBAAD270784}"/>
    <hyperlink ref="E952" r:id="rId392" display="https://doi.org/10.1139/facets-2022-0104" xr:uid="{60BB2D8A-DE13-4FB3-B5E9-FD128FEF39EA}"/>
    <hyperlink ref="E953" r:id="rId393" display="https://doi.org/10.1139/facets-2022-0104" xr:uid="{CAF8514F-BED8-4C5D-9E5F-883FEE9FB1E2}"/>
    <hyperlink ref="E954" r:id="rId394" display="https://doi.org/10.1139/facets-2022-0104" xr:uid="{5AC800ED-9BDF-46B7-A4FA-4E0F87D91C99}"/>
    <hyperlink ref="E955" r:id="rId395" display="https://doi.org/10.1139/facets-2022-0104" xr:uid="{EBF9496B-10C2-477A-8A33-BEEA804AFF4F}"/>
    <hyperlink ref="E956" r:id="rId396" display="https://doi.org/10.1139/facets-2022-0104" xr:uid="{9E6D47B2-A5C0-4533-B144-274CED8BC66A}"/>
    <hyperlink ref="E1074" r:id="rId397" xr:uid="{529BAF7D-8B5C-4279-9B83-0E24CBE8D005}"/>
    <hyperlink ref="E1075" r:id="rId398" xr:uid="{81C64AB5-4E4B-4018-88A0-5FC7E59EA056}"/>
    <hyperlink ref="E1076" r:id="rId399" xr:uid="{301D9C83-3444-4A33-B1A1-767A7E187B02}"/>
    <hyperlink ref="E1077" r:id="rId400" xr:uid="{62C928A4-BE8E-43EC-A3D9-B9ECDF28EF53}"/>
    <hyperlink ref="E1078" r:id="rId401" xr:uid="{FBC54137-2D1F-4C0A-818E-EB3651605233}"/>
    <hyperlink ref="E1079" r:id="rId402" xr:uid="{7EDF2997-B7C1-4EEA-8595-D3742D2CAD5A}"/>
    <hyperlink ref="E1080" r:id="rId403" xr:uid="{44AF9975-DCF8-4FF7-80C2-49421C4EE4B9}"/>
    <hyperlink ref="E1081" r:id="rId404" xr:uid="{D2A929F7-C9AE-455C-B0F7-CA89A8F3A5BE}"/>
    <hyperlink ref="E1082" r:id="rId405" xr:uid="{771FF423-A910-4166-99C5-8916FAFBA583}"/>
    <hyperlink ref="E1083" r:id="rId406" xr:uid="{EF0B9DC3-6345-46AD-93E5-BBE494059E1E}"/>
    <hyperlink ref="E1084" r:id="rId407" xr:uid="{667F78A4-068E-4394-8E9A-8BAC6336B54E}"/>
    <hyperlink ref="E1085" r:id="rId408" xr:uid="{10B693C6-528E-4521-B825-1B4A7B5E9A89}"/>
    <hyperlink ref="E1086" r:id="rId409" xr:uid="{E9A784D0-2A4A-42CA-B08E-200DF49D1244}"/>
    <hyperlink ref="E1087" r:id="rId410" xr:uid="{449E7E5A-B44F-426E-B6C0-878782DC885E}"/>
    <hyperlink ref="E1088" r:id="rId411" xr:uid="{4DC8C723-0919-4B42-88A1-3A16C8A2A547}"/>
    <hyperlink ref="E1089" r:id="rId412" xr:uid="{67CC217D-FD91-4DB0-8A14-68A01DCE76C1}"/>
    <hyperlink ref="E1090" r:id="rId413" xr:uid="{E633C9FC-54C6-4544-8723-F6DFEE8B1D16}"/>
    <hyperlink ref="E1091" r:id="rId414" xr:uid="{5741691E-16CA-4D76-88E0-6390D2ED6738}"/>
    <hyperlink ref="E1092" r:id="rId415" xr:uid="{5369C63D-49E2-417C-BFB1-A9919BFC663E}"/>
    <hyperlink ref="E1093" r:id="rId416" xr:uid="{135E7BFC-7927-4296-820E-3F1E1FEE7804}"/>
    <hyperlink ref="E1094" r:id="rId417" xr:uid="{5B18785C-3784-4D2C-BF46-00FD987C5F4D}"/>
    <hyperlink ref="E1095" r:id="rId418" xr:uid="{60F5A832-AA53-4882-A895-7900ECCDDF7C}"/>
    <hyperlink ref="E1096" r:id="rId419" xr:uid="{7B9952D5-3A22-407D-9818-715E6B9D748C}"/>
    <hyperlink ref="E1097" r:id="rId420" xr:uid="{0809FF4B-4F15-455F-AD22-0EBFD7461C5B}"/>
    <hyperlink ref="E1098" r:id="rId421" xr:uid="{96A9D85F-DA48-4B8C-8912-1F241BC70C60}"/>
    <hyperlink ref="E1099" r:id="rId422" xr:uid="{6FC65C12-5481-40C8-BE6D-8A77637ECADD}"/>
    <hyperlink ref="E1191" r:id="rId423" xr:uid="{59C224F1-4766-4517-8C53-C84607D04CF4}"/>
    <hyperlink ref="E1107" r:id="rId424" xr:uid="{CF723E99-97E6-4668-8C31-0636FBFF1431}"/>
    <hyperlink ref="E1108" r:id="rId425" xr:uid="{CD223DF6-2B5D-43DF-918B-064E485BC256}"/>
    <hyperlink ref="E1123" r:id="rId426" xr:uid="{51FF03A4-ACCD-416A-BA7E-4246B53F85F9}"/>
    <hyperlink ref="E1159" r:id="rId427" xr:uid="{5AD988EE-0A39-4AED-9F99-9D58F5C907F5}"/>
    <hyperlink ref="E1202" r:id="rId428" xr:uid="{264D34F6-46B5-41EF-B9D3-2BBC2FA61B12}"/>
    <hyperlink ref="S1220" r:id="rId429" xr:uid="{8435BF31-D51F-44C5-AF63-EFE44634FCF6}"/>
    <hyperlink ref="S1228" r:id="rId430" xr:uid="{0BC95BF7-79B8-42C2-88D1-A88FA06EF95C}"/>
    <hyperlink ref="E1228" r:id="rId431" xr:uid="{25FD08B1-4658-4200-9CED-1E048B524737}"/>
    <hyperlink ref="E1217:E1226" r:id="rId432" display="https://doi.org/10.3354/meps13966 " xr:uid="{A5B03B8A-5FE7-40BB-AFC5-FA3C2E4E860A}"/>
    <hyperlink ref="E1220" r:id="rId433" xr:uid="{A6F1E4A8-89E1-4093-95ED-9530217A4883}"/>
    <hyperlink ref="E1221" r:id="rId434" xr:uid="{F50E043A-88C2-4B93-B722-D7F1104B2775}"/>
    <hyperlink ref="E1222" r:id="rId435" xr:uid="{899783A3-937E-47FB-955E-BB42B58761B9}"/>
    <hyperlink ref="E1223" r:id="rId436" xr:uid="{6E4FFF57-5377-454B-B130-60A123C8FEFC}"/>
    <hyperlink ref="E1224" r:id="rId437" xr:uid="{5A940B26-2A8F-411B-8307-41463CD7F575}"/>
    <hyperlink ref="E1225" r:id="rId438" xr:uid="{4D365C81-49B9-4571-9D77-346AE9107F47}"/>
    <hyperlink ref="E1226" r:id="rId439" xr:uid="{14D55FB3-503E-4F83-8A4F-6FFE4D131059}"/>
    <hyperlink ref="E1227" r:id="rId440" xr:uid="{584FC43E-9231-4B69-B55E-05C106A04801}"/>
    <hyperlink ref="E1158" r:id="rId441" xr:uid="{DB72C0D0-D96B-4F43-9CF9-6C09E0EB37CD}"/>
    <hyperlink ref="E1157" r:id="rId442" xr:uid="{E0AEF0F9-9E74-445F-ACE4-BBCB77BA11F6}"/>
    <hyperlink ref="E1156" r:id="rId443" xr:uid="{EABA51E1-B896-427E-87F1-942171235A5B}"/>
    <hyperlink ref="E1101" r:id="rId444" xr:uid="{0EDCA60A-B0B2-4F39-AEC2-83BB1B2B96A6}"/>
    <hyperlink ref="E1102" r:id="rId445" xr:uid="{0C5D0616-D954-46F5-92FC-B9BC4C0C6726}"/>
    <hyperlink ref="E1103" r:id="rId446" xr:uid="{31B99B94-2655-4CC6-9ADA-0964847E465F}"/>
    <hyperlink ref="E1104" r:id="rId447" xr:uid="{8DD2C5EC-043E-49F1-A16A-A78241E5B819}"/>
    <hyperlink ref="E1105" r:id="rId448" xr:uid="{1C6ADEA7-D9A7-411C-8E63-CE53B4C592A6}"/>
    <hyperlink ref="E1155" r:id="rId449" display="https://cjur.ca/wp-content/uploads/2025/10/Volume-10-Issue-1-Tiet-et-al.pdf" xr:uid="{4458E353-68FB-46BD-80C6-103CED70D752}"/>
    <hyperlink ref="E1192" r:id="rId450" xr:uid="{2E556576-D095-4E32-B5FE-171559C4DAAC}"/>
    <hyperlink ref="E1193" r:id="rId451" xr:uid="{FE3B2F2A-1D43-49A4-919F-BDA8D623E742}"/>
    <hyperlink ref="E1194" r:id="rId452" xr:uid="{3338E438-5007-4A05-9715-27AACF0772B1}"/>
    <hyperlink ref="E1195" r:id="rId453" xr:uid="{CF15E408-3E66-4BF4-BE21-23853657C796}"/>
    <hyperlink ref="E1196" r:id="rId454" xr:uid="{EAEB3D56-3F25-4226-AA6B-23D9AA102946}"/>
    <hyperlink ref="E1197" r:id="rId455" xr:uid="{CEE2275B-3EC7-40E8-8326-711D14E55AEF}"/>
    <hyperlink ref="E1198" r:id="rId456" xr:uid="{DC378E8D-C76C-4079-8C18-30756934A15E}"/>
    <hyperlink ref="E1199" r:id="rId457" xr:uid="{369EED6B-CF90-4A54-BE4A-9C6A7E5A78A2}"/>
    <hyperlink ref="E1200" r:id="rId458" xr:uid="{5FEB24BC-9F70-40E8-A5EF-E5FCC594F173}"/>
    <hyperlink ref="E1201" r:id="rId459" xr:uid="{39561E60-8DED-4AB9-8E9A-960A54C2DD29}"/>
    <hyperlink ref="E1100" r:id="rId460" xr:uid="{E6A43369-B701-4DED-84DC-35F9933DB8C4}"/>
    <hyperlink ref="E1106" r:id="rId461" xr:uid="{52535FF5-8618-4DC8-BE7F-BA11AC03DA33}"/>
    <hyperlink ref="E1109" r:id="rId462" xr:uid="{828B7698-55B8-4330-A12E-2EBC1B9A7DB4}"/>
    <hyperlink ref="E1110" r:id="rId463" xr:uid="{44B70F7D-47FF-4876-AFB1-C8DD9375BFA7}"/>
    <hyperlink ref="E1111" r:id="rId464" xr:uid="{27FE6112-3DDD-4762-8516-73C20BE62F82}"/>
    <hyperlink ref="E1228:E1238" r:id="rId465" display="https://doi.org/10.13140/RG.2.2.27753.98401" xr:uid="{C272F2D0-49C3-45BF-BC42-A031A230FB42}"/>
    <hyperlink ref="E1112" r:id="rId466" xr:uid="{B6BDA1B6-DDD8-45F4-A965-D3D368C9EECC}"/>
    <hyperlink ref="E1113" r:id="rId467" xr:uid="{CF795929-E37E-426A-B63B-70F4A74DC901}"/>
    <hyperlink ref="E1114" r:id="rId468" xr:uid="{859760A7-3D5F-4DE9-AEA7-310E0BCF055B}"/>
    <hyperlink ref="E1115" r:id="rId469" xr:uid="{CD8D6D1E-B041-4C22-B3E3-646DEAEC0FC6}"/>
    <hyperlink ref="E1116" r:id="rId470" xr:uid="{B2DC1DC3-6AA7-45E3-BE5B-4BBBCBA11D10}"/>
    <hyperlink ref="E1117" r:id="rId471" xr:uid="{2369783D-2D6E-45C4-A0AA-E8D7FA03C43D}"/>
    <hyperlink ref="E1118" r:id="rId472" xr:uid="{19D2B1F8-0D1D-4D29-A303-983BC8EA5B4D}"/>
    <hyperlink ref="E1119" r:id="rId473" xr:uid="{E742F955-3045-4E0F-98AF-9EBE37DC27FA}"/>
    <hyperlink ref="E1120" r:id="rId474" xr:uid="{01BC03E4-C0C7-4008-9C9C-B582C7FAAEF4}"/>
    <hyperlink ref="E1121" r:id="rId475" xr:uid="{685A980B-2D56-49B7-9477-301278CD3C25}"/>
    <hyperlink ref="E1122" r:id="rId476" xr:uid="{F1310A32-EFC9-43B6-BBB7-F5B1AA4690B0}"/>
    <hyperlink ref="E1160" r:id="rId477" xr:uid="{3968B607-088B-45CE-AD4C-2C70FCA69725}"/>
    <hyperlink ref="E1161" r:id="rId478" xr:uid="{6A57635F-7302-44B8-9116-EE07297107AC}"/>
    <hyperlink ref="E1162" r:id="rId479" xr:uid="{895F8FA2-58FC-46AB-A2F4-45580D7F2AE0}"/>
    <hyperlink ref="E1163" r:id="rId480" xr:uid="{6E607BF6-72F7-450E-814F-BF95468BB723}"/>
    <hyperlink ref="E1164" r:id="rId481" xr:uid="{B231FE0C-BCC0-432B-A9E6-48446A51A115}"/>
    <hyperlink ref="E1165" r:id="rId482" xr:uid="{51435FD7-8000-4BA8-8D7E-CF0063656444}"/>
    <hyperlink ref="E1166" r:id="rId483" xr:uid="{BA07E653-6B9E-4E1B-9744-82AF6858F478}"/>
    <hyperlink ref="E1167" r:id="rId484" xr:uid="{BE11095A-484A-4EEE-A3FB-E27AE40B85C7}"/>
    <hyperlink ref="E1168" r:id="rId485" xr:uid="{AC61D596-7336-4E8B-AB82-0C5C4C71440A}"/>
    <hyperlink ref="E1169" r:id="rId486" xr:uid="{521377AD-8766-433E-9C8A-951F7B2E2B8C}"/>
    <hyperlink ref="E1170" r:id="rId487" xr:uid="{E3AE826F-7C90-4274-998A-5A9856FDF4DA}"/>
    <hyperlink ref="E1171" r:id="rId488" xr:uid="{46DE243D-E94B-4792-8171-53A4D821DFC3}"/>
    <hyperlink ref="E1172" r:id="rId489" xr:uid="{B47F560E-D041-4720-B9B7-BE596BAFDF8A}"/>
    <hyperlink ref="E1173" r:id="rId490" xr:uid="{400159C6-E585-4D82-BD3A-D8656A9152B8}"/>
    <hyperlink ref="E1174" r:id="rId491" xr:uid="{ED980A6E-A487-4EAA-A0E6-C38957093C4D}"/>
    <hyperlink ref="E1175" r:id="rId492" xr:uid="{4B16094F-A6EC-4C62-BD47-2F6F2A3FD4EB}"/>
    <hyperlink ref="E1176" r:id="rId493" xr:uid="{048DF759-2359-4151-B8EF-DE955E10BFDC}"/>
    <hyperlink ref="E1177" r:id="rId494" xr:uid="{85B8FE2D-39BD-4AE0-B67E-9B41FFC2561E}"/>
    <hyperlink ref="E1178" r:id="rId495" xr:uid="{50B31659-7B47-4E3C-B78B-EAD8C3C6B9DC}"/>
    <hyperlink ref="E1179" r:id="rId496" xr:uid="{EFF73A66-D59D-4EC9-8BB7-0029F618A08A}"/>
    <hyperlink ref="E1180" r:id="rId497" xr:uid="{D0D35CFD-315C-4B45-BF49-E27D92D6625D}"/>
    <hyperlink ref="E1181" r:id="rId498" xr:uid="{C72D6806-6BA1-477B-96E1-40B944A202C7}"/>
    <hyperlink ref="E1182" r:id="rId499" xr:uid="{D476042B-7F29-43E5-9C77-6A7D81EC3BCB}"/>
    <hyperlink ref="E1183" r:id="rId500" xr:uid="{EC19BED5-3E88-4F43-8CB5-0784496636AB}"/>
    <hyperlink ref="E1184" r:id="rId501" xr:uid="{5B5B26A4-3123-4556-9E5F-682C166C7AC2}"/>
    <hyperlink ref="E1185" r:id="rId502" xr:uid="{A4795D16-16D7-4B55-8E17-C77911B375D1}"/>
    <hyperlink ref="E1186" r:id="rId503" xr:uid="{E6F77AC4-2BB0-454E-99F6-2218D76DE380}"/>
    <hyperlink ref="E1187" r:id="rId504" xr:uid="{E595B0C2-897D-4D06-B74F-396FBAB619ED}"/>
    <hyperlink ref="E1188" r:id="rId505" xr:uid="{06FDB00C-2623-40E3-B2CC-2B506B4B7ED3}"/>
    <hyperlink ref="E1189" r:id="rId506" xr:uid="{80A6AC52-6AE3-4CBD-8F12-4F59BBD2DFB1}"/>
    <hyperlink ref="E1190" r:id="rId507" xr:uid="{140B9674-9CD6-4725-82DF-674701A2BB38}"/>
    <hyperlink ref="E1124" r:id="rId508" xr:uid="{13721CA2-1250-4A31-8630-0A6B1FE81FDA}"/>
    <hyperlink ref="E1125" r:id="rId509" xr:uid="{D38C7BCA-61A9-4A54-A8B0-644F44116325}"/>
    <hyperlink ref="E1126" r:id="rId510" xr:uid="{41BB3325-13CC-47BF-9EF7-7D4C6AFA008F}"/>
    <hyperlink ref="E1127" r:id="rId511" xr:uid="{05BA2F60-D6A3-4DFA-AD4E-7466EEDB31C3}"/>
    <hyperlink ref="E1128" r:id="rId512" xr:uid="{1072F88E-5A7C-4274-986C-B40D28FC17A6}"/>
    <hyperlink ref="E1129" r:id="rId513" xr:uid="{157CC781-03CA-42B3-9E4A-45F3B7E0D8C0}"/>
    <hyperlink ref="E1130" r:id="rId514" xr:uid="{1C37AE20-0CD4-444B-99EF-633A194D8D3E}"/>
    <hyperlink ref="E1131" r:id="rId515" xr:uid="{0F1AB313-5A31-4267-9865-0CA3AF7A4F96}"/>
    <hyperlink ref="E1132" r:id="rId516" xr:uid="{BC9BCE71-5D4C-4970-B131-B7332F3ABE13}"/>
    <hyperlink ref="E1133" r:id="rId517" xr:uid="{7B3CBA0C-6249-4CC8-85D1-15546139AD97}"/>
    <hyperlink ref="E1134" r:id="rId518" xr:uid="{83877D4F-1F0E-4AFF-90D8-BDDC2F0BD4B2}"/>
    <hyperlink ref="E1135" r:id="rId519" xr:uid="{ED4C142A-CD05-457A-ADE7-5E097C54476F}"/>
    <hyperlink ref="E1213" r:id="rId520" xr:uid="{BC73A069-19DB-4A52-88DA-65BEBD1A2F0B}"/>
    <hyperlink ref="E1212" r:id="rId521" xr:uid="{76297450-A85D-43FC-865B-A8F79B9E338C}"/>
    <hyperlink ref="E1211" r:id="rId522" xr:uid="{8287682B-E901-4821-932B-866659A2AB57}"/>
    <hyperlink ref="E1214" r:id="rId523" xr:uid="{B3992B5C-68C0-46AA-9E4F-D4A956A96B2C}"/>
    <hyperlink ref="E1216" r:id="rId524" xr:uid="{52D12CED-1814-42BD-A692-E216DD7A23E3}"/>
  </hyperlinks>
  <pageMargins left="0.7" right="0.7" top="0.75" bottom="0.75" header="0.3" footer="0.3"/>
  <pageSetup orientation="portrait" r:id="rId525"/>
  <extLst>
    <ext xmlns:x14="http://schemas.microsoft.com/office/spreadsheetml/2009/9/main" uri="{CCE6A557-97BC-4b89-ADB6-D9C93CAAB3DF}">
      <x14:dataValidations xmlns:xm="http://schemas.microsoft.com/office/excel/2006/main" count="2">
        <x14:dataValidation type="list" allowBlank="1" showInputMessage="1" showErrorMessage="1" xr:uid="{8C86C42D-7346-4204-B335-0E8A181CBC8F}">
          <x14:formula1>
            <xm:f>#REF!</xm:f>
          </x14:formula1>
          <xm:sqref>L322:L337 L339 L533:L538 L581:L649 L20:L63 L79:L200 L280:L316 L361:L504 L1106:L1190</xm:sqref>
        </x14:dataValidation>
        <x14:dataValidation type="list" allowBlank="1" showInputMessage="1" showErrorMessage="1" xr:uid="{1EB43316-64F6-4733-B6C7-A7779636186F}">
          <x14:formula1>
            <xm:f>#REF!</xm:f>
          </x14:formula1>
          <xm:sqref>K2:K25 K29:K206 K339 K322:K337 K504 K850:K851 K962:K973 K861:K864 K280:K318 K361:K378 K471:K486 K1106:K1190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MP sampling locations</vt:lpstr>
      <vt:lpstr>MP concentrations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Karla Parga Martinez</dc:creator>
  <cp:keywords/>
  <dc:description/>
  <cp:lastModifiedBy>Karla Parga Martinez</cp:lastModifiedBy>
  <cp:revision/>
  <dcterms:created xsi:type="dcterms:W3CDTF">2025-12-09T18:46:59Z</dcterms:created>
  <dcterms:modified xsi:type="dcterms:W3CDTF">2026-09-25T14:51:41Z</dcterms:modified>
  <cp:category/>
  <cp:contentStatus/>
</cp:coreProperties>
</file>